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tables/table10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fileSharing readOnlyRecommended="1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:\Grupos\COL - PCP\02. Sistemas de Armazenagem\10. PMP\2022\6. Junho 2022\Janelas Produtivas\"/>
    </mc:Choice>
  </mc:AlternateContent>
  <xr:revisionPtr revIDLastSave="0" documentId="13_ncr:1_{4FBC16B9-6A3C-49BB-84E6-0A3E151BE8D6}" xr6:coauthVersionLast="47" xr6:coauthVersionMax="47" xr10:uidLastSave="{00000000-0000-0000-0000-000000000000}"/>
  <bookViews>
    <workbookView xWindow="-120" yWindow="-120" windowWidth="29040" windowHeight="15840" tabRatio="798" firstSheet="1" activeTab="1" xr2:uid="{00000000-000D-0000-FFFF-FFFF00000000}"/>
  </bookViews>
  <sheets>
    <sheet name="Resumo da Carteira" sheetId="15" state="hidden" r:id="rId1"/>
    <sheet name="Plan1" sheetId="1" r:id="rId2"/>
    <sheet name="Fluxo de Atravessamento BSA" sheetId="36" r:id="rId3"/>
    <sheet name="Saldo a Produzir" sheetId="37" r:id="rId4"/>
    <sheet name="TOTAL" sheetId="29" r:id="rId5"/>
    <sheet name="OUTROS" sheetId="35" state="hidden" r:id="rId6"/>
    <sheet name="PP1+PP2" sheetId="30" state="hidden" r:id="rId7"/>
    <sheet name="PP3" sheetId="31" state="hidden" r:id="rId8"/>
    <sheet name="DRI" sheetId="32" state="hidden" r:id="rId9"/>
    <sheet name="FLOW RACK" sheetId="33" state="hidden" r:id="rId10"/>
    <sheet name="DIN + PUSH" sheetId="34" state="hidden" r:id="rId11"/>
    <sheet name="Experiência" sheetId="19" state="hidden" r:id="rId12"/>
  </sheets>
  <externalReferences>
    <externalReference r:id="rId13"/>
    <externalReference r:id="rId14"/>
    <externalReference r:id="rId15"/>
  </externalReferences>
  <definedNames>
    <definedName name="_xlnm._FilterDatabase" localSheetId="1" hidden="1">Plan1!$A$1:$AH$1</definedName>
    <definedName name="Atrasado_1" localSheetId="10">'DIN + PUSH'!$E$2</definedName>
    <definedName name="Atrasado_1" localSheetId="8">DRI!$E$2</definedName>
    <definedName name="Atrasado_1" localSheetId="9">'FLOW RACK'!$E$2</definedName>
    <definedName name="Atrasado_1" localSheetId="5">OUTROS!$E$2</definedName>
    <definedName name="Atrasado_1" localSheetId="6">'PP1+PP2'!$E$2</definedName>
    <definedName name="Atrasado_1" localSheetId="7">'PP3'!$E$2</definedName>
    <definedName name="Atrasado_1" localSheetId="4">TOTAL!$F$2</definedName>
    <definedName name="Atrasado_10" localSheetId="10">'DIN + PUSH'!$E$11</definedName>
    <definedName name="Atrasado_10" localSheetId="8">DRI!$E$11</definedName>
    <definedName name="Atrasado_10" localSheetId="9">'FLOW RACK'!$E$11</definedName>
    <definedName name="Atrasado_10" localSheetId="5">OUTROS!$E$11</definedName>
    <definedName name="Atrasado_10" localSheetId="6">'PP1+PP2'!$E$11</definedName>
    <definedName name="Atrasado_10" localSheetId="7">'PP3'!$E$11</definedName>
    <definedName name="Atrasado_10" localSheetId="4">TOTAL!$F$11</definedName>
    <definedName name="Atrasado_11" localSheetId="10">'DIN + PUSH'!$E$12</definedName>
    <definedName name="Atrasado_11" localSheetId="8">DRI!$E$12</definedName>
    <definedName name="Atrasado_11" localSheetId="9">'FLOW RACK'!$E$12</definedName>
    <definedName name="Atrasado_11" localSheetId="5">OUTROS!$E$12</definedName>
    <definedName name="Atrasado_11" localSheetId="6">'PP1+PP2'!$E$12</definedName>
    <definedName name="Atrasado_11" localSheetId="7">'PP3'!$E$12</definedName>
    <definedName name="Atrasado_11" localSheetId="4">TOTAL!$F$12</definedName>
    <definedName name="Atrasado_12" localSheetId="10">'DIN + PUSH'!$E$13</definedName>
    <definedName name="Atrasado_12" localSheetId="8">DRI!$E$13</definedName>
    <definedName name="Atrasado_12" localSheetId="9">'FLOW RACK'!$E$13</definedName>
    <definedName name="Atrasado_12" localSheetId="5">OUTROS!$E$13</definedName>
    <definedName name="Atrasado_12" localSheetId="6">'PP1+PP2'!$E$13</definedName>
    <definedName name="Atrasado_12" localSheetId="7">'PP3'!$E$13</definedName>
    <definedName name="Atrasado_12" localSheetId="4">TOTAL!$F$13</definedName>
    <definedName name="Atrasado_13" localSheetId="10">'DIN + PUSH'!$E$14</definedName>
    <definedName name="Atrasado_13" localSheetId="8">DRI!$E$14</definedName>
    <definedName name="Atrasado_13" localSheetId="9">'FLOW RACK'!$E$14</definedName>
    <definedName name="Atrasado_13" localSheetId="5">OUTROS!$E$14</definedName>
    <definedName name="Atrasado_13" localSheetId="6">'PP1+PP2'!$E$14</definedName>
    <definedName name="Atrasado_13" localSheetId="7">'PP3'!$E$14</definedName>
    <definedName name="Atrasado_13" localSheetId="4">TOTAL!$F$14</definedName>
    <definedName name="Atrasado_14" localSheetId="10">'DIN + PUSH'!$E$15</definedName>
    <definedName name="Atrasado_14" localSheetId="8">DRI!$E$15</definedName>
    <definedName name="Atrasado_14" localSheetId="9">'FLOW RACK'!$E$15</definedName>
    <definedName name="Atrasado_14" localSheetId="5">OUTROS!$E$15</definedName>
    <definedName name="Atrasado_14" localSheetId="6">'PP1+PP2'!$E$15</definedName>
    <definedName name="Atrasado_14" localSheetId="7">'PP3'!$E$15</definedName>
    <definedName name="Atrasado_14" localSheetId="4">TOTAL!$F$15</definedName>
    <definedName name="Atrasado_15" localSheetId="10">'DIN + PUSH'!$E$16</definedName>
    <definedName name="Atrasado_15" localSheetId="8">DRI!$E$16</definedName>
    <definedName name="Atrasado_15" localSheetId="9">'FLOW RACK'!$E$16</definedName>
    <definedName name="Atrasado_15" localSheetId="5">OUTROS!$E$16</definedName>
    <definedName name="Atrasado_15" localSheetId="6">'PP1+PP2'!$E$16</definedName>
    <definedName name="Atrasado_15" localSheetId="7">'PP3'!$E$16</definedName>
    <definedName name="Atrasado_15" localSheetId="4">TOTAL!$F$16</definedName>
    <definedName name="Atrasado_16" localSheetId="10">'DIN + PUSH'!$E$17</definedName>
    <definedName name="Atrasado_16" localSheetId="8">DRI!$E$17</definedName>
    <definedName name="Atrasado_16" localSheetId="9">'FLOW RACK'!$E$17</definedName>
    <definedName name="Atrasado_16" localSheetId="5">OUTROS!$E$17</definedName>
    <definedName name="Atrasado_16" localSheetId="6">'PP1+PP2'!$E$17</definedName>
    <definedName name="Atrasado_16" localSheetId="7">'PP3'!$E$17</definedName>
    <definedName name="Atrasado_16" localSheetId="4">TOTAL!$F$17</definedName>
    <definedName name="Atrasado_17" localSheetId="10">'DIN + PUSH'!$E$18</definedName>
    <definedName name="Atrasado_17" localSheetId="8">DRI!$E$18</definedName>
    <definedName name="Atrasado_17" localSheetId="9">'FLOW RACK'!$E$18</definedName>
    <definedName name="Atrasado_17" localSheetId="5">OUTROS!$E$18</definedName>
    <definedName name="Atrasado_17" localSheetId="6">'PP1+PP2'!$E$18</definedName>
    <definedName name="Atrasado_17" localSheetId="7">'PP3'!$E$18</definedName>
    <definedName name="Atrasado_17" localSheetId="4">TOTAL!$F$18</definedName>
    <definedName name="Atrasado_18" localSheetId="10">'DIN + PUSH'!$E$19</definedName>
    <definedName name="Atrasado_18" localSheetId="8">DRI!$E$19</definedName>
    <definedName name="Atrasado_18" localSheetId="9">'FLOW RACK'!$E$19</definedName>
    <definedName name="Atrasado_18" localSheetId="5">OUTROS!$E$19</definedName>
    <definedName name="Atrasado_18" localSheetId="6">'PP1+PP2'!$E$19</definedName>
    <definedName name="Atrasado_18" localSheetId="7">'PP3'!$E$19</definedName>
    <definedName name="Atrasado_18" localSheetId="4">TOTAL!$F$19</definedName>
    <definedName name="Atrasado_19" localSheetId="10">'DIN + PUSH'!$E$20</definedName>
    <definedName name="Atrasado_19" localSheetId="8">DRI!$E$20</definedName>
    <definedName name="Atrasado_19" localSheetId="9">'FLOW RACK'!$E$20</definedName>
    <definedName name="Atrasado_19" localSheetId="5">OUTROS!$E$20</definedName>
    <definedName name="Atrasado_19" localSheetId="6">'PP1+PP2'!$E$20</definedName>
    <definedName name="Atrasado_19" localSheetId="7">'PP3'!$E$20</definedName>
    <definedName name="Atrasado_19" localSheetId="4">TOTAL!$F$20</definedName>
    <definedName name="Atrasado_2" localSheetId="10">'DIN + PUSH'!$E$3</definedName>
    <definedName name="Atrasado_2" localSheetId="8">DRI!$E$3</definedName>
    <definedName name="Atrasado_2" localSheetId="9">'FLOW RACK'!$E$3</definedName>
    <definedName name="Atrasado_2" localSheetId="5">OUTROS!$E$3</definedName>
    <definedName name="Atrasado_2" localSheetId="6">'PP1+PP2'!$E$3</definedName>
    <definedName name="Atrasado_2" localSheetId="7">'PP3'!$E$3</definedName>
    <definedName name="Atrasado_2" localSheetId="4">TOTAL!$F$3</definedName>
    <definedName name="Atrasado_20" localSheetId="10">'DIN + PUSH'!$E$21</definedName>
    <definedName name="Atrasado_20" localSheetId="8">DRI!$E$21</definedName>
    <definedName name="Atrasado_20" localSheetId="9">'FLOW RACK'!$E$21</definedName>
    <definedName name="Atrasado_20" localSheetId="5">OUTROS!$E$21</definedName>
    <definedName name="Atrasado_20" localSheetId="6">'PP1+PP2'!$E$21</definedName>
    <definedName name="Atrasado_20" localSheetId="7">'PP3'!$E$21</definedName>
    <definedName name="Atrasado_20" localSheetId="4">TOTAL!$F$21</definedName>
    <definedName name="Atrasado_21" localSheetId="10">'DIN + PUSH'!$E$22</definedName>
    <definedName name="Atrasado_21" localSheetId="8">DRI!$E$22</definedName>
    <definedName name="Atrasado_21" localSheetId="9">'FLOW RACK'!$E$22</definedName>
    <definedName name="Atrasado_21" localSheetId="5">OUTROS!$E$22</definedName>
    <definedName name="Atrasado_21" localSheetId="6">'PP1+PP2'!$E$22</definedName>
    <definedName name="Atrasado_21" localSheetId="7">'PP3'!$E$22</definedName>
    <definedName name="Atrasado_21" localSheetId="4">TOTAL!$F$22</definedName>
    <definedName name="Atrasado_22" localSheetId="10">'DIN + PUSH'!$E$23</definedName>
    <definedName name="Atrasado_22" localSheetId="8">DRI!$E$23</definedName>
    <definedName name="Atrasado_22" localSheetId="9">'FLOW RACK'!$E$23</definedName>
    <definedName name="Atrasado_22" localSheetId="5">OUTROS!$E$23</definedName>
    <definedName name="Atrasado_22" localSheetId="6">'PP1+PP2'!$E$23</definedName>
    <definedName name="Atrasado_22" localSheetId="7">'PP3'!$E$23</definedName>
    <definedName name="Atrasado_22" localSheetId="4">TOTAL!$F$23</definedName>
    <definedName name="Atrasado_23" localSheetId="10">'DIN + PUSH'!$E$24</definedName>
    <definedName name="Atrasado_23" localSheetId="8">DRI!$E$24</definedName>
    <definedName name="Atrasado_23" localSheetId="9">'FLOW RACK'!$E$24</definedName>
    <definedName name="Atrasado_23" localSheetId="5">OUTROS!$E$24</definedName>
    <definedName name="Atrasado_23" localSheetId="6">'PP1+PP2'!$E$24</definedName>
    <definedName name="Atrasado_23" localSheetId="7">'PP3'!$E$24</definedName>
    <definedName name="Atrasado_23" localSheetId="4">TOTAL!$F$24</definedName>
    <definedName name="Atrasado_24" localSheetId="10">'DIN + PUSH'!$E$25</definedName>
    <definedName name="Atrasado_24" localSheetId="8">DRI!$E$25</definedName>
    <definedName name="Atrasado_24" localSheetId="9">'FLOW RACK'!$E$25</definedName>
    <definedName name="Atrasado_24" localSheetId="5">OUTROS!$E$25</definedName>
    <definedName name="Atrasado_24" localSheetId="6">'PP1+PP2'!$E$25</definedName>
    <definedName name="Atrasado_24" localSheetId="7">'PP3'!$E$25</definedName>
    <definedName name="Atrasado_24" localSheetId="4">TOTAL!$F$25</definedName>
    <definedName name="Atrasado_25" localSheetId="10">'DIN + PUSH'!#REF!</definedName>
    <definedName name="Atrasado_25" localSheetId="8">DRI!#REF!</definedName>
    <definedName name="Atrasado_25" localSheetId="9">'FLOW RACK'!#REF!</definedName>
    <definedName name="Atrasado_25" localSheetId="5">OUTROS!#REF!</definedName>
    <definedName name="Atrasado_25" localSheetId="6">'PP1+PP2'!#REF!</definedName>
    <definedName name="Atrasado_25" localSheetId="7">'PP3'!#REF!</definedName>
    <definedName name="Atrasado_25" localSheetId="4">TOTAL!#REF!</definedName>
    <definedName name="Atrasado_26" localSheetId="10">'DIN + PUSH'!#REF!</definedName>
    <definedName name="Atrasado_26" localSheetId="8">DRI!#REF!</definedName>
    <definedName name="Atrasado_26" localSheetId="9">'FLOW RACK'!#REF!</definedName>
    <definedName name="Atrasado_26" localSheetId="5">OUTROS!#REF!</definedName>
    <definedName name="Atrasado_26" localSheetId="6">'PP1+PP2'!#REF!</definedName>
    <definedName name="Atrasado_26" localSheetId="7">'PP3'!#REF!</definedName>
    <definedName name="Atrasado_26" localSheetId="4">TOTAL!#REF!</definedName>
    <definedName name="Atrasado_27" localSheetId="10">'DIN + PUSH'!#REF!</definedName>
    <definedName name="Atrasado_27" localSheetId="8">DRI!#REF!</definedName>
    <definedName name="Atrasado_27" localSheetId="9">'FLOW RACK'!#REF!</definedName>
    <definedName name="Atrasado_27" localSheetId="5">OUTROS!#REF!</definedName>
    <definedName name="Atrasado_27" localSheetId="6">'PP1+PP2'!#REF!</definedName>
    <definedName name="Atrasado_27" localSheetId="7">'PP3'!#REF!</definedName>
    <definedName name="Atrasado_27" localSheetId="4">TOTAL!#REF!</definedName>
    <definedName name="Atrasado_28" localSheetId="10">'DIN + PUSH'!#REF!</definedName>
    <definedName name="Atrasado_28" localSheetId="8">DRI!#REF!</definedName>
    <definedName name="Atrasado_28" localSheetId="9">'FLOW RACK'!#REF!</definedName>
    <definedName name="Atrasado_28" localSheetId="5">OUTROS!#REF!</definedName>
    <definedName name="Atrasado_28" localSheetId="6">'PP1+PP2'!#REF!</definedName>
    <definedName name="Atrasado_28" localSheetId="7">'PP3'!#REF!</definedName>
    <definedName name="Atrasado_28" localSheetId="4">TOTAL!#REF!</definedName>
    <definedName name="Atrasado_29" localSheetId="10">'DIN + PUSH'!#REF!</definedName>
    <definedName name="Atrasado_29" localSheetId="8">DRI!#REF!</definedName>
    <definedName name="Atrasado_29" localSheetId="9">'FLOW RACK'!#REF!</definedName>
    <definedName name="Atrasado_29" localSheetId="5">OUTROS!#REF!</definedName>
    <definedName name="Atrasado_29" localSheetId="6">'PP1+PP2'!#REF!</definedName>
    <definedName name="Atrasado_29" localSheetId="7">'PP3'!#REF!</definedName>
    <definedName name="Atrasado_29" localSheetId="4">TOTAL!#REF!</definedName>
    <definedName name="Atrasado_3" localSheetId="10">'DIN + PUSH'!$E$4</definedName>
    <definedName name="Atrasado_3" localSheetId="8">DRI!$E$4</definedName>
    <definedName name="Atrasado_3" localSheetId="9">'FLOW RACK'!$E$4</definedName>
    <definedName name="Atrasado_3" localSheetId="5">OUTROS!$E$4</definedName>
    <definedName name="Atrasado_3" localSheetId="6">'PP1+PP2'!$E$4</definedName>
    <definedName name="Atrasado_3" localSheetId="7">'PP3'!$E$4</definedName>
    <definedName name="Atrasado_3" localSheetId="4">TOTAL!$F$4</definedName>
    <definedName name="Atrasado_30" localSheetId="10">'DIN + PUSH'!#REF!</definedName>
    <definedName name="Atrasado_30" localSheetId="8">DRI!#REF!</definedName>
    <definedName name="Atrasado_30" localSheetId="9">'FLOW RACK'!#REF!</definedName>
    <definedName name="Atrasado_30" localSheetId="5">OUTROS!#REF!</definedName>
    <definedName name="Atrasado_30" localSheetId="6">'PP1+PP2'!#REF!</definedName>
    <definedName name="Atrasado_30" localSheetId="7">'PP3'!#REF!</definedName>
    <definedName name="Atrasado_30" localSheetId="4">TOTAL!#REF!</definedName>
    <definedName name="Atrasado_31" localSheetId="10">'DIN + PUSH'!#REF!</definedName>
    <definedName name="Atrasado_31" localSheetId="8">DRI!#REF!</definedName>
    <definedName name="Atrasado_31" localSheetId="9">'FLOW RACK'!#REF!</definedName>
    <definedName name="Atrasado_31" localSheetId="5">OUTROS!#REF!</definedName>
    <definedName name="Atrasado_31" localSheetId="6">'PP1+PP2'!#REF!</definedName>
    <definedName name="Atrasado_31" localSheetId="7">'PP3'!#REF!</definedName>
    <definedName name="Atrasado_31" localSheetId="4">TOTAL!#REF!</definedName>
    <definedName name="Atrasado_32" localSheetId="10">'DIN + PUSH'!#REF!</definedName>
    <definedName name="Atrasado_32" localSheetId="8">DRI!#REF!</definedName>
    <definedName name="Atrasado_32" localSheetId="9">'FLOW RACK'!#REF!</definedName>
    <definedName name="Atrasado_32" localSheetId="5">OUTROS!#REF!</definedName>
    <definedName name="Atrasado_32" localSheetId="6">'PP1+PP2'!#REF!</definedName>
    <definedName name="Atrasado_32" localSheetId="7">'PP3'!#REF!</definedName>
    <definedName name="Atrasado_32" localSheetId="4">TOTAL!#REF!</definedName>
    <definedName name="Atrasado_33" localSheetId="10">'DIN + PUSH'!#REF!</definedName>
    <definedName name="Atrasado_33" localSheetId="8">DRI!#REF!</definedName>
    <definedName name="Atrasado_33" localSheetId="9">'FLOW RACK'!#REF!</definedName>
    <definedName name="Atrasado_33" localSheetId="5">OUTROS!#REF!</definedName>
    <definedName name="Atrasado_33" localSheetId="6">'PP1+PP2'!#REF!</definedName>
    <definedName name="Atrasado_33" localSheetId="7">'PP3'!#REF!</definedName>
    <definedName name="Atrasado_33" localSheetId="4">TOTAL!#REF!</definedName>
    <definedName name="Atrasado_34" localSheetId="10">'DIN + PUSH'!#REF!</definedName>
    <definedName name="Atrasado_34" localSheetId="8">DRI!#REF!</definedName>
    <definedName name="Atrasado_34" localSheetId="9">'FLOW RACK'!#REF!</definedName>
    <definedName name="Atrasado_34" localSheetId="5">OUTROS!#REF!</definedName>
    <definedName name="Atrasado_34" localSheetId="6">'PP1+PP2'!#REF!</definedName>
    <definedName name="Atrasado_34" localSheetId="7">'PP3'!#REF!</definedName>
    <definedName name="Atrasado_34" localSheetId="4">TOTAL!#REF!</definedName>
    <definedName name="Atrasado_35" localSheetId="10">'DIN + PUSH'!#REF!</definedName>
    <definedName name="Atrasado_35" localSheetId="8">DRI!#REF!</definedName>
    <definedName name="Atrasado_35" localSheetId="9">'FLOW RACK'!#REF!</definedName>
    <definedName name="Atrasado_35" localSheetId="5">OUTROS!#REF!</definedName>
    <definedName name="Atrasado_35" localSheetId="6">'PP1+PP2'!#REF!</definedName>
    <definedName name="Atrasado_35" localSheetId="7">'PP3'!#REF!</definedName>
    <definedName name="Atrasado_35" localSheetId="4">TOTAL!#REF!</definedName>
    <definedName name="Atrasado_36" localSheetId="10">'DIN + PUSH'!#REF!</definedName>
    <definedName name="Atrasado_36" localSheetId="8">DRI!#REF!</definedName>
    <definedName name="Atrasado_36" localSheetId="9">'FLOW RACK'!#REF!</definedName>
    <definedName name="Atrasado_36" localSheetId="5">OUTROS!#REF!</definedName>
    <definedName name="Atrasado_36" localSheetId="6">'PP1+PP2'!#REF!</definedName>
    <definedName name="Atrasado_36" localSheetId="7">'PP3'!#REF!</definedName>
    <definedName name="Atrasado_36" localSheetId="4">TOTAL!#REF!</definedName>
    <definedName name="Atrasado_37" localSheetId="10">'DIN + PUSH'!#REF!</definedName>
    <definedName name="Atrasado_37" localSheetId="8">DRI!#REF!</definedName>
    <definedName name="Atrasado_37" localSheetId="9">'FLOW RACK'!#REF!</definedName>
    <definedName name="Atrasado_37" localSheetId="5">OUTROS!#REF!</definedName>
    <definedName name="Atrasado_37" localSheetId="6">'PP1+PP2'!#REF!</definedName>
    <definedName name="Atrasado_37" localSheetId="7">'PP3'!#REF!</definedName>
    <definedName name="Atrasado_37" localSheetId="4">TOTAL!#REF!</definedName>
    <definedName name="Atrasado_38" localSheetId="10">'DIN + PUSH'!#REF!</definedName>
    <definedName name="Atrasado_38" localSheetId="8">DRI!#REF!</definedName>
    <definedName name="Atrasado_38" localSheetId="9">'FLOW RACK'!#REF!</definedName>
    <definedName name="Atrasado_38" localSheetId="5">OUTROS!#REF!</definedName>
    <definedName name="Atrasado_38" localSheetId="6">'PP1+PP2'!#REF!</definedName>
    <definedName name="Atrasado_38" localSheetId="7">'PP3'!#REF!</definedName>
    <definedName name="Atrasado_38" localSheetId="4">TOTAL!#REF!</definedName>
    <definedName name="Atrasado_39" localSheetId="10">'DIN + PUSH'!#REF!</definedName>
    <definedName name="Atrasado_39" localSheetId="8">DRI!#REF!</definedName>
    <definedName name="Atrasado_39" localSheetId="9">'FLOW RACK'!#REF!</definedName>
    <definedName name="Atrasado_39" localSheetId="5">OUTROS!#REF!</definedName>
    <definedName name="Atrasado_39" localSheetId="6">'PP1+PP2'!#REF!</definedName>
    <definedName name="Atrasado_39" localSheetId="7">'PP3'!#REF!</definedName>
    <definedName name="Atrasado_39" localSheetId="4">TOTAL!#REF!</definedName>
    <definedName name="Atrasado_4" localSheetId="10">'DIN + PUSH'!$E$5</definedName>
    <definedName name="Atrasado_4" localSheetId="8">DRI!$E$5</definedName>
    <definedName name="Atrasado_4" localSheetId="9">'FLOW RACK'!$E$5</definedName>
    <definedName name="Atrasado_4" localSheetId="5">OUTROS!$E$5</definedName>
    <definedName name="Atrasado_4" localSheetId="6">'PP1+PP2'!$E$5</definedName>
    <definedName name="Atrasado_4" localSheetId="7">'PP3'!$E$5</definedName>
    <definedName name="Atrasado_4" localSheetId="4">TOTAL!$F$5</definedName>
    <definedName name="Atrasado_40" localSheetId="10">'DIN + PUSH'!#REF!</definedName>
    <definedName name="Atrasado_40" localSheetId="8">DRI!#REF!</definedName>
    <definedName name="Atrasado_40" localSheetId="9">'FLOW RACK'!#REF!</definedName>
    <definedName name="Atrasado_40" localSheetId="5">OUTROS!#REF!</definedName>
    <definedName name="Atrasado_40" localSheetId="6">'PP1+PP2'!#REF!</definedName>
    <definedName name="Atrasado_40" localSheetId="7">'PP3'!#REF!</definedName>
    <definedName name="Atrasado_40" localSheetId="4">TOTAL!#REF!</definedName>
    <definedName name="Atrasado_41" localSheetId="10">'DIN + PUSH'!#REF!</definedName>
    <definedName name="Atrasado_41" localSheetId="8">DRI!#REF!</definedName>
    <definedName name="Atrasado_41" localSheetId="9">'FLOW RACK'!#REF!</definedName>
    <definedName name="Atrasado_41" localSheetId="5">OUTROS!#REF!</definedName>
    <definedName name="Atrasado_41" localSheetId="6">'PP1+PP2'!#REF!</definedName>
    <definedName name="Atrasado_41" localSheetId="7">'PP3'!#REF!</definedName>
    <definedName name="Atrasado_41" localSheetId="4">TOTAL!#REF!</definedName>
    <definedName name="Atrasado_42" localSheetId="10">'DIN + PUSH'!#REF!</definedName>
    <definedName name="Atrasado_42" localSheetId="8">DRI!#REF!</definedName>
    <definedName name="Atrasado_42" localSheetId="9">'FLOW RACK'!#REF!</definedName>
    <definedName name="Atrasado_42" localSheetId="5">OUTROS!#REF!</definedName>
    <definedName name="Atrasado_42" localSheetId="6">'PP1+PP2'!#REF!</definedName>
    <definedName name="Atrasado_42" localSheetId="7">'PP3'!#REF!</definedName>
    <definedName name="Atrasado_42" localSheetId="4">TOTAL!#REF!</definedName>
    <definedName name="Atrasado_43" localSheetId="10">'DIN + PUSH'!#REF!</definedName>
    <definedName name="Atrasado_43" localSheetId="8">DRI!#REF!</definedName>
    <definedName name="Atrasado_43" localSheetId="9">'FLOW RACK'!#REF!</definedName>
    <definedName name="Atrasado_43" localSheetId="5">OUTROS!#REF!</definedName>
    <definedName name="Atrasado_43" localSheetId="6">'PP1+PP2'!#REF!</definedName>
    <definedName name="Atrasado_43" localSheetId="7">'PP3'!#REF!</definedName>
    <definedName name="Atrasado_43" localSheetId="4">TOTAL!#REF!</definedName>
    <definedName name="Atrasado_44" localSheetId="10">'DIN + PUSH'!#REF!</definedName>
    <definedName name="Atrasado_44" localSheetId="8">DRI!#REF!</definedName>
    <definedName name="Atrasado_44" localSheetId="9">'FLOW RACK'!#REF!</definedName>
    <definedName name="Atrasado_44" localSheetId="5">OUTROS!#REF!</definedName>
    <definedName name="Atrasado_44" localSheetId="6">'PP1+PP2'!#REF!</definedName>
    <definedName name="Atrasado_44" localSheetId="7">'PP3'!#REF!</definedName>
    <definedName name="Atrasado_44" localSheetId="4">TOTAL!#REF!</definedName>
    <definedName name="Atrasado_45" localSheetId="10">'DIN + PUSH'!#REF!</definedName>
    <definedName name="Atrasado_45" localSheetId="8">DRI!#REF!</definedName>
    <definedName name="Atrasado_45" localSheetId="9">'FLOW RACK'!#REF!</definedName>
    <definedName name="Atrasado_45" localSheetId="5">OUTROS!#REF!</definedName>
    <definedName name="Atrasado_45" localSheetId="6">'PP1+PP2'!#REF!</definedName>
    <definedName name="Atrasado_45" localSheetId="7">'PP3'!#REF!</definedName>
    <definedName name="Atrasado_45" localSheetId="4">TOTAL!#REF!</definedName>
    <definedName name="Atrasado_46" localSheetId="10">'DIN + PUSH'!#REF!</definedName>
    <definedName name="Atrasado_46" localSheetId="8">DRI!#REF!</definedName>
    <definedName name="Atrasado_46" localSheetId="9">'FLOW RACK'!#REF!</definedName>
    <definedName name="Atrasado_46" localSheetId="5">OUTROS!#REF!</definedName>
    <definedName name="Atrasado_46" localSheetId="6">'PP1+PP2'!#REF!</definedName>
    <definedName name="Atrasado_46" localSheetId="7">'PP3'!#REF!</definedName>
    <definedName name="Atrasado_46" localSheetId="4">TOTAL!#REF!</definedName>
    <definedName name="Atrasado_47" localSheetId="10">'DIN + PUSH'!#REF!</definedName>
    <definedName name="Atrasado_47" localSheetId="8">DRI!#REF!</definedName>
    <definedName name="Atrasado_47" localSheetId="9">'FLOW RACK'!#REF!</definedName>
    <definedName name="Atrasado_47" localSheetId="5">OUTROS!#REF!</definedName>
    <definedName name="Atrasado_47" localSheetId="6">'PP1+PP2'!#REF!</definedName>
    <definedName name="Atrasado_47" localSheetId="7">'PP3'!#REF!</definedName>
    <definedName name="Atrasado_47" localSheetId="4">TOTAL!#REF!</definedName>
    <definedName name="Atrasado_48" localSheetId="10">'DIN + PUSH'!#REF!</definedName>
    <definedName name="Atrasado_48" localSheetId="8">DRI!#REF!</definedName>
    <definedName name="Atrasado_48" localSheetId="9">'FLOW RACK'!#REF!</definedName>
    <definedName name="Atrasado_48" localSheetId="5">OUTROS!#REF!</definedName>
    <definedName name="Atrasado_48" localSheetId="6">'PP1+PP2'!#REF!</definedName>
    <definedName name="Atrasado_48" localSheetId="7">'PP3'!#REF!</definedName>
    <definedName name="Atrasado_48" localSheetId="4">TOTAL!#REF!</definedName>
    <definedName name="Atrasado_49" localSheetId="10">'DIN + PUSH'!#REF!</definedName>
    <definedName name="Atrasado_49" localSheetId="8">DRI!#REF!</definedName>
    <definedName name="Atrasado_49" localSheetId="9">'FLOW RACK'!#REF!</definedName>
    <definedName name="Atrasado_49" localSheetId="5">OUTROS!#REF!</definedName>
    <definedName name="Atrasado_49" localSheetId="6">'PP1+PP2'!#REF!</definedName>
    <definedName name="Atrasado_49" localSheetId="7">'PP3'!#REF!</definedName>
    <definedName name="Atrasado_49" localSheetId="4">TOTAL!#REF!</definedName>
    <definedName name="Atrasado_5" localSheetId="10">'DIN + PUSH'!$E$6</definedName>
    <definedName name="Atrasado_5" localSheetId="8">DRI!$E$6</definedName>
    <definedName name="Atrasado_5" localSheetId="9">'FLOW RACK'!$E$6</definedName>
    <definedName name="Atrasado_5" localSheetId="5">OUTROS!$E$6</definedName>
    <definedName name="Atrasado_5" localSheetId="6">'PP1+PP2'!$E$6</definedName>
    <definedName name="Atrasado_5" localSheetId="7">'PP3'!$E$6</definedName>
    <definedName name="Atrasado_5" localSheetId="4">TOTAL!$F$6</definedName>
    <definedName name="Atrasado_50" localSheetId="10">'DIN + PUSH'!#REF!</definedName>
    <definedName name="Atrasado_50" localSheetId="8">DRI!#REF!</definedName>
    <definedName name="Atrasado_50" localSheetId="9">'FLOW RACK'!#REF!</definedName>
    <definedName name="Atrasado_50" localSheetId="5">OUTROS!#REF!</definedName>
    <definedName name="Atrasado_50" localSheetId="6">'PP1+PP2'!#REF!</definedName>
    <definedName name="Atrasado_50" localSheetId="7">'PP3'!#REF!</definedName>
    <definedName name="Atrasado_50" localSheetId="4">TOTAL!#REF!</definedName>
    <definedName name="Atrasado_51" localSheetId="10">'DIN + PUSH'!#REF!</definedName>
    <definedName name="Atrasado_51" localSheetId="8">DRI!#REF!</definedName>
    <definedName name="Atrasado_51" localSheetId="9">'FLOW RACK'!#REF!</definedName>
    <definedName name="Atrasado_51" localSheetId="5">OUTROS!#REF!</definedName>
    <definedName name="Atrasado_51" localSheetId="6">'PP1+PP2'!#REF!</definedName>
    <definedName name="Atrasado_51" localSheetId="7">'PP3'!#REF!</definedName>
    <definedName name="Atrasado_51" localSheetId="4">TOTAL!#REF!</definedName>
    <definedName name="Atrasado_52" localSheetId="10">'DIN + PUSH'!#REF!</definedName>
    <definedName name="Atrasado_52" localSheetId="8">DRI!#REF!</definedName>
    <definedName name="Atrasado_52" localSheetId="9">'FLOW RACK'!#REF!</definedName>
    <definedName name="Atrasado_52" localSheetId="5">OUTROS!#REF!</definedName>
    <definedName name="Atrasado_52" localSheetId="6">'PP1+PP2'!#REF!</definedName>
    <definedName name="Atrasado_52" localSheetId="7">'PP3'!#REF!</definedName>
    <definedName name="Atrasado_52" localSheetId="4">TOTAL!#REF!</definedName>
    <definedName name="Atrasado_53" localSheetId="10">'DIN + PUSH'!#REF!</definedName>
    <definedName name="Atrasado_53" localSheetId="8">DRI!#REF!</definedName>
    <definedName name="Atrasado_53" localSheetId="9">'FLOW RACK'!#REF!</definedName>
    <definedName name="Atrasado_53" localSheetId="5">OUTROS!#REF!</definedName>
    <definedName name="Atrasado_53" localSheetId="6">'PP1+PP2'!#REF!</definedName>
    <definedName name="Atrasado_53" localSheetId="7">'PP3'!#REF!</definedName>
    <definedName name="Atrasado_53" localSheetId="4">TOTAL!#REF!</definedName>
    <definedName name="Atrasado_6" localSheetId="10">'DIN + PUSH'!$E$7</definedName>
    <definedName name="Atrasado_6" localSheetId="8">DRI!$E$7</definedName>
    <definedName name="Atrasado_6" localSheetId="9">'FLOW RACK'!$E$7</definedName>
    <definedName name="Atrasado_6" localSheetId="5">OUTROS!$E$7</definedName>
    <definedName name="Atrasado_6" localSheetId="6">'PP1+PP2'!$E$7</definedName>
    <definedName name="Atrasado_6" localSheetId="7">'PP3'!$E$7</definedName>
    <definedName name="Atrasado_6" localSheetId="4">TOTAL!$F$7</definedName>
    <definedName name="Atrasado_7" localSheetId="10">'DIN + PUSH'!$E$8</definedName>
    <definedName name="Atrasado_7" localSheetId="8">DRI!$E$8</definedName>
    <definedName name="Atrasado_7" localSheetId="9">'FLOW RACK'!$E$8</definedName>
    <definedName name="Atrasado_7" localSheetId="5">OUTROS!$E$8</definedName>
    <definedName name="Atrasado_7" localSheetId="6">'PP1+PP2'!$E$8</definedName>
    <definedName name="Atrasado_7" localSheetId="7">'PP3'!$E$8</definedName>
    <definedName name="Atrasado_7" localSheetId="4">TOTAL!$F$8</definedName>
    <definedName name="Atrasado_8" localSheetId="10">'DIN + PUSH'!$E$9</definedName>
    <definedName name="Atrasado_8" localSheetId="8">DRI!$E$9</definedName>
    <definedName name="Atrasado_8" localSheetId="9">'FLOW RACK'!$E$9</definedName>
    <definedName name="Atrasado_8" localSheetId="5">OUTROS!$E$9</definedName>
    <definedName name="Atrasado_8" localSheetId="6">'PP1+PP2'!$E$9</definedName>
    <definedName name="Atrasado_8" localSheetId="7">'PP3'!$E$9</definedName>
    <definedName name="Atrasado_8" localSheetId="4">TOTAL!$F$9</definedName>
    <definedName name="Atrasado_9" localSheetId="10">'DIN + PUSH'!$E$10</definedName>
    <definedName name="Atrasado_9" localSheetId="8">DRI!$E$10</definedName>
    <definedName name="Atrasado_9" localSheetId="9">'FLOW RACK'!$E$10</definedName>
    <definedName name="Atrasado_9" localSheetId="5">OUTROS!$E$10</definedName>
    <definedName name="Atrasado_9" localSheetId="6">'PP1+PP2'!$E$10</definedName>
    <definedName name="Atrasado_9" localSheetId="7">'PP3'!$E$10</definedName>
    <definedName name="Atrasado_9" localSheetId="4">TOTAL!$F$10</definedName>
    <definedName name="CTL.CIDADE" localSheetId="10">#REF!</definedName>
    <definedName name="CTL.CIDADE" localSheetId="8">#REF!</definedName>
    <definedName name="CTL.CIDADE" localSheetId="9">#REF!</definedName>
    <definedName name="CTL.CIDADE" localSheetId="5">#REF!</definedName>
    <definedName name="CTL.CIDADE" localSheetId="6">#REF!</definedName>
    <definedName name="CTL.CIDADE" localSheetId="7">#REF!</definedName>
    <definedName name="CTL.CIDADE" localSheetId="4">#REF!</definedName>
    <definedName name="CTL.CIDADE">#REF!</definedName>
    <definedName name="CTL.CLIENTE" localSheetId="10">#REF!</definedName>
    <definedName name="CTL.CLIENTE" localSheetId="8">#REF!</definedName>
    <definedName name="CTL.CLIENTE" localSheetId="9">#REF!</definedName>
    <definedName name="CTL.CLIENTE" localSheetId="5">#REF!</definedName>
    <definedName name="CTL.CLIENTE" localSheetId="6">#REF!</definedName>
    <definedName name="CTL.CLIENTE" localSheetId="7">#REF!</definedName>
    <definedName name="CTL.CLIENTE" localSheetId="4">#REF!</definedName>
    <definedName name="CTL.CLIENTE">#REF!</definedName>
    <definedName name="CTL.DATA" localSheetId="10">#REF!</definedName>
    <definedName name="CTL.DATA" localSheetId="8">#REF!</definedName>
    <definedName name="CTL.DATA" localSheetId="9">#REF!</definedName>
    <definedName name="CTL.DATA" localSheetId="5">#REF!</definedName>
    <definedName name="CTL.DATA" localSheetId="6">#REF!</definedName>
    <definedName name="CTL.DATA" localSheetId="7">#REF!</definedName>
    <definedName name="CTL.DATA" localSheetId="4">#REF!</definedName>
    <definedName name="CTL.DATA">#REF!</definedName>
    <definedName name="CTL.ESTADO" localSheetId="10">#REF!</definedName>
    <definedName name="CTL.ESTADO" localSheetId="8">#REF!</definedName>
    <definedName name="CTL.ESTADO" localSheetId="9">#REF!</definedName>
    <definedName name="CTL.ESTADO" localSheetId="5">#REF!</definedName>
    <definedName name="CTL.ESTADO" localSheetId="6">#REF!</definedName>
    <definedName name="CTL.ESTADO" localSheetId="7">#REF!</definedName>
    <definedName name="CTL.ESTADO" localSheetId="4">#REF!</definedName>
    <definedName name="CTL.ESTADO">#REF!</definedName>
    <definedName name="CTL.PROJETO" localSheetId="10">#REF!</definedName>
    <definedName name="CTL.PROJETO" localSheetId="8">#REF!</definedName>
    <definedName name="CTL.PROJETO" localSheetId="9">#REF!</definedName>
    <definedName name="CTL.PROJETO" localSheetId="5">#REF!</definedName>
    <definedName name="CTL.PROJETO" localSheetId="6">#REF!</definedName>
    <definedName name="CTL.PROJETO" localSheetId="7">#REF!</definedName>
    <definedName name="CTL.PROJETO" localSheetId="4">#REF!</definedName>
    <definedName name="CTL.PROJETO">#REF!</definedName>
    <definedName name="DiadaSemana_1" localSheetId="10">'DIN + PUSH'!$A$2</definedName>
    <definedName name="DiadaSemana_1" localSheetId="8">DRI!$A$2</definedName>
    <definedName name="DiadaSemana_1" localSheetId="9">'FLOW RACK'!$A$2</definedName>
    <definedName name="DiadaSemana_1" localSheetId="5">OUTROS!$A$2</definedName>
    <definedName name="DiadaSemana_1" localSheetId="6">'PP1+PP2'!$A$2</definedName>
    <definedName name="DiadaSemana_1" localSheetId="7">'PP3'!$A$2</definedName>
    <definedName name="DiadaSemana_1" localSheetId="4">TOTAL!$A$2</definedName>
    <definedName name="DiadaSemana_10" localSheetId="10">'DIN + PUSH'!$A$11</definedName>
    <definedName name="DiadaSemana_10" localSheetId="8">DRI!$A$11</definedName>
    <definedName name="DiadaSemana_10" localSheetId="9">'FLOW RACK'!$A$11</definedName>
    <definedName name="DiadaSemana_10" localSheetId="5">OUTROS!$A$11</definedName>
    <definedName name="DiadaSemana_10" localSheetId="6">'PP1+PP2'!$A$11</definedName>
    <definedName name="DiadaSemana_10" localSheetId="7">'PP3'!$A$11</definedName>
    <definedName name="DiadaSemana_10" localSheetId="4">TOTAL!$A$11</definedName>
    <definedName name="DiadaSemana_11" localSheetId="10">'DIN + PUSH'!$A$12</definedName>
    <definedName name="DiadaSemana_11" localSheetId="8">DRI!$A$12</definedName>
    <definedName name="DiadaSemana_11" localSheetId="9">'FLOW RACK'!$A$12</definedName>
    <definedName name="DiadaSemana_11" localSheetId="5">OUTROS!$A$12</definedName>
    <definedName name="DiadaSemana_11" localSheetId="6">'PP1+PP2'!$A$12</definedName>
    <definedName name="DiadaSemana_11" localSheetId="7">'PP3'!$A$12</definedName>
    <definedName name="DiadaSemana_11" localSheetId="4">TOTAL!$A$12</definedName>
    <definedName name="DiadaSemana_12" localSheetId="10">'DIN + PUSH'!$A$13</definedName>
    <definedName name="DiadaSemana_12" localSheetId="8">DRI!$A$13</definedName>
    <definedName name="DiadaSemana_12" localSheetId="9">'FLOW RACK'!$A$13</definedName>
    <definedName name="DiadaSemana_12" localSheetId="5">OUTROS!$A$13</definedName>
    <definedName name="DiadaSemana_12" localSheetId="6">'PP1+PP2'!$A$13</definedName>
    <definedName name="DiadaSemana_12" localSheetId="7">'PP3'!$A$13</definedName>
    <definedName name="DiadaSemana_12" localSheetId="4">TOTAL!$A$13</definedName>
    <definedName name="DiadaSemana_13" localSheetId="10">'DIN + PUSH'!$A$14</definedName>
    <definedName name="DiadaSemana_13" localSheetId="8">DRI!$A$14</definedName>
    <definedName name="DiadaSemana_13" localSheetId="9">'FLOW RACK'!$A$14</definedName>
    <definedName name="DiadaSemana_13" localSheetId="5">OUTROS!$A$14</definedName>
    <definedName name="DiadaSemana_13" localSheetId="6">'PP1+PP2'!$A$14</definedName>
    <definedName name="DiadaSemana_13" localSheetId="7">'PP3'!$A$14</definedName>
    <definedName name="DiadaSemana_13" localSheetId="4">TOTAL!$A$14</definedName>
    <definedName name="DiadaSemana_14" localSheetId="10">'DIN + PUSH'!$A$15</definedName>
    <definedName name="DiadaSemana_14" localSheetId="8">DRI!$A$15</definedName>
    <definedName name="DiadaSemana_14" localSheetId="9">'FLOW RACK'!$A$15</definedName>
    <definedName name="DiadaSemana_14" localSheetId="5">OUTROS!$A$15</definedName>
    <definedName name="DiadaSemana_14" localSheetId="6">'PP1+PP2'!$A$15</definedName>
    <definedName name="DiadaSemana_14" localSheetId="7">'PP3'!$A$15</definedName>
    <definedName name="DiadaSemana_14" localSheetId="4">TOTAL!$A$15</definedName>
    <definedName name="DiadaSemana_15" localSheetId="10">'DIN + PUSH'!$A$16</definedName>
    <definedName name="DiadaSemana_15" localSheetId="8">DRI!$A$16</definedName>
    <definedName name="DiadaSemana_15" localSheetId="9">'FLOW RACK'!$A$16</definedName>
    <definedName name="DiadaSemana_15" localSheetId="5">OUTROS!$A$16</definedName>
    <definedName name="DiadaSemana_15" localSheetId="6">'PP1+PP2'!$A$16</definedName>
    <definedName name="DiadaSemana_15" localSheetId="7">'PP3'!$A$16</definedName>
    <definedName name="DiadaSemana_15" localSheetId="4">TOTAL!$A$16</definedName>
    <definedName name="DiadaSemana_16" localSheetId="10">'DIN + PUSH'!$A$17</definedName>
    <definedName name="DiadaSemana_16" localSheetId="8">DRI!$A$17</definedName>
    <definedName name="DiadaSemana_16" localSheetId="9">'FLOW RACK'!$A$17</definedName>
    <definedName name="DiadaSemana_16" localSheetId="5">OUTROS!$A$17</definedName>
    <definedName name="DiadaSemana_16" localSheetId="6">'PP1+PP2'!$A$17</definedName>
    <definedName name="DiadaSemana_16" localSheetId="7">'PP3'!$A$17</definedName>
    <definedName name="DiadaSemana_16" localSheetId="4">TOTAL!$A$17</definedName>
    <definedName name="DiadaSemana_17" localSheetId="10">'DIN + PUSH'!$A$18</definedName>
    <definedName name="DiadaSemana_17" localSheetId="8">DRI!$A$18</definedName>
    <definedName name="DiadaSemana_17" localSheetId="9">'FLOW RACK'!$A$18</definedName>
    <definedName name="DiadaSemana_17" localSheetId="5">OUTROS!$A$18</definedName>
    <definedName name="DiadaSemana_17" localSheetId="6">'PP1+PP2'!$A$18</definedName>
    <definedName name="DiadaSemana_17" localSheetId="7">'PP3'!$A$18</definedName>
    <definedName name="DiadaSemana_17" localSheetId="4">TOTAL!$A$18</definedName>
    <definedName name="DiadaSemana_18" localSheetId="10">'DIN + PUSH'!$A$19</definedName>
    <definedName name="DiadaSemana_18" localSheetId="8">DRI!$A$19</definedName>
    <definedName name="DiadaSemana_18" localSheetId="9">'FLOW RACK'!$A$19</definedName>
    <definedName name="DiadaSemana_18" localSheetId="5">OUTROS!$A$19</definedName>
    <definedName name="DiadaSemana_18" localSheetId="6">'PP1+PP2'!$A$19</definedName>
    <definedName name="DiadaSemana_18" localSheetId="7">'PP3'!$A$19</definedName>
    <definedName name="DiadaSemana_18" localSheetId="4">TOTAL!$A$19</definedName>
    <definedName name="DiadaSemana_19" localSheetId="10">'DIN + PUSH'!$A$20</definedName>
    <definedName name="DiadaSemana_19" localSheetId="8">DRI!$A$20</definedName>
    <definedName name="DiadaSemana_19" localSheetId="9">'FLOW RACK'!$A$20</definedName>
    <definedName name="DiadaSemana_19" localSheetId="5">OUTROS!$A$20</definedName>
    <definedName name="DiadaSemana_19" localSheetId="6">'PP1+PP2'!$A$20</definedName>
    <definedName name="DiadaSemana_19" localSheetId="7">'PP3'!$A$20</definedName>
    <definedName name="DiadaSemana_19" localSheetId="4">TOTAL!$A$20</definedName>
    <definedName name="DiadaSemana_2" localSheetId="10">'DIN + PUSH'!$A$3</definedName>
    <definedName name="DiadaSemana_2" localSheetId="8">DRI!$A$3</definedName>
    <definedName name="DiadaSemana_2" localSheetId="9">'FLOW RACK'!$A$3</definedName>
    <definedName name="DiadaSemana_2" localSheetId="5">OUTROS!$A$3</definedName>
    <definedName name="DiadaSemana_2" localSheetId="6">'PP1+PP2'!$A$3</definedName>
    <definedName name="DiadaSemana_2" localSheetId="7">'PP3'!$A$3</definedName>
    <definedName name="DiadaSemana_2" localSheetId="4">TOTAL!$A$3</definedName>
    <definedName name="DiadaSemana_20" localSheetId="10">'DIN + PUSH'!$A$21</definedName>
    <definedName name="DiadaSemana_20" localSheetId="8">DRI!$A$21</definedName>
    <definedName name="DiadaSemana_20" localSheetId="9">'FLOW RACK'!$A$21</definedName>
    <definedName name="DiadaSemana_20" localSheetId="5">OUTROS!$A$21</definedName>
    <definedName name="DiadaSemana_20" localSheetId="6">'PP1+PP2'!$A$21</definedName>
    <definedName name="DiadaSemana_20" localSheetId="7">'PP3'!$A$21</definedName>
    <definedName name="DiadaSemana_20" localSheetId="4">TOTAL!$A$21</definedName>
    <definedName name="DiadaSemana_21" localSheetId="10">'DIN + PUSH'!$A$22</definedName>
    <definedName name="DiadaSemana_21" localSheetId="8">DRI!$A$22</definedName>
    <definedName name="DiadaSemana_21" localSheetId="9">'FLOW RACK'!$A$22</definedName>
    <definedName name="DiadaSemana_21" localSheetId="5">OUTROS!$A$22</definedName>
    <definedName name="DiadaSemana_21" localSheetId="6">'PP1+PP2'!$A$22</definedName>
    <definedName name="DiadaSemana_21" localSheetId="7">'PP3'!$A$22</definedName>
    <definedName name="DiadaSemana_21" localSheetId="4">TOTAL!$A$22</definedName>
    <definedName name="DiadaSemana_22" localSheetId="10">'DIN + PUSH'!$A$23</definedName>
    <definedName name="DiadaSemana_22" localSheetId="8">DRI!$A$23</definedName>
    <definedName name="DiadaSemana_22" localSheetId="9">'FLOW RACK'!$A$23</definedName>
    <definedName name="DiadaSemana_22" localSheetId="5">OUTROS!$A$23</definedName>
    <definedName name="DiadaSemana_22" localSheetId="6">'PP1+PP2'!$A$23</definedName>
    <definedName name="DiadaSemana_22" localSheetId="7">'PP3'!$A$23</definedName>
    <definedName name="DiadaSemana_22" localSheetId="4">TOTAL!$A$23</definedName>
    <definedName name="DiadaSemana_23" localSheetId="10">'DIN + PUSH'!$A$24</definedName>
    <definedName name="DiadaSemana_23" localSheetId="8">DRI!$A$24</definedName>
    <definedName name="DiadaSemana_23" localSheetId="9">'FLOW RACK'!$A$24</definedName>
    <definedName name="DiadaSemana_23" localSheetId="5">OUTROS!$A$24</definedName>
    <definedName name="DiadaSemana_23" localSheetId="6">'PP1+PP2'!$A$24</definedName>
    <definedName name="DiadaSemana_23" localSheetId="7">'PP3'!$A$24</definedName>
    <definedName name="DiadaSemana_23" localSheetId="4">TOTAL!$A$24</definedName>
    <definedName name="DiadaSemana_24" localSheetId="10">'DIN + PUSH'!$A$25</definedName>
    <definedName name="DiadaSemana_24" localSheetId="8">DRI!$A$25</definedName>
    <definedName name="DiadaSemana_24" localSheetId="9">'FLOW RACK'!$A$25</definedName>
    <definedName name="DiadaSemana_24" localSheetId="5">OUTROS!$A$25</definedName>
    <definedName name="DiadaSemana_24" localSheetId="6">'PP1+PP2'!$A$25</definedName>
    <definedName name="DiadaSemana_24" localSheetId="7">'PP3'!$A$25</definedName>
    <definedName name="DiadaSemana_24" localSheetId="4">TOTAL!$A$25</definedName>
    <definedName name="DiadaSemana_25" localSheetId="10">'DIN + PUSH'!#REF!</definedName>
    <definedName name="DiadaSemana_25" localSheetId="8">DRI!#REF!</definedName>
    <definedName name="DiadaSemana_25" localSheetId="9">'FLOW RACK'!#REF!</definedName>
    <definedName name="DiadaSemana_25" localSheetId="5">OUTROS!#REF!</definedName>
    <definedName name="DiadaSemana_25" localSheetId="6">'PP1+PP2'!#REF!</definedName>
    <definedName name="DiadaSemana_25" localSheetId="7">'PP3'!#REF!</definedName>
    <definedName name="DiadaSemana_25" localSheetId="4">TOTAL!#REF!</definedName>
    <definedName name="DiadaSemana_26" localSheetId="10">'DIN + PUSH'!#REF!</definedName>
    <definedName name="DiadaSemana_26" localSheetId="8">DRI!#REF!</definedName>
    <definedName name="DiadaSemana_26" localSheetId="9">'FLOW RACK'!#REF!</definedName>
    <definedName name="DiadaSemana_26" localSheetId="5">OUTROS!#REF!</definedName>
    <definedName name="DiadaSemana_26" localSheetId="6">'PP1+PP2'!#REF!</definedName>
    <definedName name="DiadaSemana_26" localSheetId="7">'PP3'!#REF!</definedName>
    <definedName name="DiadaSemana_26" localSheetId="4">TOTAL!#REF!</definedName>
    <definedName name="DiadaSemana_27" localSheetId="10">'DIN + PUSH'!#REF!</definedName>
    <definedName name="DiadaSemana_27" localSheetId="8">DRI!#REF!</definedName>
    <definedName name="DiadaSemana_27" localSheetId="9">'FLOW RACK'!#REF!</definedName>
    <definedName name="DiadaSemana_27" localSheetId="5">OUTROS!#REF!</definedName>
    <definedName name="DiadaSemana_27" localSheetId="6">'PP1+PP2'!#REF!</definedName>
    <definedName name="DiadaSemana_27" localSheetId="7">'PP3'!#REF!</definedName>
    <definedName name="DiadaSemana_27" localSheetId="4">TOTAL!#REF!</definedName>
    <definedName name="DiadaSemana_28" localSheetId="10">'DIN + PUSH'!#REF!</definedName>
    <definedName name="DiadaSemana_28" localSheetId="8">DRI!#REF!</definedName>
    <definedName name="DiadaSemana_28" localSheetId="9">'FLOW RACK'!#REF!</definedName>
    <definedName name="DiadaSemana_28" localSheetId="5">OUTROS!#REF!</definedName>
    <definedName name="DiadaSemana_28" localSheetId="6">'PP1+PP2'!#REF!</definedName>
    <definedName name="DiadaSemana_28" localSheetId="7">'PP3'!#REF!</definedName>
    <definedName name="DiadaSemana_28" localSheetId="4">TOTAL!#REF!</definedName>
    <definedName name="DiadaSemana_29" localSheetId="10">'DIN + PUSH'!#REF!</definedName>
    <definedName name="DiadaSemana_29" localSheetId="8">DRI!#REF!</definedName>
    <definedName name="DiadaSemana_29" localSheetId="9">'FLOW RACK'!#REF!</definedName>
    <definedName name="DiadaSemana_29" localSheetId="5">OUTROS!#REF!</definedName>
    <definedName name="DiadaSemana_29" localSheetId="6">'PP1+PP2'!#REF!</definedName>
    <definedName name="DiadaSemana_29" localSheetId="7">'PP3'!#REF!</definedName>
    <definedName name="DiadaSemana_29" localSheetId="4">TOTAL!#REF!</definedName>
    <definedName name="DiadaSemana_3" localSheetId="10">'DIN + PUSH'!$A$4</definedName>
    <definedName name="DiadaSemana_3" localSheetId="8">DRI!$A$4</definedName>
    <definedName name="DiadaSemana_3" localSheetId="9">'FLOW RACK'!$A$4</definedName>
    <definedName name="DiadaSemana_3" localSheetId="5">OUTROS!$A$4</definedName>
    <definedName name="DiadaSemana_3" localSheetId="6">'PP1+PP2'!$A$4</definedName>
    <definedName name="DiadaSemana_3" localSheetId="7">'PP3'!$A$4</definedName>
    <definedName name="DiadaSemana_3" localSheetId="4">TOTAL!$A$4</definedName>
    <definedName name="DiadaSemana_30" localSheetId="10">'DIN + PUSH'!#REF!</definedName>
    <definedName name="DiadaSemana_30" localSheetId="8">DRI!#REF!</definedName>
    <definedName name="DiadaSemana_30" localSheetId="9">'FLOW RACK'!#REF!</definedName>
    <definedName name="DiadaSemana_30" localSheetId="5">OUTROS!#REF!</definedName>
    <definedName name="DiadaSemana_30" localSheetId="6">'PP1+PP2'!#REF!</definedName>
    <definedName name="DiadaSemana_30" localSheetId="7">'PP3'!#REF!</definedName>
    <definedName name="DiadaSemana_30" localSheetId="4">TOTAL!#REF!</definedName>
    <definedName name="DiadaSemana_31" localSheetId="10">'DIN + PUSH'!#REF!</definedName>
    <definedName name="DiadaSemana_31" localSheetId="8">DRI!#REF!</definedName>
    <definedName name="DiadaSemana_31" localSheetId="9">'FLOW RACK'!#REF!</definedName>
    <definedName name="DiadaSemana_31" localSheetId="5">OUTROS!#REF!</definedName>
    <definedName name="DiadaSemana_31" localSheetId="6">'PP1+PP2'!#REF!</definedName>
    <definedName name="DiadaSemana_31" localSheetId="7">'PP3'!#REF!</definedName>
    <definedName name="DiadaSemana_31" localSheetId="4">TOTAL!#REF!</definedName>
    <definedName name="DiadaSemana_32" localSheetId="10">'DIN + PUSH'!#REF!</definedName>
    <definedName name="DiadaSemana_32" localSheetId="8">DRI!#REF!</definedName>
    <definedName name="DiadaSemana_32" localSheetId="9">'FLOW RACK'!#REF!</definedName>
    <definedName name="DiadaSemana_32" localSheetId="5">OUTROS!#REF!</definedName>
    <definedName name="DiadaSemana_32" localSheetId="6">'PP1+PP2'!#REF!</definedName>
    <definedName name="DiadaSemana_32" localSheetId="7">'PP3'!#REF!</definedName>
    <definedName name="DiadaSemana_32" localSheetId="4">TOTAL!#REF!</definedName>
    <definedName name="DiadaSemana_33" localSheetId="10">'DIN + PUSH'!#REF!</definedName>
    <definedName name="DiadaSemana_33" localSheetId="8">DRI!#REF!</definedName>
    <definedName name="DiadaSemana_33" localSheetId="9">'FLOW RACK'!#REF!</definedName>
    <definedName name="DiadaSemana_33" localSheetId="5">OUTROS!#REF!</definedName>
    <definedName name="DiadaSemana_33" localSheetId="6">'PP1+PP2'!#REF!</definedName>
    <definedName name="DiadaSemana_33" localSheetId="7">'PP3'!#REF!</definedName>
    <definedName name="DiadaSemana_33" localSheetId="4">TOTAL!#REF!</definedName>
    <definedName name="DiadaSemana_34" localSheetId="10">'DIN + PUSH'!#REF!</definedName>
    <definedName name="DiadaSemana_34" localSheetId="8">DRI!#REF!</definedName>
    <definedName name="DiadaSemana_34" localSheetId="9">'FLOW RACK'!#REF!</definedName>
    <definedName name="DiadaSemana_34" localSheetId="5">OUTROS!#REF!</definedName>
    <definedName name="DiadaSemana_34" localSheetId="6">'PP1+PP2'!#REF!</definedName>
    <definedName name="DiadaSemana_34" localSheetId="7">'PP3'!#REF!</definedName>
    <definedName name="DiadaSemana_34" localSheetId="4">TOTAL!#REF!</definedName>
    <definedName name="DiadaSemana_35" localSheetId="10">'DIN + PUSH'!#REF!</definedName>
    <definedName name="DiadaSemana_35" localSheetId="8">DRI!#REF!</definedName>
    <definedName name="DiadaSemana_35" localSheetId="9">'FLOW RACK'!#REF!</definedName>
    <definedName name="DiadaSemana_35" localSheetId="5">OUTROS!#REF!</definedName>
    <definedName name="DiadaSemana_35" localSheetId="6">'PP1+PP2'!#REF!</definedName>
    <definedName name="DiadaSemana_35" localSheetId="7">'PP3'!#REF!</definedName>
    <definedName name="DiadaSemana_35" localSheetId="4">TOTAL!#REF!</definedName>
    <definedName name="DiadaSemana_36" localSheetId="10">'DIN + PUSH'!#REF!</definedName>
    <definedName name="DiadaSemana_36" localSheetId="8">DRI!#REF!</definedName>
    <definedName name="DiadaSemana_36" localSheetId="9">'FLOW RACK'!#REF!</definedName>
    <definedName name="DiadaSemana_36" localSheetId="5">OUTROS!#REF!</definedName>
    <definedName name="DiadaSemana_36" localSheetId="6">'PP1+PP2'!#REF!</definedName>
    <definedName name="DiadaSemana_36" localSheetId="7">'PP3'!#REF!</definedName>
    <definedName name="DiadaSemana_36" localSheetId="4">TOTAL!#REF!</definedName>
    <definedName name="DiadaSemana_37" localSheetId="10">'DIN + PUSH'!#REF!</definedName>
    <definedName name="DiadaSemana_37" localSheetId="8">DRI!#REF!</definedName>
    <definedName name="DiadaSemana_37" localSheetId="9">'FLOW RACK'!#REF!</definedName>
    <definedName name="DiadaSemana_37" localSheetId="5">OUTROS!#REF!</definedName>
    <definedName name="DiadaSemana_37" localSheetId="6">'PP1+PP2'!#REF!</definedName>
    <definedName name="DiadaSemana_37" localSheetId="7">'PP3'!#REF!</definedName>
    <definedName name="DiadaSemana_37" localSheetId="4">TOTAL!#REF!</definedName>
    <definedName name="DiadaSemana_38" localSheetId="10">'DIN + PUSH'!#REF!</definedName>
    <definedName name="DiadaSemana_38" localSheetId="8">DRI!#REF!</definedName>
    <definedName name="DiadaSemana_38" localSheetId="9">'FLOW RACK'!#REF!</definedName>
    <definedName name="DiadaSemana_38" localSheetId="5">OUTROS!#REF!</definedName>
    <definedName name="DiadaSemana_38" localSheetId="6">'PP1+PP2'!#REF!</definedName>
    <definedName name="DiadaSemana_38" localSheetId="7">'PP3'!#REF!</definedName>
    <definedName name="DiadaSemana_38" localSheetId="4">TOTAL!#REF!</definedName>
    <definedName name="DiadaSemana_39" localSheetId="10">'DIN + PUSH'!#REF!</definedName>
    <definedName name="DiadaSemana_39" localSheetId="8">DRI!#REF!</definedName>
    <definedName name="DiadaSemana_39" localSheetId="9">'FLOW RACK'!#REF!</definedName>
    <definedName name="DiadaSemana_39" localSheetId="5">OUTROS!#REF!</definedName>
    <definedName name="DiadaSemana_39" localSheetId="6">'PP1+PP2'!#REF!</definedName>
    <definedName name="DiadaSemana_39" localSheetId="7">'PP3'!#REF!</definedName>
    <definedName name="DiadaSemana_39" localSheetId="4">TOTAL!#REF!</definedName>
    <definedName name="DiadaSemana_4" localSheetId="10">'DIN + PUSH'!$A$5</definedName>
    <definedName name="DiadaSemana_4" localSheetId="8">DRI!$A$5</definedName>
    <definedName name="DiadaSemana_4" localSheetId="9">'FLOW RACK'!$A$5</definedName>
    <definedName name="DiadaSemana_4" localSheetId="5">OUTROS!$A$5</definedName>
    <definedName name="DiadaSemana_4" localSheetId="6">'PP1+PP2'!$A$5</definedName>
    <definedName name="DiadaSemana_4" localSheetId="7">'PP3'!$A$5</definedName>
    <definedName name="DiadaSemana_4" localSheetId="4">TOTAL!$A$5</definedName>
    <definedName name="DiadaSemana_40" localSheetId="10">'DIN + PUSH'!#REF!</definedName>
    <definedName name="DiadaSemana_40" localSheetId="8">DRI!#REF!</definedName>
    <definedName name="DiadaSemana_40" localSheetId="9">'FLOW RACK'!#REF!</definedName>
    <definedName name="DiadaSemana_40" localSheetId="5">OUTROS!#REF!</definedName>
    <definedName name="DiadaSemana_40" localSheetId="6">'PP1+PP2'!#REF!</definedName>
    <definedName name="DiadaSemana_40" localSheetId="7">'PP3'!#REF!</definedName>
    <definedName name="DiadaSemana_40" localSheetId="4">TOTAL!#REF!</definedName>
    <definedName name="DiadaSemana_41" localSheetId="10">'DIN + PUSH'!#REF!</definedName>
    <definedName name="DiadaSemana_41" localSheetId="8">DRI!#REF!</definedName>
    <definedName name="DiadaSemana_41" localSheetId="9">'FLOW RACK'!#REF!</definedName>
    <definedName name="DiadaSemana_41" localSheetId="5">OUTROS!#REF!</definedName>
    <definedName name="DiadaSemana_41" localSheetId="6">'PP1+PP2'!#REF!</definedName>
    <definedName name="DiadaSemana_41" localSheetId="7">'PP3'!#REF!</definedName>
    <definedName name="DiadaSemana_41" localSheetId="4">TOTAL!#REF!</definedName>
    <definedName name="DiadaSemana_42" localSheetId="10">'DIN + PUSH'!#REF!</definedName>
    <definedName name="DiadaSemana_42" localSheetId="8">DRI!#REF!</definedName>
    <definedName name="DiadaSemana_42" localSheetId="9">'FLOW RACK'!#REF!</definedName>
    <definedName name="DiadaSemana_42" localSheetId="5">OUTROS!#REF!</definedName>
    <definedName name="DiadaSemana_42" localSheetId="6">'PP1+PP2'!#REF!</definedName>
    <definedName name="DiadaSemana_42" localSheetId="7">'PP3'!#REF!</definedName>
    <definedName name="DiadaSemana_42" localSheetId="4">TOTAL!#REF!</definedName>
    <definedName name="DiadaSemana_43" localSheetId="10">'DIN + PUSH'!#REF!</definedName>
    <definedName name="DiadaSemana_43" localSheetId="8">DRI!#REF!</definedName>
    <definedName name="DiadaSemana_43" localSheetId="9">'FLOW RACK'!#REF!</definedName>
    <definedName name="DiadaSemana_43" localSheetId="5">OUTROS!#REF!</definedName>
    <definedName name="DiadaSemana_43" localSheetId="6">'PP1+PP2'!#REF!</definedName>
    <definedName name="DiadaSemana_43" localSheetId="7">'PP3'!#REF!</definedName>
    <definedName name="DiadaSemana_43" localSheetId="4">TOTAL!#REF!</definedName>
    <definedName name="DiadaSemana_44" localSheetId="10">'DIN + PUSH'!#REF!</definedName>
    <definedName name="DiadaSemana_44" localSheetId="8">DRI!#REF!</definedName>
    <definedName name="DiadaSemana_44" localSheetId="9">'FLOW RACK'!#REF!</definedName>
    <definedName name="DiadaSemana_44" localSheetId="5">OUTROS!#REF!</definedName>
    <definedName name="DiadaSemana_44" localSheetId="6">'PP1+PP2'!#REF!</definedName>
    <definedName name="DiadaSemana_44" localSheetId="7">'PP3'!#REF!</definedName>
    <definedName name="DiadaSemana_44" localSheetId="4">TOTAL!#REF!</definedName>
    <definedName name="DiadaSemana_45" localSheetId="10">'DIN + PUSH'!#REF!</definedName>
    <definedName name="DiadaSemana_45" localSheetId="8">DRI!#REF!</definedName>
    <definedName name="DiadaSemana_45" localSheetId="9">'FLOW RACK'!#REF!</definedName>
    <definedName name="DiadaSemana_45" localSheetId="5">OUTROS!#REF!</definedName>
    <definedName name="DiadaSemana_45" localSheetId="6">'PP1+PP2'!#REF!</definedName>
    <definedName name="DiadaSemana_45" localSheetId="7">'PP3'!#REF!</definedName>
    <definedName name="DiadaSemana_45" localSheetId="4">TOTAL!#REF!</definedName>
    <definedName name="DiadaSemana_46" localSheetId="10">'DIN + PUSH'!#REF!</definedName>
    <definedName name="DiadaSemana_46" localSheetId="8">DRI!#REF!</definedName>
    <definedName name="DiadaSemana_46" localSheetId="9">'FLOW RACK'!#REF!</definedName>
    <definedName name="DiadaSemana_46" localSheetId="5">OUTROS!#REF!</definedName>
    <definedName name="DiadaSemana_46" localSheetId="6">'PP1+PP2'!#REF!</definedName>
    <definedName name="DiadaSemana_46" localSheetId="7">'PP3'!#REF!</definedName>
    <definedName name="DiadaSemana_46" localSheetId="4">TOTAL!#REF!</definedName>
    <definedName name="DiadaSemana_47" localSheetId="10">'DIN + PUSH'!#REF!</definedName>
    <definedName name="DiadaSemana_47" localSheetId="8">DRI!#REF!</definedName>
    <definedName name="DiadaSemana_47" localSheetId="9">'FLOW RACK'!#REF!</definedName>
    <definedName name="DiadaSemana_47" localSheetId="5">OUTROS!#REF!</definedName>
    <definedName name="DiadaSemana_47" localSheetId="6">'PP1+PP2'!#REF!</definedName>
    <definedName name="DiadaSemana_47" localSheetId="7">'PP3'!#REF!</definedName>
    <definedName name="DiadaSemana_47" localSheetId="4">TOTAL!#REF!</definedName>
    <definedName name="DiadaSemana_48" localSheetId="10">'DIN + PUSH'!#REF!</definedName>
    <definedName name="DiadaSemana_48" localSheetId="8">DRI!#REF!</definedName>
    <definedName name="DiadaSemana_48" localSheetId="9">'FLOW RACK'!#REF!</definedName>
    <definedName name="DiadaSemana_48" localSheetId="5">OUTROS!#REF!</definedName>
    <definedName name="DiadaSemana_48" localSheetId="6">'PP1+PP2'!#REF!</definedName>
    <definedName name="DiadaSemana_48" localSheetId="7">'PP3'!#REF!</definedName>
    <definedName name="DiadaSemana_48" localSheetId="4">TOTAL!#REF!</definedName>
    <definedName name="DiadaSemana_49" localSheetId="10">'DIN + PUSH'!#REF!</definedName>
    <definedName name="DiadaSemana_49" localSheetId="8">DRI!#REF!</definedName>
    <definedName name="DiadaSemana_49" localSheetId="9">'FLOW RACK'!#REF!</definedName>
    <definedName name="DiadaSemana_49" localSheetId="5">OUTROS!#REF!</definedName>
    <definedName name="DiadaSemana_49" localSheetId="6">'PP1+PP2'!#REF!</definedName>
    <definedName name="DiadaSemana_49" localSheetId="7">'PP3'!#REF!</definedName>
    <definedName name="DiadaSemana_49" localSheetId="4">TOTAL!#REF!</definedName>
    <definedName name="DiadaSemana_5" localSheetId="10">'DIN + PUSH'!$A$6</definedName>
    <definedName name="DiadaSemana_5" localSheetId="8">DRI!$A$6</definedName>
    <definedName name="DiadaSemana_5" localSheetId="9">'FLOW RACK'!$A$6</definedName>
    <definedName name="DiadaSemana_5" localSheetId="5">OUTROS!$A$6</definedName>
    <definedName name="DiadaSemana_5" localSheetId="6">'PP1+PP2'!$A$6</definedName>
    <definedName name="DiadaSemana_5" localSheetId="7">'PP3'!$A$6</definedName>
    <definedName name="DiadaSemana_5" localSheetId="4">TOTAL!$A$6</definedName>
    <definedName name="DiadaSemana_50" localSheetId="10">'DIN + PUSH'!#REF!</definedName>
    <definedName name="DiadaSemana_50" localSheetId="8">DRI!#REF!</definedName>
    <definedName name="DiadaSemana_50" localSheetId="9">'FLOW RACK'!#REF!</definedName>
    <definedName name="DiadaSemana_50" localSheetId="5">OUTROS!#REF!</definedName>
    <definedName name="DiadaSemana_50" localSheetId="6">'PP1+PP2'!#REF!</definedName>
    <definedName name="DiadaSemana_50" localSheetId="7">'PP3'!#REF!</definedName>
    <definedName name="DiadaSemana_50" localSheetId="4">TOTAL!#REF!</definedName>
    <definedName name="DiadaSemana_51" localSheetId="10">'DIN + PUSH'!#REF!</definedName>
    <definedName name="DiadaSemana_51" localSheetId="8">DRI!#REF!</definedName>
    <definedName name="DiadaSemana_51" localSheetId="9">'FLOW RACK'!#REF!</definedName>
    <definedName name="DiadaSemana_51" localSheetId="5">OUTROS!#REF!</definedName>
    <definedName name="DiadaSemana_51" localSheetId="6">'PP1+PP2'!#REF!</definedName>
    <definedName name="DiadaSemana_51" localSheetId="7">'PP3'!#REF!</definedName>
    <definedName name="DiadaSemana_51" localSheetId="4">TOTAL!#REF!</definedName>
    <definedName name="DiadaSemana_52" localSheetId="10">'DIN + PUSH'!#REF!</definedName>
    <definedName name="DiadaSemana_52" localSheetId="8">DRI!#REF!</definedName>
    <definedName name="DiadaSemana_52" localSheetId="9">'FLOW RACK'!#REF!</definedName>
    <definedName name="DiadaSemana_52" localSheetId="5">OUTROS!#REF!</definedName>
    <definedName name="DiadaSemana_52" localSheetId="6">'PP1+PP2'!#REF!</definedName>
    <definedName name="DiadaSemana_52" localSheetId="7">'PP3'!#REF!</definedName>
    <definedName name="DiadaSemana_52" localSheetId="4">TOTAL!#REF!</definedName>
    <definedName name="DiadaSemana_53" localSheetId="10">'DIN + PUSH'!#REF!</definedName>
    <definedName name="DiadaSemana_53" localSheetId="8">DRI!#REF!</definedName>
    <definedName name="DiadaSemana_53" localSheetId="9">'FLOW RACK'!#REF!</definedName>
    <definedName name="DiadaSemana_53" localSheetId="5">OUTROS!#REF!</definedName>
    <definedName name="DiadaSemana_53" localSheetId="6">'PP1+PP2'!#REF!</definedName>
    <definedName name="DiadaSemana_53" localSheetId="7">'PP3'!#REF!</definedName>
    <definedName name="DiadaSemana_53" localSheetId="4">TOTAL!#REF!</definedName>
    <definedName name="DiadaSemana_6" localSheetId="10">'DIN + PUSH'!$A$7</definedName>
    <definedName name="DiadaSemana_6" localSheetId="8">DRI!$A$7</definedName>
    <definedName name="DiadaSemana_6" localSheetId="9">'FLOW RACK'!$A$7</definedName>
    <definedName name="DiadaSemana_6" localSheetId="5">OUTROS!$A$7</definedName>
    <definedName name="DiadaSemana_6" localSheetId="6">'PP1+PP2'!$A$7</definedName>
    <definedName name="DiadaSemana_6" localSheetId="7">'PP3'!$A$7</definedName>
    <definedName name="DiadaSemana_6" localSheetId="4">TOTAL!$A$7</definedName>
    <definedName name="DiadaSemana_7" localSheetId="10">'DIN + PUSH'!$A$8</definedName>
    <definedName name="DiadaSemana_7" localSheetId="8">DRI!$A$8</definedName>
    <definedName name="DiadaSemana_7" localSheetId="9">'FLOW RACK'!$A$8</definedName>
    <definedName name="DiadaSemana_7" localSheetId="5">OUTROS!$A$8</definedName>
    <definedName name="DiadaSemana_7" localSheetId="6">'PP1+PP2'!$A$8</definedName>
    <definedName name="DiadaSemana_7" localSheetId="7">'PP3'!$A$8</definedName>
    <definedName name="DiadaSemana_7" localSheetId="4">TOTAL!$A$8</definedName>
    <definedName name="DiadaSemana_8" localSheetId="10">'DIN + PUSH'!$A$9</definedName>
    <definedName name="DiadaSemana_8" localSheetId="8">DRI!$A$9</definedName>
    <definedName name="DiadaSemana_8" localSheetId="9">'FLOW RACK'!$A$9</definedName>
    <definedName name="DiadaSemana_8" localSheetId="5">OUTROS!$A$9</definedName>
    <definedName name="DiadaSemana_8" localSheetId="6">'PP1+PP2'!$A$9</definedName>
    <definedName name="DiadaSemana_8" localSheetId="7">'PP3'!$A$9</definedName>
    <definedName name="DiadaSemana_8" localSheetId="4">TOTAL!$A$9</definedName>
    <definedName name="DiadaSemana_9" localSheetId="10">'DIN + PUSH'!$A$10</definedName>
    <definedName name="DiadaSemana_9" localSheetId="8">DRI!$A$10</definedName>
    <definedName name="DiadaSemana_9" localSheetId="9">'FLOW RACK'!$A$10</definedName>
    <definedName name="DiadaSemana_9" localSheetId="5">OUTROS!$A$10</definedName>
    <definedName name="DiadaSemana_9" localSheetId="6">'PP1+PP2'!$A$10</definedName>
    <definedName name="DiadaSemana_9" localSheetId="7">'PP3'!$A$10</definedName>
    <definedName name="DiadaSemana_9" localSheetId="4">TOTAL!$A$10</definedName>
    <definedName name="ESTAMPAGEM2">[1]CÁLCULO!$Y$21</definedName>
    <definedName name="ImagemGP" localSheetId="10">OFFSET(#REF!,#REF!,,,)</definedName>
    <definedName name="ImagemGP" localSheetId="8">OFFSET(#REF!,#REF!,,,)</definedName>
    <definedName name="ImagemGP" localSheetId="9">OFFSET(#REF!,#REF!,,,)</definedName>
    <definedName name="ImagemGP" localSheetId="5">OFFSET(#REF!,#REF!,,,)</definedName>
    <definedName name="ImagemGP" localSheetId="6">OFFSET(#REF!,#REF!,,,)</definedName>
    <definedName name="ImagemGP" localSheetId="7">OFFSET(#REF!,#REF!,,,)</definedName>
    <definedName name="ImagemGP" localSheetId="4">OFFSET(#REF!,#REF!,,,)</definedName>
    <definedName name="ImagemGP">OFFSET(#REF!,#REF!,,,)</definedName>
    <definedName name="IMG_GP">OFFSET([2]BD_IMG!$D$5,[2]BD_IMG!$D$4,0)</definedName>
    <definedName name="IMG_MONTANTE">OFFSET('[3]Montante 1'!$BX$61,'[3]Montante 1'!$BX$60,0)</definedName>
    <definedName name="IMG_MONTANTE2">OFFSET('[2]Montante 2'!$AL$79,'[2]Montante 2'!$AL$78,0)</definedName>
    <definedName name="IMG_MONTANTE3">OFFSET('[2]Montante 3'!$AL$79,'[2]Montante 3'!$AL$78,0)</definedName>
    <definedName name="IMG_PROTETOR">OFFSET([2]BD_IMG!$A$5,[2]BD_IMG!$A$4,0)</definedName>
    <definedName name="PL.1.DUPLO" localSheetId="10">#REF!</definedName>
    <definedName name="PL.1.DUPLO" localSheetId="8">#REF!</definedName>
    <definedName name="PL.1.DUPLO" localSheetId="9">#REF!</definedName>
    <definedName name="PL.1.DUPLO" localSheetId="5">#REF!</definedName>
    <definedName name="PL.1.DUPLO" localSheetId="6">#REF!</definedName>
    <definedName name="PL.1.DUPLO" localSheetId="7">#REF!</definedName>
    <definedName name="PL.1.DUPLO" localSheetId="4">#REF!</definedName>
    <definedName name="PL.1.DUPLO">#REF!</definedName>
    <definedName name="Programado_1" localSheetId="10">'DIN + PUSH'!$D$2</definedName>
    <definedName name="Programado_1" localSheetId="8">DRI!$D$2</definedName>
    <definedName name="Programado_1" localSheetId="9">'FLOW RACK'!$D$2</definedName>
    <definedName name="Programado_1" localSheetId="5">OUTROS!$D$2</definedName>
    <definedName name="Programado_1" localSheetId="6">'PP1+PP2'!$D$2</definedName>
    <definedName name="Programado_1" localSheetId="7">'PP3'!$D$2</definedName>
    <definedName name="Programado_1" localSheetId="4">TOTAL!$D$2</definedName>
    <definedName name="Programado_10" localSheetId="10">'DIN + PUSH'!$D$11</definedName>
    <definedName name="Programado_10" localSheetId="8">DRI!$D$11</definedName>
    <definedName name="Programado_10" localSheetId="9">'FLOW RACK'!$D$11</definedName>
    <definedName name="Programado_10" localSheetId="5">OUTROS!$D$11</definedName>
    <definedName name="Programado_10" localSheetId="6">'PP1+PP2'!$D$11</definedName>
    <definedName name="Programado_10" localSheetId="7">'PP3'!$D$11</definedName>
    <definedName name="Programado_10" localSheetId="4">TOTAL!$D$11</definedName>
    <definedName name="Programado_11" localSheetId="10">'DIN + PUSH'!$D$12</definedName>
    <definedName name="Programado_11" localSheetId="8">DRI!$D$12</definedName>
    <definedName name="Programado_11" localSheetId="9">'FLOW RACK'!$D$12</definedName>
    <definedName name="Programado_11" localSheetId="5">OUTROS!$D$12</definedName>
    <definedName name="Programado_11" localSheetId="6">'PP1+PP2'!$D$12</definedName>
    <definedName name="Programado_11" localSheetId="7">'PP3'!$D$12</definedName>
    <definedName name="Programado_11" localSheetId="4">TOTAL!$D$12</definedName>
    <definedName name="Programado_12" localSheetId="10">'DIN + PUSH'!$D$13</definedName>
    <definedName name="Programado_12" localSheetId="8">DRI!$D$13</definedName>
    <definedName name="Programado_12" localSheetId="9">'FLOW RACK'!$D$13</definedName>
    <definedName name="Programado_12" localSheetId="5">OUTROS!$D$13</definedName>
    <definedName name="Programado_12" localSheetId="6">'PP1+PP2'!$D$13</definedName>
    <definedName name="Programado_12" localSheetId="7">'PP3'!$D$13</definedName>
    <definedName name="Programado_12" localSheetId="4">TOTAL!$D$13</definedName>
    <definedName name="Programado_13" localSheetId="10">'DIN + PUSH'!$D$14</definedName>
    <definedName name="Programado_13" localSheetId="8">DRI!$D$14</definedName>
    <definedName name="Programado_13" localSheetId="9">'FLOW RACK'!$D$14</definedName>
    <definedName name="Programado_13" localSheetId="5">OUTROS!$D$14</definedName>
    <definedName name="Programado_13" localSheetId="6">'PP1+PP2'!$D$14</definedName>
    <definedName name="Programado_13" localSheetId="7">'PP3'!$D$14</definedName>
    <definedName name="Programado_13" localSheetId="4">TOTAL!$D$14</definedName>
    <definedName name="Programado_14" localSheetId="10">'DIN + PUSH'!$D$15</definedName>
    <definedName name="Programado_14" localSheetId="8">DRI!$D$15</definedName>
    <definedName name="Programado_14" localSheetId="9">'FLOW RACK'!$D$15</definedName>
    <definedName name="Programado_14" localSheetId="5">OUTROS!$D$15</definedName>
    <definedName name="Programado_14" localSheetId="6">'PP1+PP2'!$D$15</definedName>
    <definedName name="Programado_14" localSheetId="7">'PP3'!$D$15</definedName>
    <definedName name="Programado_14" localSheetId="4">TOTAL!$D$15</definedName>
    <definedName name="Programado_15" localSheetId="10">'DIN + PUSH'!$D$16</definedName>
    <definedName name="Programado_15" localSheetId="8">DRI!$D$16</definedName>
    <definedName name="Programado_15" localSheetId="9">'FLOW RACK'!$D$16</definedName>
    <definedName name="Programado_15" localSheetId="5">OUTROS!$D$16</definedName>
    <definedName name="Programado_15" localSheetId="6">'PP1+PP2'!$D$16</definedName>
    <definedName name="Programado_15" localSheetId="7">'PP3'!$D$16</definedName>
    <definedName name="Programado_15" localSheetId="4">TOTAL!$D$16</definedName>
    <definedName name="Programado_16" localSheetId="10">'DIN + PUSH'!$D$17</definedName>
    <definedName name="Programado_16" localSheetId="8">DRI!$D$17</definedName>
    <definedName name="Programado_16" localSheetId="9">'FLOW RACK'!$D$17</definedName>
    <definedName name="Programado_16" localSheetId="5">OUTROS!$D$17</definedName>
    <definedName name="Programado_16" localSheetId="6">'PP1+PP2'!$D$17</definedName>
    <definedName name="Programado_16" localSheetId="7">'PP3'!$D$17</definedName>
    <definedName name="Programado_16" localSheetId="4">TOTAL!$D$17</definedName>
    <definedName name="Programado_17" localSheetId="10">'DIN + PUSH'!$D$18</definedName>
    <definedName name="Programado_17" localSheetId="8">DRI!$D$18</definedName>
    <definedName name="Programado_17" localSheetId="9">'FLOW RACK'!$D$18</definedName>
    <definedName name="Programado_17" localSheetId="5">OUTROS!$D$18</definedName>
    <definedName name="Programado_17" localSheetId="6">'PP1+PP2'!$D$18</definedName>
    <definedName name="Programado_17" localSheetId="7">'PP3'!$D$18</definedName>
    <definedName name="Programado_17" localSheetId="4">TOTAL!$D$18</definedName>
    <definedName name="Programado_18" localSheetId="10">'DIN + PUSH'!$D$19</definedName>
    <definedName name="Programado_18" localSheetId="8">DRI!$D$19</definedName>
    <definedName name="Programado_18" localSheetId="9">'FLOW RACK'!$D$19</definedName>
    <definedName name="Programado_18" localSheetId="5">OUTROS!$D$19</definedName>
    <definedName name="Programado_18" localSheetId="6">'PP1+PP2'!$D$19</definedName>
    <definedName name="Programado_18" localSheetId="7">'PP3'!$D$19</definedName>
    <definedName name="Programado_18" localSheetId="4">TOTAL!$D$19</definedName>
    <definedName name="Programado_19" localSheetId="10">'DIN + PUSH'!$D$20</definedName>
    <definedName name="Programado_19" localSheetId="8">DRI!$D$20</definedName>
    <definedName name="Programado_19" localSheetId="9">'FLOW RACK'!$D$20</definedName>
    <definedName name="Programado_19" localSheetId="5">OUTROS!$D$20</definedName>
    <definedName name="Programado_19" localSheetId="6">'PP1+PP2'!$D$20</definedName>
    <definedName name="Programado_19" localSheetId="7">'PP3'!$D$20</definedName>
    <definedName name="Programado_19" localSheetId="4">TOTAL!$D$20</definedName>
    <definedName name="Programado_2" localSheetId="10">'DIN + PUSH'!$D$3</definedName>
    <definedName name="Programado_2" localSheetId="8">DRI!$D$3</definedName>
    <definedName name="Programado_2" localSheetId="9">'FLOW RACK'!$D$3</definedName>
    <definedName name="Programado_2" localSheetId="5">OUTROS!$D$3</definedName>
    <definedName name="Programado_2" localSheetId="6">'PP1+PP2'!$D$3</definedName>
    <definedName name="Programado_2" localSheetId="7">'PP3'!$D$3</definedName>
    <definedName name="Programado_2" localSheetId="4">TOTAL!$D$3</definedName>
    <definedName name="Programado_20" localSheetId="10">'DIN + PUSH'!$D$21</definedName>
    <definedName name="Programado_20" localSheetId="8">DRI!$D$21</definedName>
    <definedName name="Programado_20" localSheetId="9">'FLOW RACK'!$D$21</definedName>
    <definedName name="Programado_20" localSheetId="5">OUTROS!$D$21</definedName>
    <definedName name="Programado_20" localSheetId="6">'PP1+PP2'!$D$21</definedName>
    <definedName name="Programado_20" localSheetId="7">'PP3'!$D$21</definedName>
    <definedName name="Programado_20" localSheetId="4">TOTAL!$D$21</definedName>
    <definedName name="Programado_21" localSheetId="10">'DIN + PUSH'!$D$22</definedName>
    <definedName name="Programado_21" localSheetId="8">DRI!$D$22</definedName>
    <definedName name="Programado_21" localSheetId="9">'FLOW RACK'!$D$22</definedName>
    <definedName name="Programado_21" localSheetId="5">OUTROS!$D$22</definedName>
    <definedName name="Programado_21" localSheetId="6">'PP1+PP2'!$D$22</definedName>
    <definedName name="Programado_21" localSheetId="7">'PP3'!$D$22</definedName>
    <definedName name="Programado_21" localSheetId="4">TOTAL!$D$22</definedName>
    <definedName name="Programado_22" localSheetId="10">'DIN + PUSH'!$D$23</definedName>
    <definedName name="Programado_22" localSheetId="8">DRI!$D$23</definedName>
    <definedName name="Programado_22" localSheetId="9">'FLOW RACK'!$D$23</definedName>
    <definedName name="Programado_22" localSheetId="5">OUTROS!$D$23</definedName>
    <definedName name="Programado_22" localSheetId="6">'PP1+PP2'!$D$23</definedName>
    <definedName name="Programado_22" localSheetId="7">'PP3'!$D$23</definedName>
    <definedName name="Programado_22" localSheetId="4">TOTAL!$D$23</definedName>
    <definedName name="Programado_23" localSheetId="10">'DIN + PUSH'!$D$24</definedName>
    <definedName name="Programado_23" localSheetId="8">DRI!$D$24</definedName>
    <definedName name="Programado_23" localSheetId="9">'FLOW RACK'!$D$24</definedName>
    <definedName name="Programado_23" localSheetId="5">OUTROS!$D$24</definedName>
    <definedName name="Programado_23" localSheetId="6">'PP1+PP2'!$D$24</definedName>
    <definedName name="Programado_23" localSheetId="7">'PP3'!$D$24</definedName>
    <definedName name="Programado_23" localSheetId="4">TOTAL!$D$24</definedName>
    <definedName name="Programado_24" localSheetId="10">'DIN + PUSH'!$D$25</definedName>
    <definedName name="Programado_24" localSheetId="8">DRI!$D$25</definedName>
    <definedName name="Programado_24" localSheetId="9">'FLOW RACK'!$D$25</definedName>
    <definedName name="Programado_24" localSheetId="5">OUTROS!$D$25</definedName>
    <definedName name="Programado_24" localSheetId="6">'PP1+PP2'!$D$25</definedName>
    <definedName name="Programado_24" localSheetId="7">'PP3'!$D$25</definedName>
    <definedName name="Programado_24" localSheetId="4">TOTAL!$D$25</definedName>
    <definedName name="Programado_25" localSheetId="10">'DIN + PUSH'!#REF!</definedName>
    <definedName name="Programado_25" localSheetId="8">DRI!#REF!</definedName>
    <definedName name="Programado_25" localSheetId="9">'FLOW RACK'!#REF!</definedName>
    <definedName name="Programado_25" localSheetId="5">OUTROS!#REF!</definedName>
    <definedName name="Programado_25" localSheetId="6">'PP1+PP2'!#REF!</definedName>
    <definedName name="Programado_25" localSheetId="7">'PP3'!#REF!</definedName>
    <definedName name="Programado_25" localSheetId="4">TOTAL!#REF!</definedName>
    <definedName name="Programado_26" localSheetId="10">'DIN + PUSH'!#REF!</definedName>
    <definedName name="Programado_26" localSheetId="8">DRI!#REF!</definedName>
    <definedName name="Programado_26" localSheetId="9">'FLOW RACK'!#REF!</definedName>
    <definedName name="Programado_26" localSheetId="5">OUTROS!#REF!</definedName>
    <definedName name="Programado_26" localSheetId="6">'PP1+PP2'!#REF!</definedName>
    <definedName name="Programado_26" localSheetId="7">'PP3'!#REF!</definedName>
    <definedName name="Programado_26" localSheetId="4">TOTAL!#REF!</definedName>
    <definedName name="Programado_27" localSheetId="10">'DIN + PUSH'!#REF!</definedName>
    <definedName name="Programado_27" localSheetId="8">DRI!#REF!</definedName>
    <definedName name="Programado_27" localSheetId="9">'FLOW RACK'!#REF!</definedName>
    <definedName name="Programado_27" localSheetId="5">OUTROS!#REF!</definedName>
    <definedName name="Programado_27" localSheetId="6">'PP1+PP2'!#REF!</definedName>
    <definedName name="Programado_27" localSheetId="7">'PP3'!#REF!</definedName>
    <definedName name="Programado_27" localSheetId="4">TOTAL!#REF!</definedName>
    <definedName name="Programado_28" localSheetId="10">'DIN + PUSH'!#REF!</definedName>
    <definedName name="Programado_28" localSheetId="8">DRI!#REF!</definedName>
    <definedName name="Programado_28" localSheetId="9">'FLOW RACK'!#REF!</definedName>
    <definedName name="Programado_28" localSheetId="5">OUTROS!#REF!</definedName>
    <definedName name="Programado_28" localSheetId="6">'PP1+PP2'!#REF!</definedName>
    <definedName name="Programado_28" localSheetId="7">'PP3'!#REF!</definedName>
    <definedName name="Programado_28" localSheetId="4">TOTAL!#REF!</definedName>
    <definedName name="Programado_29" localSheetId="10">'DIN + PUSH'!#REF!</definedName>
    <definedName name="Programado_29" localSheetId="8">DRI!#REF!</definedName>
    <definedName name="Programado_29" localSheetId="9">'FLOW RACK'!#REF!</definedName>
    <definedName name="Programado_29" localSheetId="5">OUTROS!#REF!</definedName>
    <definedName name="Programado_29" localSheetId="6">'PP1+PP2'!#REF!</definedName>
    <definedName name="Programado_29" localSheetId="7">'PP3'!#REF!</definedName>
    <definedName name="Programado_29" localSheetId="4">TOTAL!#REF!</definedName>
    <definedName name="Programado_3" localSheetId="10">'DIN + PUSH'!$D$4</definedName>
    <definedName name="Programado_3" localSheetId="8">DRI!$D$4</definedName>
    <definedName name="Programado_3" localSheetId="9">'FLOW RACK'!$D$4</definedName>
    <definedName name="Programado_3" localSheetId="5">OUTROS!$D$4</definedName>
    <definedName name="Programado_3" localSheetId="6">'PP1+PP2'!$D$4</definedName>
    <definedName name="Programado_3" localSheetId="7">'PP3'!$D$4</definedName>
    <definedName name="Programado_3" localSheetId="4">TOTAL!$D$4</definedName>
    <definedName name="Programado_30" localSheetId="10">'DIN + PUSH'!#REF!</definedName>
    <definedName name="Programado_30" localSheetId="8">DRI!#REF!</definedName>
    <definedName name="Programado_30" localSheetId="9">'FLOW RACK'!#REF!</definedName>
    <definedName name="Programado_30" localSheetId="5">OUTROS!#REF!</definedName>
    <definedName name="Programado_30" localSheetId="6">'PP1+PP2'!#REF!</definedName>
    <definedName name="Programado_30" localSheetId="7">'PP3'!#REF!</definedName>
    <definedName name="Programado_30" localSheetId="4">TOTAL!#REF!</definedName>
    <definedName name="Programado_31" localSheetId="10">'DIN + PUSH'!#REF!</definedName>
    <definedName name="Programado_31" localSheetId="8">DRI!#REF!</definedName>
    <definedName name="Programado_31" localSheetId="9">'FLOW RACK'!#REF!</definedName>
    <definedName name="Programado_31" localSheetId="5">OUTROS!#REF!</definedName>
    <definedName name="Programado_31" localSheetId="6">'PP1+PP2'!#REF!</definedName>
    <definedName name="Programado_31" localSheetId="7">'PP3'!#REF!</definedName>
    <definedName name="Programado_31" localSheetId="4">TOTAL!#REF!</definedName>
    <definedName name="Programado_32" localSheetId="10">'DIN + PUSH'!#REF!</definedName>
    <definedName name="Programado_32" localSheetId="8">DRI!#REF!</definedName>
    <definedName name="Programado_32" localSheetId="9">'FLOW RACK'!#REF!</definedName>
    <definedName name="Programado_32" localSheetId="5">OUTROS!#REF!</definedName>
    <definedName name="Programado_32" localSheetId="6">'PP1+PP2'!#REF!</definedName>
    <definedName name="Programado_32" localSheetId="7">'PP3'!#REF!</definedName>
    <definedName name="Programado_32" localSheetId="4">TOTAL!#REF!</definedName>
    <definedName name="Programado_33" localSheetId="10">'DIN + PUSH'!#REF!</definedName>
    <definedName name="Programado_33" localSheetId="8">DRI!#REF!</definedName>
    <definedName name="Programado_33" localSheetId="9">'FLOW RACK'!#REF!</definedName>
    <definedName name="Programado_33" localSheetId="5">OUTROS!#REF!</definedName>
    <definedName name="Programado_33" localSheetId="6">'PP1+PP2'!#REF!</definedName>
    <definedName name="Programado_33" localSheetId="7">'PP3'!#REF!</definedName>
    <definedName name="Programado_33" localSheetId="4">TOTAL!#REF!</definedName>
    <definedName name="Programado_34" localSheetId="10">'DIN + PUSH'!#REF!</definedName>
    <definedName name="Programado_34" localSheetId="8">DRI!#REF!</definedName>
    <definedName name="Programado_34" localSheetId="9">'FLOW RACK'!#REF!</definedName>
    <definedName name="Programado_34" localSheetId="5">OUTROS!#REF!</definedName>
    <definedName name="Programado_34" localSheetId="6">'PP1+PP2'!#REF!</definedName>
    <definedName name="Programado_34" localSheetId="7">'PP3'!#REF!</definedName>
    <definedName name="Programado_34" localSheetId="4">TOTAL!#REF!</definedName>
    <definedName name="Programado_35" localSheetId="10">'DIN + PUSH'!#REF!</definedName>
    <definedName name="Programado_35" localSheetId="8">DRI!#REF!</definedName>
    <definedName name="Programado_35" localSheetId="9">'FLOW RACK'!#REF!</definedName>
    <definedName name="Programado_35" localSheetId="5">OUTROS!#REF!</definedName>
    <definedName name="Programado_35" localSheetId="6">'PP1+PP2'!#REF!</definedName>
    <definedName name="Programado_35" localSheetId="7">'PP3'!#REF!</definedName>
    <definedName name="Programado_35" localSheetId="4">TOTAL!#REF!</definedName>
    <definedName name="Programado_36" localSheetId="10">'DIN + PUSH'!#REF!</definedName>
    <definedName name="Programado_36" localSheetId="8">DRI!#REF!</definedName>
    <definedName name="Programado_36" localSheetId="9">'FLOW RACK'!#REF!</definedName>
    <definedName name="Programado_36" localSheetId="5">OUTROS!#REF!</definedName>
    <definedName name="Programado_36" localSheetId="6">'PP1+PP2'!#REF!</definedName>
    <definedName name="Programado_36" localSheetId="7">'PP3'!#REF!</definedName>
    <definedName name="Programado_36" localSheetId="4">TOTAL!#REF!</definedName>
    <definedName name="Programado_37" localSheetId="10">'DIN + PUSH'!#REF!</definedName>
    <definedName name="Programado_37" localSheetId="8">DRI!#REF!</definedName>
    <definedName name="Programado_37" localSheetId="9">'FLOW RACK'!#REF!</definedName>
    <definedName name="Programado_37" localSheetId="5">OUTROS!#REF!</definedName>
    <definedName name="Programado_37" localSheetId="6">'PP1+PP2'!#REF!</definedName>
    <definedName name="Programado_37" localSheetId="7">'PP3'!#REF!</definedName>
    <definedName name="Programado_37" localSheetId="4">TOTAL!#REF!</definedName>
    <definedName name="Programado_38" localSheetId="10">'DIN + PUSH'!#REF!</definedName>
    <definedName name="Programado_38" localSheetId="8">DRI!#REF!</definedName>
    <definedName name="Programado_38" localSheetId="9">'FLOW RACK'!#REF!</definedName>
    <definedName name="Programado_38" localSheetId="5">OUTROS!#REF!</definedName>
    <definedName name="Programado_38" localSheetId="6">'PP1+PP2'!#REF!</definedName>
    <definedName name="Programado_38" localSheetId="7">'PP3'!#REF!</definedName>
    <definedName name="Programado_38" localSheetId="4">TOTAL!#REF!</definedName>
    <definedName name="Programado_39" localSheetId="10">'DIN + PUSH'!#REF!</definedName>
    <definedName name="Programado_39" localSheetId="8">DRI!#REF!</definedName>
    <definedName name="Programado_39" localSheetId="9">'FLOW RACK'!#REF!</definedName>
    <definedName name="Programado_39" localSheetId="5">OUTROS!#REF!</definedName>
    <definedName name="Programado_39" localSheetId="6">'PP1+PP2'!#REF!</definedName>
    <definedName name="Programado_39" localSheetId="7">'PP3'!#REF!</definedName>
    <definedName name="Programado_39" localSheetId="4">TOTAL!#REF!</definedName>
    <definedName name="Programado_4" localSheetId="10">'DIN + PUSH'!$D$5</definedName>
    <definedName name="Programado_4" localSheetId="8">DRI!$D$5</definedName>
    <definedName name="Programado_4" localSheetId="9">'FLOW RACK'!$D$5</definedName>
    <definedName name="Programado_4" localSheetId="5">OUTROS!$D$5</definedName>
    <definedName name="Programado_4" localSheetId="6">'PP1+PP2'!$D$5</definedName>
    <definedName name="Programado_4" localSheetId="7">'PP3'!$D$5</definedName>
    <definedName name="Programado_4" localSheetId="4">TOTAL!$D$5</definedName>
    <definedName name="Programado_40" localSheetId="10">'DIN + PUSH'!#REF!</definedName>
    <definedName name="Programado_40" localSheetId="8">DRI!#REF!</definedName>
    <definedName name="Programado_40" localSheetId="9">'FLOW RACK'!#REF!</definedName>
    <definedName name="Programado_40" localSheetId="5">OUTROS!#REF!</definedName>
    <definedName name="Programado_40" localSheetId="6">'PP1+PP2'!#REF!</definedName>
    <definedName name="Programado_40" localSheetId="7">'PP3'!#REF!</definedName>
    <definedName name="Programado_40" localSheetId="4">TOTAL!#REF!</definedName>
    <definedName name="Programado_41" localSheetId="10">'DIN + PUSH'!#REF!</definedName>
    <definedName name="Programado_41" localSheetId="8">DRI!#REF!</definedName>
    <definedName name="Programado_41" localSheetId="9">'FLOW RACK'!#REF!</definedName>
    <definedName name="Programado_41" localSheetId="5">OUTROS!#REF!</definedName>
    <definedName name="Programado_41" localSheetId="6">'PP1+PP2'!#REF!</definedName>
    <definedName name="Programado_41" localSheetId="7">'PP3'!#REF!</definedName>
    <definedName name="Programado_41" localSheetId="4">TOTAL!#REF!</definedName>
    <definedName name="Programado_42" localSheetId="10">'DIN + PUSH'!#REF!</definedName>
    <definedName name="Programado_42" localSheetId="8">DRI!#REF!</definedName>
    <definedName name="Programado_42" localSheetId="9">'FLOW RACK'!#REF!</definedName>
    <definedName name="Programado_42" localSheetId="5">OUTROS!#REF!</definedName>
    <definedName name="Programado_42" localSheetId="6">'PP1+PP2'!#REF!</definedName>
    <definedName name="Programado_42" localSheetId="7">'PP3'!#REF!</definedName>
    <definedName name="Programado_42" localSheetId="4">TOTAL!#REF!</definedName>
    <definedName name="Programado_43" localSheetId="10">'DIN + PUSH'!#REF!</definedName>
    <definedName name="Programado_43" localSheetId="8">DRI!#REF!</definedName>
    <definedName name="Programado_43" localSheetId="9">'FLOW RACK'!#REF!</definedName>
    <definedName name="Programado_43" localSheetId="5">OUTROS!#REF!</definedName>
    <definedName name="Programado_43" localSheetId="6">'PP1+PP2'!#REF!</definedName>
    <definedName name="Programado_43" localSheetId="7">'PP3'!#REF!</definedName>
    <definedName name="Programado_43" localSheetId="4">TOTAL!#REF!</definedName>
    <definedName name="Programado_44" localSheetId="10">'DIN + PUSH'!#REF!</definedName>
    <definedName name="Programado_44" localSheetId="8">DRI!#REF!</definedName>
    <definedName name="Programado_44" localSheetId="9">'FLOW RACK'!#REF!</definedName>
    <definedName name="Programado_44" localSheetId="5">OUTROS!#REF!</definedName>
    <definedName name="Programado_44" localSheetId="6">'PP1+PP2'!#REF!</definedName>
    <definedName name="Programado_44" localSheetId="7">'PP3'!#REF!</definedName>
    <definedName name="Programado_44" localSheetId="4">TOTAL!#REF!</definedName>
    <definedName name="Programado_45" localSheetId="10">'DIN + PUSH'!#REF!</definedName>
    <definedName name="Programado_45" localSheetId="8">DRI!#REF!</definedName>
    <definedName name="Programado_45" localSheetId="9">'FLOW RACK'!#REF!</definedName>
    <definedName name="Programado_45" localSheetId="5">OUTROS!#REF!</definedName>
    <definedName name="Programado_45" localSheetId="6">'PP1+PP2'!#REF!</definedName>
    <definedName name="Programado_45" localSheetId="7">'PP3'!#REF!</definedName>
    <definedName name="Programado_45" localSheetId="4">TOTAL!#REF!</definedName>
    <definedName name="Programado_46" localSheetId="10">'DIN + PUSH'!#REF!</definedName>
    <definedName name="Programado_46" localSheetId="8">DRI!#REF!</definedName>
    <definedName name="Programado_46" localSheetId="9">'FLOW RACK'!#REF!</definedName>
    <definedName name="Programado_46" localSheetId="5">OUTROS!#REF!</definedName>
    <definedName name="Programado_46" localSheetId="6">'PP1+PP2'!#REF!</definedName>
    <definedName name="Programado_46" localSheetId="7">'PP3'!#REF!</definedName>
    <definedName name="Programado_46" localSheetId="4">TOTAL!#REF!</definedName>
    <definedName name="Programado_47" localSheetId="10">'DIN + PUSH'!#REF!</definedName>
    <definedName name="Programado_47" localSheetId="8">DRI!#REF!</definedName>
    <definedName name="Programado_47" localSheetId="9">'FLOW RACK'!#REF!</definedName>
    <definedName name="Programado_47" localSheetId="5">OUTROS!#REF!</definedName>
    <definedName name="Programado_47" localSheetId="6">'PP1+PP2'!#REF!</definedName>
    <definedName name="Programado_47" localSheetId="7">'PP3'!#REF!</definedName>
    <definedName name="Programado_47" localSheetId="4">TOTAL!#REF!</definedName>
    <definedName name="Programado_48" localSheetId="10">'DIN + PUSH'!#REF!</definedName>
    <definedName name="Programado_48" localSheetId="8">DRI!#REF!</definedName>
    <definedName name="Programado_48" localSheetId="9">'FLOW RACK'!#REF!</definedName>
    <definedName name="Programado_48" localSheetId="5">OUTROS!#REF!</definedName>
    <definedName name="Programado_48" localSheetId="6">'PP1+PP2'!#REF!</definedName>
    <definedName name="Programado_48" localSheetId="7">'PP3'!#REF!</definedName>
    <definedName name="Programado_48" localSheetId="4">TOTAL!#REF!</definedName>
    <definedName name="Programado_49" localSheetId="10">'DIN + PUSH'!#REF!</definedName>
    <definedName name="Programado_49" localSheetId="8">DRI!#REF!</definedName>
    <definedName name="Programado_49" localSheetId="9">'FLOW RACK'!#REF!</definedName>
    <definedName name="Programado_49" localSheetId="5">OUTROS!#REF!</definedName>
    <definedName name="Programado_49" localSheetId="6">'PP1+PP2'!#REF!</definedName>
    <definedName name="Programado_49" localSheetId="7">'PP3'!#REF!</definedName>
    <definedName name="Programado_49" localSheetId="4">TOTAL!#REF!</definedName>
    <definedName name="Programado_5" localSheetId="10">'DIN + PUSH'!$D$6</definedName>
    <definedName name="Programado_5" localSheetId="8">DRI!$D$6</definedName>
    <definedName name="Programado_5" localSheetId="9">'FLOW RACK'!$D$6</definedName>
    <definedName name="Programado_5" localSheetId="5">OUTROS!$D$6</definedName>
    <definedName name="Programado_5" localSheetId="6">'PP1+PP2'!$D$6</definedName>
    <definedName name="Programado_5" localSheetId="7">'PP3'!$D$6</definedName>
    <definedName name="Programado_5" localSheetId="4">TOTAL!$D$6</definedName>
    <definedName name="Programado_50" localSheetId="10">'DIN + PUSH'!#REF!</definedName>
    <definedName name="Programado_50" localSheetId="8">DRI!#REF!</definedName>
    <definedName name="Programado_50" localSheetId="9">'FLOW RACK'!#REF!</definedName>
    <definedName name="Programado_50" localSheetId="5">OUTROS!#REF!</definedName>
    <definedName name="Programado_50" localSheetId="6">'PP1+PP2'!#REF!</definedName>
    <definedName name="Programado_50" localSheetId="7">'PP3'!#REF!</definedName>
    <definedName name="Programado_50" localSheetId="4">TOTAL!#REF!</definedName>
    <definedName name="Programado_51" localSheetId="10">'DIN + PUSH'!#REF!</definedName>
    <definedName name="Programado_51" localSheetId="8">DRI!#REF!</definedName>
    <definedName name="Programado_51" localSheetId="9">'FLOW RACK'!#REF!</definedName>
    <definedName name="Programado_51" localSheetId="5">OUTROS!#REF!</definedName>
    <definedName name="Programado_51" localSheetId="6">'PP1+PP2'!#REF!</definedName>
    <definedName name="Programado_51" localSheetId="7">'PP3'!#REF!</definedName>
    <definedName name="Programado_51" localSheetId="4">TOTAL!#REF!</definedName>
    <definedName name="Programado_52" localSheetId="10">'DIN + PUSH'!#REF!</definedName>
    <definedName name="Programado_52" localSheetId="8">DRI!#REF!</definedName>
    <definedName name="Programado_52" localSheetId="9">'FLOW RACK'!#REF!</definedName>
    <definedName name="Programado_52" localSheetId="5">OUTROS!#REF!</definedName>
    <definedName name="Programado_52" localSheetId="6">'PP1+PP2'!#REF!</definedName>
    <definedName name="Programado_52" localSheetId="7">'PP3'!#REF!</definedName>
    <definedName name="Programado_52" localSheetId="4">TOTAL!#REF!</definedName>
    <definedName name="Programado_53" localSheetId="10">'DIN + PUSH'!#REF!</definedName>
    <definedName name="Programado_53" localSheetId="8">DRI!#REF!</definedName>
    <definedName name="Programado_53" localSheetId="9">'FLOW RACK'!#REF!</definedName>
    <definedName name="Programado_53" localSheetId="5">OUTROS!#REF!</definedName>
    <definedName name="Programado_53" localSheetId="6">'PP1+PP2'!#REF!</definedName>
    <definedName name="Programado_53" localSheetId="7">'PP3'!#REF!</definedName>
    <definedName name="Programado_53" localSheetId="4">TOTAL!#REF!</definedName>
    <definedName name="Programado_6" localSheetId="10">'DIN + PUSH'!$D$7</definedName>
    <definedName name="Programado_6" localSheetId="8">DRI!$D$7</definedName>
    <definedName name="Programado_6" localSheetId="9">'FLOW RACK'!$D$7</definedName>
    <definedName name="Programado_6" localSheetId="5">OUTROS!$D$7</definedName>
    <definedName name="Programado_6" localSheetId="6">'PP1+PP2'!$D$7</definedName>
    <definedName name="Programado_6" localSheetId="7">'PP3'!$D$7</definedName>
    <definedName name="Programado_6" localSheetId="4">TOTAL!$D$7</definedName>
    <definedName name="Programado_7" localSheetId="10">'DIN + PUSH'!$D$8</definedName>
    <definedName name="Programado_7" localSheetId="8">DRI!$D$8</definedName>
    <definedName name="Programado_7" localSheetId="9">'FLOW RACK'!$D$8</definedName>
    <definedName name="Programado_7" localSheetId="5">OUTROS!$D$8</definedName>
    <definedName name="Programado_7" localSheetId="6">'PP1+PP2'!$D$8</definedName>
    <definedName name="Programado_7" localSheetId="7">'PP3'!$D$8</definedName>
    <definedName name="Programado_7" localSheetId="4">TOTAL!$D$8</definedName>
    <definedName name="Programado_8" localSheetId="10">'DIN + PUSH'!$D$9</definedName>
    <definedName name="Programado_8" localSheetId="8">DRI!$D$9</definedName>
    <definedName name="Programado_8" localSheetId="9">'FLOW RACK'!$D$9</definedName>
    <definedName name="Programado_8" localSheetId="5">OUTROS!$D$9</definedName>
    <definedName name="Programado_8" localSheetId="6">'PP1+PP2'!$D$9</definedName>
    <definedName name="Programado_8" localSheetId="7">'PP3'!$D$9</definedName>
    <definedName name="Programado_8" localSheetId="4">TOTAL!$D$9</definedName>
    <definedName name="Programado_9" localSheetId="10">'DIN + PUSH'!$D$10</definedName>
    <definedName name="Programado_9" localSheetId="8">DRI!$D$10</definedName>
    <definedName name="Programado_9" localSheetId="9">'FLOW RACK'!$D$10</definedName>
    <definedName name="Programado_9" localSheetId="5">OUTROS!$D$10</definedName>
    <definedName name="Programado_9" localSheetId="6">'PP1+PP2'!$D$10</definedName>
    <definedName name="Programado_9" localSheetId="7">'PP3'!$D$10</definedName>
    <definedName name="Programado_9" localSheetId="4">TOTAL!$D$10</definedName>
    <definedName name="PSR.DATA" localSheetId="10">#REF!</definedName>
    <definedName name="PSR.DATA" localSheetId="8">#REF!</definedName>
    <definedName name="PSR.DATA" localSheetId="9">#REF!</definedName>
    <definedName name="PSR.DATA" localSheetId="5">#REF!</definedName>
    <definedName name="PSR.DATA" localSheetId="6">#REF!</definedName>
    <definedName name="PSR.DATA" localSheetId="7">#REF!</definedName>
    <definedName name="PSR.DATA" localSheetId="4">#REF!</definedName>
    <definedName name="PSR.DATA">#REF!</definedName>
    <definedName name="Semana_1" localSheetId="10">'DIN + PUSH'!$B$2</definedName>
    <definedName name="Semana_1" localSheetId="8">DRI!$B$2</definedName>
    <definedName name="Semana_1" localSheetId="9">'FLOW RACK'!$B$2</definedName>
    <definedName name="Semana_1" localSheetId="5">OUTROS!$B$2</definedName>
    <definedName name="Semana_1" localSheetId="6">'PP1+PP2'!$B$2</definedName>
    <definedName name="Semana_1" localSheetId="7">'PP3'!$B$2</definedName>
    <definedName name="Semana_1" localSheetId="4">TOTAL!$B$2</definedName>
    <definedName name="Semana_10" localSheetId="10">'DIN + PUSH'!$B$11</definedName>
    <definedName name="Semana_10" localSheetId="8">DRI!$B$11</definedName>
    <definedName name="Semana_10" localSheetId="9">'FLOW RACK'!$B$11</definedName>
    <definedName name="Semana_10" localSheetId="5">OUTROS!$B$11</definedName>
    <definedName name="Semana_10" localSheetId="6">'PP1+PP2'!$B$11</definedName>
    <definedName name="Semana_10" localSheetId="7">'PP3'!$B$11</definedName>
    <definedName name="Semana_10" localSheetId="4">TOTAL!$B$11</definedName>
    <definedName name="Semana_11" localSheetId="10">'DIN + PUSH'!$B$12</definedName>
    <definedName name="Semana_11" localSheetId="8">DRI!$B$12</definedName>
    <definedName name="Semana_11" localSheetId="9">'FLOW RACK'!$B$12</definedName>
    <definedName name="Semana_11" localSheetId="5">OUTROS!$B$12</definedName>
    <definedName name="Semana_11" localSheetId="6">'PP1+PP2'!$B$12</definedName>
    <definedName name="Semana_11" localSheetId="7">'PP3'!$B$12</definedName>
    <definedName name="Semana_11" localSheetId="4">TOTAL!$B$12</definedName>
    <definedName name="Semana_12" localSheetId="10">'DIN + PUSH'!$B$13</definedName>
    <definedName name="Semana_12" localSheetId="8">DRI!$B$13</definedName>
    <definedName name="Semana_12" localSheetId="9">'FLOW RACK'!$B$13</definedName>
    <definedName name="Semana_12" localSheetId="5">OUTROS!$B$13</definedName>
    <definedName name="Semana_12" localSheetId="6">'PP1+PP2'!$B$13</definedName>
    <definedName name="Semana_12" localSheetId="7">'PP3'!$B$13</definedName>
    <definedName name="Semana_12" localSheetId="4">TOTAL!$B$13</definedName>
    <definedName name="Semana_13" localSheetId="10">'DIN + PUSH'!$B$14</definedName>
    <definedName name="Semana_13" localSheetId="8">DRI!$B$14</definedName>
    <definedName name="Semana_13" localSheetId="9">'FLOW RACK'!$B$14</definedName>
    <definedName name="Semana_13" localSheetId="5">OUTROS!$B$14</definedName>
    <definedName name="Semana_13" localSheetId="6">'PP1+PP2'!$B$14</definedName>
    <definedName name="Semana_13" localSheetId="7">'PP3'!$B$14</definedName>
    <definedName name="Semana_13" localSheetId="4">TOTAL!$B$14</definedName>
    <definedName name="Semana_14" localSheetId="10">'DIN + PUSH'!$B$15</definedName>
    <definedName name="Semana_14" localSheetId="8">DRI!$B$15</definedName>
    <definedName name="Semana_14" localSheetId="9">'FLOW RACK'!$B$15</definedName>
    <definedName name="Semana_14" localSheetId="5">OUTROS!$B$15</definedName>
    <definedName name="Semana_14" localSheetId="6">'PP1+PP2'!$B$15</definedName>
    <definedName name="Semana_14" localSheetId="7">'PP3'!$B$15</definedName>
    <definedName name="Semana_14" localSheetId="4">TOTAL!$B$15</definedName>
    <definedName name="Semana_15" localSheetId="10">'DIN + PUSH'!$B$16</definedName>
    <definedName name="Semana_15" localSheetId="8">DRI!$B$16</definedName>
    <definedName name="Semana_15" localSheetId="9">'FLOW RACK'!$B$16</definedName>
    <definedName name="Semana_15" localSheetId="5">OUTROS!$B$16</definedName>
    <definedName name="Semana_15" localSheetId="6">'PP1+PP2'!$B$16</definedName>
    <definedName name="Semana_15" localSheetId="7">'PP3'!$B$16</definedName>
    <definedName name="Semana_15" localSheetId="4">TOTAL!$B$16</definedName>
    <definedName name="Semana_16" localSheetId="10">'DIN + PUSH'!$B$17</definedName>
    <definedName name="Semana_16" localSheetId="8">DRI!$B$17</definedName>
    <definedName name="Semana_16" localSheetId="9">'FLOW RACK'!$B$17</definedName>
    <definedName name="Semana_16" localSheetId="5">OUTROS!$B$17</definedName>
    <definedName name="Semana_16" localSheetId="6">'PP1+PP2'!$B$17</definedName>
    <definedName name="Semana_16" localSheetId="7">'PP3'!$B$17</definedName>
    <definedName name="Semana_16" localSheetId="4">TOTAL!$B$17</definedName>
    <definedName name="Semana_17" localSheetId="10">'DIN + PUSH'!$B$18</definedName>
    <definedName name="Semana_17" localSheetId="8">DRI!$B$18</definedName>
    <definedName name="Semana_17" localSheetId="9">'FLOW RACK'!$B$18</definedName>
    <definedName name="Semana_17" localSheetId="5">OUTROS!$B$18</definedName>
    <definedName name="Semana_17" localSheetId="6">'PP1+PP2'!$B$18</definedName>
    <definedName name="Semana_17" localSheetId="7">'PP3'!$B$18</definedName>
    <definedName name="Semana_17" localSheetId="4">TOTAL!$B$18</definedName>
    <definedName name="Semana_18" localSheetId="10">'DIN + PUSH'!$B$19</definedName>
    <definedName name="Semana_18" localSheetId="8">DRI!$B$19</definedName>
    <definedName name="Semana_18" localSheetId="9">'FLOW RACK'!$B$19</definedName>
    <definedName name="Semana_18" localSheetId="5">OUTROS!$B$19</definedName>
    <definedName name="Semana_18" localSheetId="6">'PP1+PP2'!$B$19</definedName>
    <definedName name="Semana_18" localSheetId="7">'PP3'!$B$19</definedName>
    <definedName name="Semana_18" localSheetId="4">TOTAL!$B$19</definedName>
    <definedName name="Semana_19" localSheetId="10">'DIN + PUSH'!$B$20</definedName>
    <definedName name="Semana_19" localSheetId="8">DRI!$B$20</definedName>
    <definedName name="Semana_19" localSheetId="9">'FLOW RACK'!$B$20</definedName>
    <definedName name="Semana_19" localSheetId="5">OUTROS!$B$20</definedName>
    <definedName name="Semana_19" localSheetId="6">'PP1+PP2'!$B$20</definedName>
    <definedName name="Semana_19" localSheetId="7">'PP3'!$B$20</definedName>
    <definedName name="Semana_19" localSheetId="4">TOTAL!$B$20</definedName>
    <definedName name="Semana_2" localSheetId="10">'DIN + PUSH'!$B$3</definedName>
    <definedName name="Semana_2" localSheetId="8">DRI!$B$3</definedName>
    <definedName name="Semana_2" localSheetId="9">'FLOW RACK'!$B$3</definedName>
    <definedName name="Semana_2" localSheetId="5">OUTROS!$B$3</definedName>
    <definedName name="Semana_2" localSheetId="6">'PP1+PP2'!$B$3</definedName>
    <definedName name="Semana_2" localSheetId="7">'PP3'!$B$3</definedName>
    <definedName name="Semana_2" localSheetId="4">TOTAL!$B$3</definedName>
    <definedName name="Semana_20" localSheetId="10">'DIN + PUSH'!$B$21</definedName>
    <definedName name="Semana_20" localSheetId="8">DRI!$B$21</definedName>
    <definedName name="Semana_20" localSheetId="9">'FLOW RACK'!$B$21</definedName>
    <definedName name="Semana_20" localSheetId="5">OUTROS!$B$21</definedName>
    <definedName name="Semana_20" localSheetId="6">'PP1+PP2'!$B$21</definedName>
    <definedName name="Semana_20" localSheetId="7">'PP3'!$B$21</definedName>
    <definedName name="Semana_20" localSheetId="4">TOTAL!$B$21</definedName>
    <definedName name="Semana_21" localSheetId="10">'DIN + PUSH'!$B$22</definedName>
    <definedName name="Semana_21" localSheetId="8">DRI!$B$22</definedName>
    <definedName name="Semana_21" localSheetId="9">'FLOW RACK'!$B$22</definedName>
    <definedName name="Semana_21" localSheetId="5">OUTROS!$B$22</definedName>
    <definedName name="Semana_21" localSheetId="6">'PP1+PP2'!$B$22</definedName>
    <definedName name="Semana_21" localSheetId="7">'PP3'!$B$22</definedName>
    <definedName name="Semana_21" localSheetId="4">TOTAL!$B$22</definedName>
    <definedName name="Semana_22" localSheetId="10">'DIN + PUSH'!$B$23</definedName>
    <definedName name="Semana_22" localSheetId="8">DRI!$B$23</definedName>
    <definedName name="Semana_22" localSheetId="9">'FLOW RACK'!$B$23</definedName>
    <definedName name="Semana_22" localSheetId="5">OUTROS!$B$23</definedName>
    <definedName name="Semana_22" localSheetId="6">'PP1+PP2'!$B$23</definedName>
    <definedName name="Semana_22" localSheetId="7">'PP3'!$B$23</definedName>
    <definedName name="Semana_22" localSheetId="4">TOTAL!$B$23</definedName>
    <definedName name="Semana_23" localSheetId="10">'DIN + PUSH'!$B$24</definedName>
    <definedName name="Semana_23" localSheetId="8">DRI!$B$24</definedName>
    <definedName name="Semana_23" localSheetId="9">'FLOW RACK'!$B$24</definedName>
    <definedName name="Semana_23" localSheetId="5">OUTROS!$B$24</definedName>
    <definedName name="Semana_23" localSheetId="6">'PP1+PP2'!$B$24</definedName>
    <definedName name="Semana_23" localSheetId="7">'PP3'!$B$24</definedName>
    <definedName name="Semana_23" localSheetId="4">TOTAL!$B$24</definedName>
    <definedName name="Semana_24" localSheetId="10">'DIN + PUSH'!$B$25</definedName>
    <definedName name="Semana_24" localSheetId="8">DRI!$B$25</definedName>
    <definedName name="Semana_24" localSheetId="9">'FLOW RACK'!$B$25</definedName>
    <definedName name="Semana_24" localSheetId="5">OUTROS!$B$25</definedName>
    <definedName name="Semana_24" localSheetId="6">'PP1+PP2'!$B$25</definedName>
    <definedName name="Semana_24" localSheetId="7">'PP3'!$B$25</definedName>
    <definedName name="Semana_24" localSheetId="4">TOTAL!$B$25</definedName>
    <definedName name="Semana_25" localSheetId="10">'DIN + PUSH'!#REF!</definedName>
    <definedName name="Semana_25" localSheetId="8">DRI!#REF!</definedName>
    <definedName name="Semana_25" localSheetId="9">'FLOW RACK'!#REF!</definedName>
    <definedName name="Semana_25" localSheetId="5">OUTROS!#REF!</definedName>
    <definedName name="Semana_25" localSheetId="6">'PP1+PP2'!#REF!</definedName>
    <definedName name="Semana_25" localSheetId="7">'PP3'!#REF!</definedName>
    <definedName name="Semana_25" localSheetId="4">TOTAL!#REF!</definedName>
    <definedName name="Semana_26" localSheetId="10">'DIN + PUSH'!#REF!</definedName>
    <definedName name="Semana_26" localSheetId="8">DRI!#REF!</definedName>
    <definedName name="Semana_26" localSheetId="9">'FLOW RACK'!#REF!</definedName>
    <definedName name="Semana_26" localSheetId="5">OUTROS!#REF!</definedName>
    <definedName name="Semana_26" localSheetId="6">'PP1+PP2'!#REF!</definedName>
    <definedName name="Semana_26" localSheetId="7">'PP3'!#REF!</definedName>
    <definedName name="Semana_26" localSheetId="4">TOTAL!#REF!</definedName>
    <definedName name="Semana_27" localSheetId="10">'DIN + PUSH'!#REF!</definedName>
    <definedName name="Semana_27" localSheetId="8">DRI!#REF!</definedName>
    <definedName name="Semana_27" localSheetId="9">'FLOW RACK'!#REF!</definedName>
    <definedName name="Semana_27" localSheetId="5">OUTROS!#REF!</definedName>
    <definedName name="Semana_27" localSheetId="6">'PP1+PP2'!#REF!</definedName>
    <definedName name="Semana_27" localSheetId="7">'PP3'!#REF!</definedName>
    <definedName name="Semana_27" localSheetId="4">TOTAL!#REF!</definedName>
    <definedName name="Semana_28" localSheetId="10">'DIN + PUSH'!#REF!</definedName>
    <definedName name="Semana_28" localSheetId="8">DRI!#REF!</definedName>
    <definedName name="Semana_28" localSheetId="9">'FLOW RACK'!#REF!</definedName>
    <definedName name="Semana_28" localSheetId="5">OUTROS!#REF!</definedName>
    <definedName name="Semana_28" localSheetId="6">'PP1+PP2'!#REF!</definedName>
    <definedName name="Semana_28" localSheetId="7">'PP3'!#REF!</definedName>
    <definedName name="Semana_28" localSheetId="4">TOTAL!#REF!</definedName>
    <definedName name="Semana_29" localSheetId="10">'DIN + PUSH'!#REF!</definedName>
    <definedName name="Semana_29" localSheetId="8">DRI!#REF!</definedName>
    <definedName name="Semana_29" localSheetId="9">'FLOW RACK'!#REF!</definedName>
    <definedName name="Semana_29" localSheetId="5">OUTROS!#REF!</definedName>
    <definedName name="Semana_29" localSheetId="6">'PP1+PP2'!#REF!</definedName>
    <definedName name="Semana_29" localSheetId="7">'PP3'!#REF!</definedName>
    <definedName name="Semana_29" localSheetId="4">TOTAL!#REF!</definedName>
    <definedName name="Semana_3" localSheetId="10">'DIN + PUSH'!$B$4</definedName>
    <definedName name="Semana_3" localSheetId="8">DRI!$B$4</definedName>
    <definedName name="Semana_3" localSheetId="9">'FLOW RACK'!$B$4</definedName>
    <definedName name="Semana_3" localSheetId="5">OUTROS!$B$4</definedName>
    <definedName name="Semana_3" localSheetId="6">'PP1+PP2'!$B$4</definedName>
    <definedName name="Semana_3" localSheetId="7">'PP3'!$B$4</definedName>
    <definedName name="Semana_3" localSheetId="4">TOTAL!$B$4</definedName>
    <definedName name="Semana_30" localSheetId="10">'DIN + PUSH'!#REF!</definedName>
    <definedName name="Semana_30" localSheetId="8">DRI!#REF!</definedName>
    <definedName name="Semana_30" localSheetId="9">'FLOW RACK'!#REF!</definedName>
    <definedName name="Semana_30" localSheetId="5">OUTROS!#REF!</definedName>
    <definedName name="Semana_30" localSheetId="6">'PP1+PP2'!#REF!</definedName>
    <definedName name="Semana_30" localSheetId="7">'PP3'!#REF!</definedName>
    <definedName name="Semana_30" localSheetId="4">TOTAL!#REF!</definedName>
    <definedName name="Semana_31" localSheetId="10">'DIN + PUSH'!#REF!</definedName>
    <definedName name="Semana_31" localSheetId="8">DRI!#REF!</definedName>
    <definedName name="Semana_31" localSheetId="9">'FLOW RACK'!#REF!</definedName>
    <definedName name="Semana_31" localSheetId="5">OUTROS!#REF!</definedName>
    <definedName name="Semana_31" localSheetId="6">'PP1+PP2'!#REF!</definedName>
    <definedName name="Semana_31" localSheetId="7">'PP3'!#REF!</definedName>
    <definedName name="Semana_31" localSheetId="4">TOTAL!#REF!</definedName>
    <definedName name="Semana_32" localSheetId="10">'DIN + PUSH'!#REF!</definedName>
    <definedName name="Semana_32" localSheetId="8">DRI!#REF!</definedName>
    <definedName name="Semana_32" localSheetId="9">'FLOW RACK'!#REF!</definedName>
    <definedName name="Semana_32" localSheetId="5">OUTROS!#REF!</definedName>
    <definedName name="Semana_32" localSheetId="6">'PP1+PP2'!#REF!</definedName>
    <definedName name="Semana_32" localSheetId="7">'PP3'!#REF!</definedName>
    <definedName name="Semana_32" localSheetId="4">TOTAL!#REF!</definedName>
    <definedName name="Semana_33" localSheetId="10">'DIN + PUSH'!#REF!</definedName>
    <definedName name="Semana_33" localSheetId="8">DRI!#REF!</definedName>
    <definedName name="Semana_33" localSheetId="9">'FLOW RACK'!#REF!</definedName>
    <definedName name="Semana_33" localSheetId="5">OUTROS!#REF!</definedName>
    <definedName name="Semana_33" localSheetId="6">'PP1+PP2'!#REF!</definedName>
    <definedName name="Semana_33" localSheetId="7">'PP3'!#REF!</definedName>
    <definedName name="Semana_33" localSheetId="4">TOTAL!#REF!</definedName>
    <definedName name="Semana_34" localSheetId="10">'DIN + PUSH'!#REF!</definedName>
    <definedName name="Semana_34" localSheetId="8">DRI!#REF!</definedName>
    <definedName name="Semana_34" localSheetId="9">'FLOW RACK'!#REF!</definedName>
    <definedName name="Semana_34" localSheetId="5">OUTROS!#REF!</definedName>
    <definedName name="Semana_34" localSheetId="6">'PP1+PP2'!#REF!</definedName>
    <definedName name="Semana_34" localSheetId="7">'PP3'!#REF!</definedName>
    <definedName name="Semana_34" localSheetId="4">TOTAL!#REF!</definedName>
    <definedName name="Semana_35" localSheetId="10">'DIN + PUSH'!#REF!</definedName>
    <definedName name="Semana_35" localSheetId="8">DRI!#REF!</definedName>
    <definedName name="Semana_35" localSheetId="9">'FLOW RACK'!#REF!</definedName>
    <definedName name="Semana_35" localSheetId="5">OUTROS!#REF!</definedName>
    <definedName name="Semana_35" localSheetId="6">'PP1+PP2'!#REF!</definedName>
    <definedName name="Semana_35" localSheetId="7">'PP3'!#REF!</definedName>
    <definedName name="Semana_35" localSheetId="4">TOTAL!#REF!</definedName>
    <definedName name="Semana_36" localSheetId="10">'DIN + PUSH'!#REF!</definedName>
    <definedName name="Semana_36" localSheetId="8">DRI!#REF!</definedName>
    <definedName name="Semana_36" localSheetId="9">'FLOW RACK'!#REF!</definedName>
    <definedName name="Semana_36" localSheetId="5">OUTROS!#REF!</definedName>
    <definedName name="Semana_36" localSheetId="6">'PP1+PP2'!#REF!</definedName>
    <definedName name="Semana_36" localSheetId="7">'PP3'!#REF!</definedName>
    <definedName name="Semana_36" localSheetId="4">TOTAL!#REF!</definedName>
    <definedName name="Semana_37" localSheetId="10">'DIN + PUSH'!#REF!</definedName>
    <definedName name="Semana_37" localSheetId="8">DRI!#REF!</definedName>
    <definedName name="Semana_37" localSheetId="9">'FLOW RACK'!#REF!</definedName>
    <definedName name="Semana_37" localSheetId="5">OUTROS!#REF!</definedName>
    <definedName name="Semana_37" localSheetId="6">'PP1+PP2'!#REF!</definedName>
    <definedName name="Semana_37" localSheetId="7">'PP3'!#REF!</definedName>
    <definedName name="Semana_37" localSheetId="4">TOTAL!#REF!</definedName>
    <definedName name="Semana_38" localSheetId="10">'DIN + PUSH'!#REF!</definedName>
    <definedName name="Semana_38" localSheetId="8">DRI!#REF!</definedName>
    <definedName name="Semana_38" localSheetId="9">'FLOW RACK'!#REF!</definedName>
    <definedName name="Semana_38" localSheetId="5">OUTROS!#REF!</definedName>
    <definedName name="Semana_38" localSheetId="6">'PP1+PP2'!#REF!</definedName>
    <definedName name="Semana_38" localSheetId="7">'PP3'!#REF!</definedName>
    <definedName name="Semana_38" localSheetId="4">TOTAL!#REF!</definedName>
    <definedName name="Semana_39" localSheetId="10">'DIN + PUSH'!#REF!</definedName>
    <definedName name="Semana_39" localSheetId="8">DRI!#REF!</definedName>
    <definedName name="Semana_39" localSheetId="9">'FLOW RACK'!#REF!</definedName>
    <definedName name="Semana_39" localSheetId="5">OUTROS!#REF!</definedName>
    <definedName name="Semana_39" localSheetId="6">'PP1+PP2'!#REF!</definedName>
    <definedName name="Semana_39" localSheetId="7">'PP3'!#REF!</definedName>
    <definedName name="Semana_39" localSheetId="4">TOTAL!#REF!</definedName>
    <definedName name="Semana_4" localSheetId="10">'DIN + PUSH'!$B$5</definedName>
    <definedName name="Semana_4" localSheetId="8">DRI!$B$5</definedName>
    <definedName name="Semana_4" localSheetId="9">'FLOW RACK'!$B$5</definedName>
    <definedName name="Semana_4" localSheetId="5">OUTROS!$B$5</definedName>
    <definedName name="Semana_4" localSheetId="6">'PP1+PP2'!$B$5</definedName>
    <definedName name="Semana_4" localSheetId="7">'PP3'!$B$5</definedName>
    <definedName name="Semana_4" localSheetId="4">TOTAL!$B$5</definedName>
    <definedName name="Semana_40" localSheetId="10">'DIN + PUSH'!#REF!</definedName>
    <definedName name="Semana_40" localSheetId="8">DRI!#REF!</definedName>
    <definedName name="Semana_40" localSheetId="9">'FLOW RACK'!#REF!</definedName>
    <definedName name="Semana_40" localSheetId="5">OUTROS!#REF!</definedName>
    <definedName name="Semana_40" localSheetId="6">'PP1+PP2'!#REF!</definedName>
    <definedName name="Semana_40" localSheetId="7">'PP3'!#REF!</definedName>
    <definedName name="Semana_40" localSheetId="4">TOTAL!#REF!</definedName>
    <definedName name="Semana_41" localSheetId="10">'DIN + PUSH'!#REF!</definedName>
    <definedName name="Semana_41" localSheetId="8">DRI!#REF!</definedName>
    <definedName name="Semana_41" localSheetId="9">'FLOW RACK'!#REF!</definedName>
    <definedName name="Semana_41" localSheetId="5">OUTROS!#REF!</definedName>
    <definedName name="Semana_41" localSheetId="6">'PP1+PP2'!#REF!</definedName>
    <definedName name="Semana_41" localSheetId="7">'PP3'!#REF!</definedName>
    <definedName name="Semana_41" localSheetId="4">TOTAL!#REF!</definedName>
    <definedName name="Semana_42" localSheetId="10">'DIN + PUSH'!#REF!</definedName>
    <definedName name="Semana_42" localSheetId="8">DRI!#REF!</definedName>
    <definedName name="Semana_42" localSheetId="9">'FLOW RACK'!#REF!</definedName>
    <definedName name="Semana_42" localSheetId="5">OUTROS!#REF!</definedName>
    <definedName name="Semana_42" localSheetId="6">'PP1+PP2'!#REF!</definedName>
    <definedName name="Semana_42" localSheetId="7">'PP3'!#REF!</definedName>
    <definedName name="Semana_42" localSheetId="4">TOTAL!#REF!</definedName>
    <definedName name="Semana_43" localSheetId="10">'DIN + PUSH'!#REF!</definedName>
    <definedName name="Semana_43" localSheetId="8">DRI!#REF!</definedName>
    <definedName name="Semana_43" localSheetId="9">'FLOW RACK'!#REF!</definedName>
    <definedName name="Semana_43" localSheetId="5">OUTROS!#REF!</definedName>
    <definedName name="Semana_43" localSheetId="6">'PP1+PP2'!#REF!</definedName>
    <definedName name="Semana_43" localSheetId="7">'PP3'!#REF!</definedName>
    <definedName name="Semana_43" localSheetId="4">TOTAL!#REF!</definedName>
    <definedName name="Semana_44" localSheetId="10">'DIN + PUSH'!#REF!</definedName>
    <definedName name="Semana_44" localSheetId="8">DRI!#REF!</definedName>
    <definedName name="Semana_44" localSheetId="9">'FLOW RACK'!#REF!</definedName>
    <definedName name="Semana_44" localSheetId="5">OUTROS!#REF!</definedName>
    <definedName name="Semana_44" localSheetId="6">'PP1+PP2'!#REF!</definedName>
    <definedName name="Semana_44" localSheetId="7">'PP3'!#REF!</definedName>
    <definedName name="Semana_44" localSheetId="4">TOTAL!#REF!</definedName>
    <definedName name="Semana_45" localSheetId="10">'DIN + PUSH'!#REF!</definedName>
    <definedName name="Semana_45" localSheetId="8">DRI!#REF!</definedName>
    <definedName name="Semana_45" localSheetId="9">'FLOW RACK'!#REF!</definedName>
    <definedName name="Semana_45" localSheetId="5">OUTROS!#REF!</definedName>
    <definedName name="Semana_45" localSheetId="6">'PP1+PP2'!#REF!</definedName>
    <definedName name="Semana_45" localSheetId="7">'PP3'!#REF!</definedName>
    <definedName name="Semana_45" localSheetId="4">TOTAL!#REF!</definedName>
    <definedName name="Semana_46" localSheetId="10">'DIN + PUSH'!#REF!</definedName>
    <definedName name="Semana_46" localSheetId="8">DRI!#REF!</definedName>
    <definedName name="Semana_46" localSheetId="9">'FLOW RACK'!#REF!</definedName>
    <definedName name="Semana_46" localSheetId="5">OUTROS!#REF!</definedName>
    <definedName name="Semana_46" localSheetId="6">'PP1+PP2'!#REF!</definedName>
    <definedName name="Semana_46" localSheetId="7">'PP3'!#REF!</definedName>
    <definedName name="Semana_46" localSheetId="4">TOTAL!#REF!</definedName>
    <definedName name="Semana_47" localSheetId="10">'DIN + PUSH'!#REF!</definedName>
    <definedName name="Semana_47" localSheetId="8">DRI!#REF!</definedName>
    <definedName name="Semana_47" localSheetId="9">'FLOW RACK'!#REF!</definedName>
    <definedName name="Semana_47" localSheetId="5">OUTROS!#REF!</definedName>
    <definedName name="Semana_47" localSheetId="6">'PP1+PP2'!#REF!</definedName>
    <definedName name="Semana_47" localSheetId="7">'PP3'!#REF!</definedName>
    <definedName name="Semana_47" localSheetId="4">TOTAL!#REF!</definedName>
    <definedName name="Semana_48" localSheetId="10">'DIN + PUSH'!#REF!</definedName>
    <definedName name="Semana_48" localSheetId="8">DRI!#REF!</definedName>
    <definedName name="Semana_48" localSheetId="9">'FLOW RACK'!#REF!</definedName>
    <definedName name="Semana_48" localSheetId="5">OUTROS!#REF!</definedName>
    <definedName name="Semana_48" localSheetId="6">'PP1+PP2'!#REF!</definedName>
    <definedName name="Semana_48" localSheetId="7">'PP3'!#REF!</definedName>
    <definedName name="Semana_48" localSheetId="4">TOTAL!#REF!</definedName>
    <definedName name="Semana_49" localSheetId="10">'DIN + PUSH'!#REF!</definedName>
    <definedName name="Semana_49" localSheetId="8">DRI!#REF!</definedName>
    <definedName name="Semana_49" localSheetId="9">'FLOW RACK'!#REF!</definedName>
    <definedName name="Semana_49" localSheetId="5">OUTROS!#REF!</definedName>
    <definedName name="Semana_49" localSheetId="6">'PP1+PP2'!#REF!</definedName>
    <definedName name="Semana_49" localSheetId="7">'PP3'!#REF!</definedName>
    <definedName name="Semana_49" localSheetId="4">TOTAL!#REF!</definedName>
    <definedName name="Semana_5" localSheetId="10">'DIN + PUSH'!$B$6</definedName>
    <definedName name="Semana_5" localSheetId="8">DRI!$B$6</definedName>
    <definedName name="Semana_5" localSheetId="9">'FLOW RACK'!$B$6</definedName>
    <definedName name="Semana_5" localSheetId="5">OUTROS!$B$6</definedName>
    <definedName name="Semana_5" localSheetId="6">'PP1+PP2'!$B$6</definedName>
    <definedName name="Semana_5" localSheetId="7">'PP3'!$B$6</definedName>
    <definedName name="Semana_5" localSheetId="4">TOTAL!$B$6</definedName>
    <definedName name="Semana_50" localSheetId="10">'DIN + PUSH'!#REF!</definedName>
    <definedName name="Semana_50" localSheetId="8">DRI!#REF!</definedName>
    <definedName name="Semana_50" localSheetId="9">'FLOW RACK'!#REF!</definedName>
    <definedName name="Semana_50" localSheetId="5">OUTROS!#REF!</definedName>
    <definedName name="Semana_50" localSheetId="6">'PP1+PP2'!#REF!</definedName>
    <definedName name="Semana_50" localSheetId="7">'PP3'!#REF!</definedName>
    <definedName name="Semana_50" localSheetId="4">TOTAL!#REF!</definedName>
    <definedName name="Semana_51" localSheetId="10">'DIN + PUSH'!#REF!</definedName>
    <definedName name="Semana_51" localSheetId="8">DRI!#REF!</definedName>
    <definedName name="Semana_51" localSheetId="9">'FLOW RACK'!#REF!</definedName>
    <definedName name="Semana_51" localSheetId="5">OUTROS!#REF!</definedName>
    <definedName name="Semana_51" localSheetId="6">'PP1+PP2'!#REF!</definedName>
    <definedName name="Semana_51" localSheetId="7">'PP3'!#REF!</definedName>
    <definedName name="Semana_51" localSheetId="4">TOTAL!#REF!</definedName>
    <definedName name="Semana_52" localSheetId="10">'DIN + PUSH'!#REF!</definedName>
    <definedName name="Semana_52" localSheetId="8">DRI!#REF!</definedName>
    <definedName name="Semana_52" localSheetId="9">'FLOW RACK'!#REF!</definedName>
    <definedName name="Semana_52" localSheetId="5">OUTROS!#REF!</definedName>
    <definedName name="Semana_52" localSheetId="6">'PP1+PP2'!#REF!</definedName>
    <definedName name="Semana_52" localSheetId="7">'PP3'!#REF!</definedName>
    <definedName name="Semana_52" localSheetId="4">TOTAL!#REF!</definedName>
    <definedName name="Semana_53" localSheetId="10">'DIN + PUSH'!#REF!</definedName>
    <definedName name="Semana_53" localSheetId="8">DRI!#REF!</definedName>
    <definedName name="Semana_53" localSheetId="9">'FLOW RACK'!#REF!</definedName>
    <definedName name="Semana_53" localSheetId="5">OUTROS!#REF!</definedName>
    <definedName name="Semana_53" localSheetId="6">'PP1+PP2'!#REF!</definedName>
    <definedName name="Semana_53" localSheetId="7">'PP3'!#REF!</definedName>
    <definedName name="Semana_53" localSheetId="4">TOTAL!#REF!</definedName>
    <definedName name="Semana_6" localSheetId="10">'DIN + PUSH'!$B$7</definedName>
    <definedName name="Semana_6" localSheetId="8">DRI!$B$7</definedName>
    <definedName name="Semana_6" localSheetId="9">'FLOW RACK'!$B$7</definedName>
    <definedName name="Semana_6" localSheetId="5">OUTROS!$B$7</definedName>
    <definedName name="Semana_6" localSheetId="6">'PP1+PP2'!$B$7</definedName>
    <definedName name="Semana_6" localSheetId="7">'PP3'!$B$7</definedName>
    <definedName name="Semana_6" localSheetId="4">TOTAL!$B$7</definedName>
    <definedName name="Semana_7" localSheetId="10">'DIN + PUSH'!$B$8</definedName>
    <definedName name="Semana_7" localSheetId="8">DRI!$B$8</definedName>
    <definedName name="Semana_7" localSheetId="9">'FLOW RACK'!$B$8</definedName>
    <definedName name="Semana_7" localSheetId="5">OUTROS!$B$8</definedName>
    <definedName name="Semana_7" localSheetId="6">'PP1+PP2'!$B$8</definedName>
    <definedName name="Semana_7" localSheetId="7">'PP3'!$B$8</definedName>
    <definedName name="Semana_7" localSheetId="4">TOTAL!$B$8</definedName>
    <definedName name="Semana_8" localSheetId="10">'DIN + PUSH'!$B$9</definedName>
    <definedName name="Semana_8" localSheetId="8">DRI!$B$9</definedName>
    <definedName name="Semana_8" localSheetId="9">'FLOW RACK'!$B$9</definedName>
    <definedName name="Semana_8" localSheetId="5">OUTROS!$B$9</definedName>
    <definedName name="Semana_8" localSheetId="6">'PP1+PP2'!$B$9</definedName>
    <definedName name="Semana_8" localSheetId="7">'PP3'!$B$9</definedName>
    <definedName name="Semana_8" localSheetId="4">TOTAL!$B$9</definedName>
    <definedName name="Semana_9" localSheetId="10">'DIN + PUSH'!$B$10</definedName>
    <definedName name="Semana_9" localSheetId="8">DRI!$B$10</definedName>
    <definedName name="Semana_9" localSheetId="9">'FLOW RACK'!$B$10</definedName>
    <definedName name="Semana_9" localSheetId="5">OUTROS!$B$10</definedName>
    <definedName name="Semana_9" localSheetId="6">'PP1+PP2'!$B$10</definedName>
    <definedName name="Semana_9" localSheetId="7">'PP3'!$B$10</definedName>
    <definedName name="Semana_9" localSheetId="4">TOTAL!$B$10</definedName>
    <definedName name="SEPARADO">"Imagem 20"</definedName>
    <definedName name="Tonelagemlimite_1" localSheetId="10">'DIN + PUSH'!$C$2</definedName>
    <definedName name="Tonelagemlimite_1" localSheetId="8">DRI!$C$2</definedName>
    <definedName name="Tonelagemlimite_1" localSheetId="9">'FLOW RACK'!$C$2</definedName>
    <definedName name="Tonelagemlimite_1" localSheetId="5">OUTROS!$C$2</definedName>
    <definedName name="Tonelagemlimite_1" localSheetId="6">'PP1+PP2'!$C$2</definedName>
    <definedName name="Tonelagemlimite_1" localSheetId="7">'PP3'!$C$2</definedName>
    <definedName name="Tonelagemlimite_1" localSheetId="4">TOTAL!$C$2</definedName>
    <definedName name="Tonelagemlimite_10" localSheetId="10">'DIN + PUSH'!$C$11</definedName>
    <definedName name="Tonelagemlimite_10" localSheetId="8">DRI!$C$11</definedName>
    <definedName name="Tonelagemlimite_10" localSheetId="9">'FLOW RACK'!$C$11</definedName>
    <definedName name="Tonelagemlimite_10" localSheetId="5">OUTROS!$C$11</definedName>
    <definedName name="Tonelagemlimite_10" localSheetId="6">'PP1+PP2'!$C$11</definedName>
    <definedName name="Tonelagemlimite_10" localSheetId="7">'PP3'!$C$11</definedName>
    <definedName name="Tonelagemlimite_10" localSheetId="4">TOTAL!$C$11</definedName>
    <definedName name="Tonelagemlimite_11" localSheetId="10">'DIN + PUSH'!$C$12</definedName>
    <definedName name="Tonelagemlimite_11" localSheetId="8">DRI!$C$12</definedName>
    <definedName name="Tonelagemlimite_11" localSheetId="9">'FLOW RACK'!$C$12</definedName>
    <definedName name="Tonelagemlimite_11" localSheetId="5">OUTROS!$C$12</definedName>
    <definedName name="Tonelagemlimite_11" localSheetId="6">'PP1+PP2'!$C$12</definedName>
    <definedName name="Tonelagemlimite_11" localSheetId="7">'PP3'!$C$12</definedName>
    <definedName name="Tonelagemlimite_11" localSheetId="4">TOTAL!$C$12</definedName>
    <definedName name="Tonelagemlimite_12" localSheetId="10">'DIN + PUSH'!$C$13</definedName>
    <definedName name="Tonelagemlimite_12" localSheetId="8">DRI!$C$13</definedName>
    <definedName name="Tonelagemlimite_12" localSheetId="9">'FLOW RACK'!$C$13</definedName>
    <definedName name="Tonelagemlimite_12" localSheetId="5">OUTROS!$C$13</definedName>
    <definedName name="Tonelagemlimite_12" localSheetId="6">'PP1+PP2'!$C$13</definedName>
    <definedName name="Tonelagemlimite_12" localSheetId="7">'PP3'!$C$13</definedName>
    <definedName name="Tonelagemlimite_12" localSheetId="4">TOTAL!$C$13</definedName>
    <definedName name="Tonelagemlimite_13" localSheetId="10">'DIN + PUSH'!$C$14</definedName>
    <definedName name="Tonelagemlimite_13" localSheetId="8">DRI!$C$14</definedName>
    <definedName name="Tonelagemlimite_13" localSheetId="9">'FLOW RACK'!$C$14</definedName>
    <definedName name="Tonelagemlimite_13" localSheetId="5">OUTROS!$C$14</definedName>
    <definedName name="Tonelagemlimite_13" localSheetId="6">'PP1+PP2'!$C$14</definedName>
    <definedName name="Tonelagemlimite_13" localSheetId="7">'PP3'!$C$14</definedName>
    <definedName name="Tonelagemlimite_13" localSheetId="4">TOTAL!$C$14</definedName>
    <definedName name="Tonelagemlimite_14" localSheetId="10">'DIN + PUSH'!$C$15</definedName>
    <definedName name="Tonelagemlimite_14" localSheetId="8">DRI!$C$15</definedName>
    <definedName name="Tonelagemlimite_14" localSheetId="9">'FLOW RACK'!$C$15</definedName>
    <definedName name="Tonelagemlimite_14" localSheetId="5">OUTROS!$C$15</definedName>
    <definedName name="Tonelagemlimite_14" localSheetId="6">'PP1+PP2'!$C$15</definedName>
    <definedName name="Tonelagemlimite_14" localSheetId="7">'PP3'!$C$15</definedName>
    <definedName name="Tonelagemlimite_14" localSheetId="4">TOTAL!$C$15</definedName>
    <definedName name="Tonelagemlimite_15" localSheetId="10">'DIN + PUSH'!$C$16</definedName>
    <definedName name="Tonelagemlimite_15" localSheetId="8">DRI!$C$16</definedName>
    <definedName name="Tonelagemlimite_15" localSheetId="9">'FLOW RACK'!$C$16</definedName>
    <definedName name="Tonelagemlimite_15" localSheetId="5">OUTROS!$C$16</definedName>
    <definedName name="Tonelagemlimite_15" localSheetId="6">'PP1+PP2'!$C$16</definedName>
    <definedName name="Tonelagemlimite_15" localSheetId="7">'PP3'!$C$16</definedName>
    <definedName name="Tonelagemlimite_15" localSheetId="4">TOTAL!$C$16</definedName>
    <definedName name="Tonelagemlimite_16" localSheetId="10">'DIN + PUSH'!$C$17</definedName>
    <definedName name="Tonelagemlimite_16" localSheetId="8">DRI!$C$17</definedName>
    <definedName name="Tonelagemlimite_16" localSheetId="9">'FLOW RACK'!$C$17</definedName>
    <definedName name="Tonelagemlimite_16" localSheetId="5">OUTROS!$C$17</definedName>
    <definedName name="Tonelagemlimite_16" localSheetId="6">'PP1+PP2'!$C$17</definedName>
    <definedName name="Tonelagemlimite_16" localSheetId="7">'PP3'!$C$17</definedName>
    <definedName name="Tonelagemlimite_16" localSheetId="4">TOTAL!$C$17</definedName>
    <definedName name="Tonelagemlimite_17" localSheetId="10">'DIN + PUSH'!$C$18</definedName>
    <definedName name="Tonelagemlimite_17" localSheetId="8">DRI!$C$18</definedName>
    <definedName name="Tonelagemlimite_17" localSheetId="9">'FLOW RACK'!$C$18</definedName>
    <definedName name="Tonelagemlimite_17" localSheetId="5">OUTROS!$C$18</definedName>
    <definedName name="Tonelagemlimite_17" localSheetId="6">'PP1+PP2'!$C$18</definedName>
    <definedName name="Tonelagemlimite_17" localSheetId="7">'PP3'!$C$18</definedName>
    <definedName name="Tonelagemlimite_17" localSheetId="4">TOTAL!$C$18</definedName>
    <definedName name="Tonelagemlimite_18" localSheetId="10">'DIN + PUSH'!$C$19</definedName>
    <definedName name="Tonelagemlimite_18" localSheetId="8">DRI!$C$19</definedName>
    <definedName name="Tonelagemlimite_18" localSheetId="9">'FLOW RACK'!$C$19</definedName>
    <definedName name="Tonelagemlimite_18" localSheetId="5">OUTROS!$C$19</definedName>
    <definedName name="Tonelagemlimite_18" localSheetId="6">'PP1+PP2'!$C$19</definedName>
    <definedName name="Tonelagemlimite_18" localSheetId="7">'PP3'!$C$19</definedName>
    <definedName name="Tonelagemlimite_18" localSheetId="4">TOTAL!$C$19</definedName>
    <definedName name="Tonelagemlimite_19" localSheetId="10">'DIN + PUSH'!$C$20</definedName>
    <definedName name="Tonelagemlimite_19" localSheetId="8">DRI!$C$20</definedName>
    <definedName name="Tonelagemlimite_19" localSheetId="9">'FLOW RACK'!$C$20</definedName>
    <definedName name="Tonelagemlimite_19" localSheetId="5">OUTROS!$C$20</definedName>
    <definedName name="Tonelagemlimite_19" localSheetId="6">'PP1+PP2'!$C$20</definedName>
    <definedName name="Tonelagemlimite_19" localSheetId="7">'PP3'!$C$20</definedName>
    <definedName name="Tonelagemlimite_19" localSheetId="4">TOTAL!$C$20</definedName>
    <definedName name="Tonelagemlimite_2" localSheetId="10">'DIN + PUSH'!$C$3</definedName>
    <definedName name="Tonelagemlimite_2" localSheetId="8">DRI!$C$3</definedName>
    <definedName name="Tonelagemlimite_2" localSheetId="9">'FLOW RACK'!$C$3</definedName>
    <definedName name="Tonelagemlimite_2" localSheetId="5">OUTROS!$C$3</definedName>
    <definedName name="Tonelagemlimite_2" localSheetId="6">'PP1+PP2'!$C$3</definedName>
    <definedName name="Tonelagemlimite_2" localSheetId="7">'PP3'!$C$3</definedName>
    <definedName name="Tonelagemlimite_2" localSheetId="4">TOTAL!$C$3</definedName>
    <definedName name="Tonelagemlimite_2">#REF!</definedName>
    <definedName name="Tonelagemlimite_20" localSheetId="10">'DIN + PUSH'!$C$21</definedName>
    <definedName name="Tonelagemlimite_20" localSheetId="8">DRI!$C$21</definedName>
    <definedName name="Tonelagemlimite_20" localSheetId="9">'FLOW RACK'!$C$21</definedName>
    <definedName name="Tonelagemlimite_20" localSheetId="5">OUTROS!$C$21</definedName>
    <definedName name="Tonelagemlimite_20" localSheetId="6">'PP1+PP2'!$C$21</definedName>
    <definedName name="Tonelagemlimite_20" localSheetId="7">'PP3'!$C$21</definedName>
    <definedName name="Tonelagemlimite_20" localSheetId="4">TOTAL!$C$21</definedName>
    <definedName name="Tonelagemlimite_21" localSheetId="10">'DIN + PUSH'!$C$22</definedName>
    <definedName name="Tonelagemlimite_21" localSheetId="8">DRI!$C$22</definedName>
    <definedName name="Tonelagemlimite_21" localSheetId="9">'FLOW RACK'!$C$22</definedName>
    <definedName name="Tonelagemlimite_21" localSheetId="5">OUTROS!$C$22</definedName>
    <definedName name="Tonelagemlimite_21" localSheetId="6">'PP1+PP2'!$C$22</definedName>
    <definedName name="Tonelagemlimite_21" localSheetId="7">'PP3'!$C$22</definedName>
    <definedName name="Tonelagemlimite_21" localSheetId="4">TOTAL!$C$22</definedName>
    <definedName name="Tonelagemlimite_22" localSheetId="10">'DIN + PUSH'!$C$23</definedName>
    <definedName name="Tonelagemlimite_22" localSheetId="8">DRI!$C$23</definedName>
    <definedName name="Tonelagemlimite_22" localSheetId="9">'FLOW RACK'!$C$23</definedName>
    <definedName name="Tonelagemlimite_22" localSheetId="5">OUTROS!$C$23</definedName>
    <definedName name="Tonelagemlimite_22" localSheetId="6">'PP1+PP2'!$C$23</definedName>
    <definedName name="Tonelagemlimite_22" localSheetId="7">'PP3'!$C$23</definedName>
    <definedName name="Tonelagemlimite_22" localSheetId="4">TOTAL!$C$23</definedName>
    <definedName name="Tonelagemlimite_23" localSheetId="10">'DIN + PUSH'!$C$24</definedName>
    <definedName name="Tonelagemlimite_23" localSheetId="8">DRI!$C$24</definedName>
    <definedName name="Tonelagemlimite_23" localSheetId="9">'FLOW RACK'!$C$24</definedName>
    <definedName name="Tonelagemlimite_23" localSheetId="5">OUTROS!$C$24</definedName>
    <definedName name="Tonelagemlimite_23" localSheetId="6">'PP1+PP2'!$C$24</definedName>
    <definedName name="Tonelagemlimite_23" localSheetId="7">'PP3'!$C$24</definedName>
    <definedName name="Tonelagemlimite_23" localSheetId="4">TOTAL!$C$24</definedName>
    <definedName name="Tonelagemlimite_24" localSheetId="10">'DIN + PUSH'!$C$25</definedName>
    <definedName name="Tonelagemlimite_24" localSheetId="8">DRI!$C$25</definedName>
    <definedName name="Tonelagemlimite_24" localSheetId="9">'FLOW RACK'!$C$25</definedName>
    <definedName name="Tonelagemlimite_24" localSheetId="5">OUTROS!$C$25</definedName>
    <definedName name="Tonelagemlimite_24" localSheetId="6">'PP1+PP2'!$C$25</definedName>
    <definedName name="Tonelagemlimite_24" localSheetId="7">'PP3'!$C$25</definedName>
    <definedName name="Tonelagemlimite_24" localSheetId="4">TOTAL!$C$25</definedName>
    <definedName name="Tonelagemlimite_25" localSheetId="10">'DIN + PUSH'!#REF!</definedName>
    <definedName name="Tonelagemlimite_25" localSheetId="8">DRI!#REF!</definedName>
    <definedName name="Tonelagemlimite_25" localSheetId="9">'FLOW RACK'!#REF!</definedName>
    <definedName name="Tonelagemlimite_25" localSheetId="5">OUTROS!#REF!</definedName>
    <definedName name="Tonelagemlimite_25" localSheetId="6">'PP1+PP2'!#REF!</definedName>
    <definedName name="Tonelagemlimite_25" localSheetId="7">'PP3'!#REF!</definedName>
    <definedName name="Tonelagemlimite_25" localSheetId="4">TOTAL!#REF!</definedName>
    <definedName name="Tonelagemlimite_26" localSheetId="10">'DIN + PUSH'!#REF!</definedName>
    <definedName name="Tonelagemlimite_26" localSheetId="8">DRI!#REF!</definedName>
    <definedName name="Tonelagemlimite_26" localSheetId="9">'FLOW RACK'!#REF!</definedName>
    <definedName name="Tonelagemlimite_26" localSheetId="5">OUTROS!#REF!</definedName>
    <definedName name="Tonelagemlimite_26" localSheetId="6">'PP1+PP2'!#REF!</definedName>
    <definedName name="Tonelagemlimite_26" localSheetId="7">'PP3'!#REF!</definedName>
    <definedName name="Tonelagemlimite_26" localSheetId="4">TOTAL!#REF!</definedName>
    <definedName name="Tonelagemlimite_27" localSheetId="10">'DIN + PUSH'!#REF!</definedName>
    <definedName name="Tonelagemlimite_27" localSheetId="8">DRI!#REF!</definedName>
    <definedName name="Tonelagemlimite_27" localSheetId="9">'FLOW RACK'!#REF!</definedName>
    <definedName name="Tonelagemlimite_27" localSheetId="5">OUTROS!#REF!</definedName>
    <definedName name="Tonelagemlimite_27" localSheetId="6">'PP1+PP2'!#REF!</definedName>
    <definedName name="Tonelagemlimite_27" localSheetId="7">'PP3'!#REF!</definedName>
    <definedName name="Tonelagemlimite_27" localSheetId="4">TOTAL!#REF!</definedName>
    <definedName name="Tonelagemlimite_28" localSheetId="10">'DIN + PUSH'!#REF!</definedName>
    <definedName name="Tonelagemlimite_28" localSheetId="8">DRI!#REF!</definedName>
    <definedName name="Tonelagemlimite_28" localSheetId="9">'FLOW RACK'!#REF!</definedName>
    <definedName name="Tonelagemlimite_28" localSheetId="5">OUTROS!#REF!</definedName>
    <definedName name="Tonelagemlimite_28" localSheetId="6">'PP1+PP2'!#REF!</definedName>
    <definedName name="Tonelagemlimite_28" localSheetId="7">'PP3'!#REF!</definedName>
    <definedName name="Tonelagemlimite_28" localSheetId="4">TOTAL!#REF!</definedName>
    <definedName name="Tonelagemlimite_29" localSheetId="10">'DIN + PUSH'!#REF!</definedName>
    <definedName name="Tonelagemlimite_29" localSheetId="8">DRI!#REF!</definedName>
    <definedName name="Tonelagemlimite_29" localSheetId="9">'FLOW RACK'!#REF!</definedName>
    <definedName name="Tonelagemlimite_29" localSheetId="5">OUTROS!#REF!</definedName>
    <definedName name="Tonelagemlimite_29" localSheetId="6">'PP1+PP2'!#REF!</definedName>
    <definedName name="Tonelagemlimite_29" localSheetId="7">'PP3'!#REF!</definedName>
    <definedName name="Tonelagemlimite_29" localSheetId="4">TOTAL!#REF!</definedName>
    <definedName name="Tonelagemlimite_3" localSheetId="10">'DIN + PUSH'!$C$4</definedName>
    <definedName name="Tonelagemlimite_3" localSheetId="8">DRI!$C$4</definedName>
    <definedName name="Tonelagemlimite_3" localSheetId="9">'FLOW RACK'!$C$4</definedName>
    <definedName name="Tonelagemlimite_3" localSheetId="5">OUTROS!$C$4</definedName>
    <definedName name="Tonelagemlimite_3" localSheetId="6">'PP1+PP2'!$C$4</definedName>
    <definedName name="Tonelagemlimite_3" localSheetId="7">'PP3'!$C$4</definedName>
    <definedName name="Tonelagemlimite_3" localSheetId="4">TOTAL!$C$4</definedName>
    <definedName name="Tonelagemlimite_30" localSheetId="10">'DIN + PUSH'!#REF!</definedName>
    <definedName name="Tonelagemlimite_30" localSheetId="8">DRI!#REF!</definedName>
    <definedName name="Tonelagemlimite_30" localSheetId="9">'FLOW RACK'!#REF!</definedName>
    <definedName name="Tonelagemlimite_30" localSheetId="5">OUTROS!#REF!</definedName>
    <definedName name="Tonelagemlimite_30" localSheetId="6">'PP1+PP2'!#REF!</definedName>
    <definedName name="Tonelagemlimite_30" localSheetId="7">'PP3'!#REF!</definedName>
    <definedName name="Tonelagemlimite_30" localSheetId="4">TOTAL!#REF!</definedName>
    <definedName name="Tonelagemlimite_31" localSheetId="10">'DIN + PUSH'!#REF!</definedName>
    <definedName name="Tonelagemlimite_31" localSheetId="8">DRI!#REF!</definedName>
    <definedName name="Tonelagemlimite_31" localSheetId="9">'FLOW RACK'!#REF!</definedName>
    <definedName name="Tonelagemlimite_31" localSheetId="5">OUTROS!#REF!</definedName>
    <definedName name="Tonelagemlimite_31" localSheetId="6">'PP1+PP2'!#REF!</definedName>
    <definedName name="Tonelagemlimite_31" localSheetId="7">'PP3'!#REF!</definedName>
    <definedName name="Tonelagemlimite_31" localSheetId="4">TOTAL!#REF!</definedName>
    <definedName name="Tonelagemlimite_32" localSheetId="10">'DIN + PUSH'!#REF!</definedName>
    <definedName name="Tonelagemlimite_32" localSheetId="8">DRI!#REF!</definedName>
    <definedName name="Tonelagemlimite_32" localSheetId="9">'FLOW RACK'!#REF!</definedName>
    <definedName name="Tonelagemlimite_32" localSheetId="5">OUTROS!#REF!</definedName>
    <definedName name="Tonelagemlimite_32" localSheetId="6">'PP1+PP2'!#REF!</definedName>
    <definedName name="Tonelagemlimite_32" localSheetId="7">'PP3'!#REF!</definedName>
    <definedName name="Tonelagemlimite_32" localSheetId="4">TOTAL!#REF!</definedName>
    <definedName name="Tonelagemlimite_33" localSheetId="10">'DIN + PUSH'!#REF!</definedName>
    <definedName name="Tonelagemlimite_33" localSheetId="8">DRI!#REF!</definedName>
    <definedName name="Tonelagemlimite_33" localSheetId="9">'FLOW RACK'!#REF!</definedName>
    <definedName name="Tonelagemlimite_33" localSheetId="5">OUTROS!#REF!</definedName>
    <definedName name="Tonelagemlimite_33" localSheetId="6">'PP1+PP2'!#REF!</definedName>
    <definedName name="Tonelagemlimite_33" localSheetId="7">'PP3'!#REF!</definedName>
    <definedName name="Tonelagemlimite_33" localSheetId="4">TOTAL!#REF!</definedName>
    <definedName name="Tonelagemlimite_34" localSheetId="10">'DIN + PUSH'!#REF!</definedName>
    <definedName name="Tonelagemlimite_34" localSheetId="8">DRI!#REF!</definedName>
    <definedName name="Tonelagemlimite_34" localSheetId="9">'FLOW RACK'!#REF!</definedName>
    <definedName name="Tonelagemlimite_34" localSheetId="5">OUTROS!#REF!</definedName>
    <definedName name="Tonelagemlimite_34" localSheetId="6">'PP1+PP2'!#REF!</definedName>
    <definedName name="Tonelagemlimite_34" localSheetId="7">'PP3'!#REF!</definedName>
    <definedName name="Tonelagemlimite_34" localSheetId="4">TOTAL!#REF!</definedName>
    <definedName name="Tonelagemlimite_35" localSheetId="10">'DIN + PUSH'!#REF!</definedName>
    <definedName name="Tonelagemlimite_35" localSheetId="8">DRI!#REF!</definedName>
    <definedName name="Tonelagemlimite_35" localSheetId="9">'FLOW RACK'!#REF!</definedName>
    <definedName name="Tonelagemlimite_35" localSheetId="5">OUTROS!#REF!</definedName>
    <definedName name="Tonelagemlimite_35" localSheetId="6">'PP1+PP2'!#REF!</definedName>
    <definedName name="Tonelagemlimite_35" localSheetId="7">'PP3'!#REF!</definedName>
    <definedName name="Tonelagemlimite_35" localSheetId="4">TOTAL!#REF!</definedName>
    <definedName name="Tonelagemlimite_36" localSheetId="10">'DIN + PUSH'!#REF!</definedName>
    <definedName name="Tonelagemlimite_36" localSheetId="8">DRI!#REF!</definedName>
    <definedName name="Tonelagemlimite_36" localSheetId="9">'FLOW RACK'!#REF!</definedName>
    <definedName name="Tonelagemlimite_36" localSheetId="5">OUTROS!#REF!</definedName>
    <definedName name="Tonelagemlimite_36" localSheetId="6">'PP1+PP2'!#REF!</definedName>
    <definedName name="Tonelagemlimite_36" localSheetId="7">'PP3'!#REF!</definedName>
    <definedName name="Tonelagemlimite_36" localSheetId="4">TOTAL!#REF!</definedName>
    <definedName name="Tonelagemlimite_37" localSheetId="10">'DIN + PUSH'!#REF!</definedName>
    <definedName name="Tonelagemlimite_37" localSheetId="8">DRI!#REF!</definedName>
    <definedName name="Tonelagemlimite_37" localSheetId="9">'FLOW RACK'!#REF!</definedName>
    <definedName name="Tonelagemlimite_37" localSheetId="5">OUTROS!#REF!</definedName>
    <definedName name="Tonelagemlimite_37" localSheetId="6">'PP1+PP2'!#REF!</definedName>
    <definedName name="Tonelagemlimite_37" localSheetId="7">'PP3'!#REF!</definedName>
    <definedName name="Tonelagemlimite_37" localSheetId="4">TOTAL!#REF!</definedName>
    <definedName name="Tonelagemlimite_38" localSheetId="10">'DIN + PUSH'!#REF!</definedName>
    <definedName name="Tonelagemlimite_38" localSheetId="8">DRI!#REF!</definedName>
    <definedName name="Tonelagemlimite_38" localSheetId="9">'FLOW RACK'!#REF!</definedName>
    <definedName name="Tonelagemlimite_38" localSheetId="5">OUTROS!#REF!</definedName>
    <definedName name="Tonelagemlimite_38" localSheetId="6">'PP1+PP2'!#REF!</definedName>
    <definedName name="Tonelagemlimite_38" localSheetId="7">'PP3'!#REF!</definedName>
    <definedName name="Tonelagemlimite_38" localSheetId="4">TOTAL!#REF!</definedName>
    <definedName name="Tonelagemlimite_39" localSheetId="10">'DIN + PUSH'!#REF!</definedName>
    <definedName name="Tonelagemlimite_39" localSheetId="8">DRI!#REF!</definedName>
    <definedName name="Tonelagemlimite_39" localSheetId="9">'FLOW RACK'!#REF!</definedName>
    <definedName name="Tonelagemlimite_39" localSheetId="5">OUTROS!#REF!</definedName>
    <definedName name="Tonelagemlimite_39" localSheetId="6">'PP1+PP2'!#REF!</definedName>
    <definedName name="Tonelagemlimite_39" localSheetId="7">'PP3'!#REF!</definedName>
    <definedName name="Tonelagemlimite_39" localSheetId="4">TOTAL!#REF!</definedName>
    <definedName name="Tonelagemlimite_4" localSheetId="10">'DIN + PUSH'!$C$5</definedName>
    <definedName name="Tonelagemlimite_4" localSheetId="8">DRI!$C$5</definedName>
    <definedName name="Tonelagemlimite_4" localSheetId="9">'FLOW RACK'!$C$5</definedName>
    <definedName name="Tonelagemlimite_4" localSheetId="5">OUTROS!$C$5</definedName>
    <definedName name="Tonelagemlimite_4" localSheetId="6">'PP1+PP2'!$C$5</definedName>
    <definedName name="Tonelagemlimite_4" localSheetId="7">'PP3'!$C$5</definedName>
    <definedName name="Tonelagemlimite_4" localSheetId="4">TOTAL!$C$5</definedName>
    <definedName name="Tonelagemlimite_40" localSheetId="10">'DIN + PUSH'!#REF!</definedName>
    <definedName name="Tonelagemlimite_40" localSheetId="8">DRI!#REF!</definedName>
    <definedName name="Tonelagemlimite_40" localSheetId="9">'FLOW RACK'!#REF!</definedName>
    <definedName name="Tonelagemlimite_40" localSheetId="5">OUTROS!#REF!</definedName>
    <definedName name="Tonelagemlimite_40" localSheetId="6">'PP1+PP2'!#REF!</definedName>
    <definedName name="Tonelagemlimite_40" localSheetId="7">'PP3'!#REF!</definedName>
    <definedName name="Tonelagemlimite_40" localSheetId="4">TOTAL!#REF!</definedName>
    <definedName name="Tonelagemlimite_41" localSheetId="10">'DIN + PUSH'!#REF!</definedName>
    <definedName name="Tonelagemlimite_41" localSheetId="8">DRI!#REF!</definedName>
    <definedName name="Tonelagemlimite_41" localSheetId="9">'FLOW RACK'!#REF!</definedName>
    <definedName name="Tonelagemlimite_41" localSheetId="5">OUTROS!#REF!</definedName>
    <definedName name="Tonelagemlimite_41" localSheetId="6">'PP1+PP2'!#REF!</definedName>
    <definedName name="Tonelagemlimite_41" localSheetId="7">'PP3'!#REF!</definedName>
    <definedName name="Tonelagemlimite_41" localSheetId="4">TOTAL!#REF!</definedName>
    <definedName name="Tonelagemlimite_42" localSheetId="10">'DIN + PUSH'!#REF!</definedName>
    <definedName name="Tonelagemlimite_42" localSheetId="8">DRI!#REF!</definedName>
    <definedName name="Tonelagemlimite_42" localSheetId="9">'FLOW RACK'!#REF!</definedName>
    <definedName name="Tonelagemlimite_42" localSheetId="5">OUTROS!#REF!</definedName>
    <definedName name="Tonelagemlimite_42" localSheetId="6">'PP1+PP2'!#REF!</definedName>
    <definedName name="Tonelagemlimite_42" localSheetId="7">'PP3'!#REF!</definedName>
    <definedName name="Tonelagemlimite_42" localSheetId="4">TOTAL!#REF!</definedName>
    <definedName name="Tonelagemlimite_43" localSheetId="10">'DIN + PUSH'!#REF!</definedName>
    <definedName name="Tonelagemlimite_43" localSheetId="8">DRI!#REF!</definedName>
    <definedName name="Tonelagemlimite_43" localSheetId="9">'FLOW RACK'!#REF!</definedName>
    <definedName name="Tonelagemlimite_43" localSheetId="5">OUTROS!#REF!</definedName>
    <definedName name="Tonelagemlimite_43" localSheetId="6">'PP1+PP2'!#REF!</definedName>
    <definedName name="Tonelagemlimite_43" localSheetId="7">'PP3'!#REF!</definedName>
    <definedName name="Tonelagemlimite_43" localSheetId="4">TOTAL!#REF!</definedName>
    <definedName name="Tonelagemlimite_44" localSheetId="10">'DIN + PUSH'!#REF!</definedName>
    <definedName name="Tonelagemlimite_44" localSheetId="8">DRI!#REF!</definedName>
    <definedName name="Tonelagemlimite_44" localSheetId="9">'FLOW RACK'!#REF!</definedName>
    <definedName name="Tonelagemlimite_44" localSheetId="5">OUTROS!#REF!</definedName>
    <definedName name="Tonelagemlimite_44" localSheetId="6">'PP1+PP2'!#REF!</definedName>
    <definedName name="Tonelagemlimite_44" localSheetId="7">'PP3'!#REF!</definedName>
    <definedName name="Tonelagemlimite_44" localSheetId="4">TOTAL!#REF!</definedName>
    <definedName name="Tonelagemlimite_45" localSheetId="10">'DIN + PUSH'!#REF!</definedName>
    <definedName name="Tonelagemlimite_45" localSheetId="8">DRI!#REF!</definedName>
    <definedName name="Tonelagemlimite_45" localSheetId="9">'FLOW RACK'!#REF!</definedName>
    <definedName name="Tonelagemlimite_45" localSheetId="5">OUTROS!#REF!</definedName>
    <definedName name="Tonelagemlimite_45" localSheetId="6">'PP1+PP2'!#REF!</definedName>
    <definedName name="Tonelagemlimite_45" localSheetId="7">'PP3'!#REF!</definedName>
    <definedName name="Tonelagemlimite_45" localSheetId="4">TOTAL!#REF!</definedName>
    <definedName name="Tonelagemlimite_46" localSheetId="10">'DIN + PUSH'!#REF!</definedName>
    <definedName name="Tonelagemlimite_46" localSheetId="8">DRI!#REF!</definedName>
    <definedName name="Tonelagemlimite_46" localSheetId="9">'FLOW RACK'!#REF!</definedName>
    <definedName name="Tonelagemlimite_46" localSheetId="5">OUTROS!#REF!</definedName>
    <definedName name="Tonelagemlimite_46" localSheetId="6">'PP1+PP2'!#REF!</definedName>
    <definedName name="Tonelagemlimite_46" localSheetId="7">'PP3'!#REF!</definedName>
    <definedName name="Tonelagemlimite_46" localSheetId="4">TOTAL!#REF!</definedName>
    <definedName name="Tonelagemlimite_47" localSheetId="10">'DIN + PUSH'!#REF!</definedName>
    <definedName name="Tonelagemlimite_47" localSheetId="8">DRI!#REF!</definedName>
    <definedName name="Tonelagemlimite_47" localSheetId="9">'FLOW RACK'!#REF!</definedName>
    <definedName name="Tonelagemlimite_47" localSheetId="5">OUTROS!#REF!</definedName>
    <definedName name="Tonelagemlimite_47" localSheetId="6">'PP1+PP2'!#REF!</definedName>
    <definedName name="Tonelagemlimite_47" localSheetId="7">'PP3'!#REF!</definedName>
    <definedName name="Tonelagemlimite_47" localSheetId="4">TOTAL!#REF!</definedName>
    <definedName name="Tonelagemlimite_48" localSheetId="10">'DIN + PUSH'!#REF!</definedName>
    <definedName name="Tonelagemlimite_48" localSheetId="8">DRI!#REF!</definedName>
    <definedName name="Tonelagemlimite_48" localSheetId="9">'FLOW RACK'!#REF!</definedName>
    <definedName name="Tonelagemlimite_48" localSheetId="5">OUTROS!#REF!</definedName>
    <definedName name="Tonelagemlimite_48" localSheetId="6">'PP1+PP2'!#REF!</definedName>
    <definedName name="Tonelagemlimite_48" localSheetId="7">'PP3'!#REF!</definedName>
    <definedName name="Tonelagemlimite_48" localSheetId="4">TOTAL!#REF!</definedName>
    <definedName name="Tonelagemlimite_49" localSheetId="10">'DIN + PUSH'!#REF!</definedName>
    <definedName name="Tonelagemlimite_49" localSheetId="8">DRI!#REF!</definedName>
    <definedName name="Tonelagemlimite_49" localSheetId="9">'FLOW RACK'!#REF!</definedName>
    <definedName name="Tonelagemlimite_49" localSheetId="5">OUTROS!#REF!</definedName>
    <definedName name="Tonelagemlimite_49" localSheetId="6">'PP1+PP2'!#REF!</definedName>
    <definedName name="Tonelagemlimite_49" localSheetId="7">'PP3'!#REF!</definedName>
    <definedName name="Tonelagemlimite_49" localSheetId="4">TOTAL!#REF!</definedName>
    <definedName name="Tonelagemlimite_5" localSheetId="10">'DIN + PUSH'!$C$6</definedName>
    <definedName name="Tonelagemlimite_5" localSheetId="8">DRI!$C$6</definedName>
    <definedName name="Tonelagemlimite_5" localSheetId="9">'FLOW RACK'!$C$6</definedName>
    <definedName name="Tonelagemlimite_5" localSheetId="5">OUTROS!$C$6</definedName>
    <definedName name="Tonelagemlimite_5" localSheetId="6">'PP1+PP2'!$C$6</definedName>
    <definedName name="Tonelagemlimite_5" localSheetId="7">'PP3'!$C$6</definedName>
    <definedName name="Tonelagemlimite_5" localSheetId="4">TOTAL!$C$6</definedName>
    <definedName name="Tonelagemlimite_50" localSheetId="10">'DIN + PUSH'!#REF!</definedName>
    <definedName name="Tonelagemlimite_50" localSheetId="8">DRI!#REF!</definedName>
    <definedName name="Tonelagemlimite_50" localSheetId="9">'FLOW RACK'!#REF!</definedName>
    <definedName name="Tonelagemlimite_50" localSheetId="5">OUTROS!#REF!</definedName>
    <definedName name="Tonelagemlimite_50" localSheetId="6">'PP1+PP2'!#REF!</definedName>
    <definedName name="Tonelagemlimite_50" localSheetId="7">'PP3'!#REF!</definedName>
    <definedName name="Tonelagemlimite_50" localSheetId="4">TOTAL!#REF!</definedName>
    <definedName name="Tonelagemlimite_51" localSheetId="10">'DIN + PUSH'!#REF!</definedName>
    <definedName name="Tonelagemlimite_51" localSheetId="8">DRI!#REF!</definedName>
    <definedName name="Tonelagemlimite_51" localSheetId="9">'FLOW RACK'!#REF!</definedName>
    <definedName name="Tonelagemlimite_51" localSheetId="5">OUTROS!#REF!</definedName>
    <definedName name="Tonelagemlimite_51" localSheetId="6">'PP1+PP2'!#REF!</definedName>
    <definedName name="Tonelagemlimite_51" localSheetId="7">'PP3'!#REF!</definedName>
    <definedName name="Tonelagemlimite_51" localSheetId="4">TOTAL!#REF!</definedName>
    <definedName name="Tonelagemlimite_52" localSheetId="10">'DIN + PUSH'!#REF!</definedName>
    <definedName name="Tonelagemlimite_52" localSheetId="8">DRI!#REF!</definedName>
    <definedName name="Tonelagemlimite_52" localSheetId="9">'FLOW RACK'!#REF!</definedName>
    <definedName name="Tonelagemlimite_52" localSheetId="5">OUTROS!#REF!</definedName>
    <definedName name="Tonelagemlimite_52" localSheetId="6">'PP1+PP2'!#REF!</definedName>
    <definedName name="Tonelagemlimite_52" localSheetId="7">'PP3'!#REF!</definedName>
    <definedName name="Tonelagemlimite_52" localSheetId="4">TOTAL!#REF!</definedName>
    <definedName name="Tonelagemlimite_53" localSheetId="10">'DIN + PUSH'!#REF!</definedName>
    <definedName name="Tonelagemlimite_53" localSheetId="8">DRI!#REF!</definedName>
    <definedName name="Tonelagemlimite_53" localSheetId="9">'FLOW RACK'!#REF!</definedName>
    <definedName name="Tonelagemlimite_53" localSheetId="5">OUTROS!#REF!</definedName>
    <definedName name="Tonelagemlimite_53" localSheetId="6">'PP1+PP2'!#REF!</definedName>
    <definedName name="Tonelagemlimite_53" localSheetId="7">'PP3'!#REF!</definedName>
    <definedName name="Tonelagemlimite_53" localSheetId="4">TOTAL!#REF!</definedName>
    <definedName name="Tonelagemlimite_6" localSheetId="10">'DIN + PUSH'!$C$7</definedName>
    <definedName name="Tonelagemlimite_6" localSheetId="8">DRI!$C$7</definedName>
    <definedName name="Tonelagemlimite_6" localSheetId="9">'FLOW RACK'!$C$7</definedName>
    <definedName name="Tonelagemlimite_6" localSheetId="5">OUTROS!$C$7</definedName>
    <definedName name="Tonelagemlimite_6" localSheetId="6">'PP1+PP2'!$C$7</definedName>
    <definedName name="Tonelagemlimite_6" localSheetId="7">'PP3'!$C$7</definedName>
    <definedName name="Tonelagemlimite_6" localSheetId="4">TOTAL!$C$7</definedName>
    <definedName name="Tonelagemlimite_7" localSheetId="10">'DIN + PUSH'!$C$8</definedName>
    <definedName name="Tonelagemlimite_7" localSheetId="8">DRI!$C$8</definedName>
    <definedName name="Tonelagemlimite_7" localSheetId="9">'FLOW RACK'!$C$8</definedName>
    <definedName name="Tonelagemlimite_7" localSheetId="5">OUTROS!$C$8</definedName>
    <definedName name="Tonelagemlimite_7" localSheetId="6">'PP1+PP2'!$C$8</definedName>
    <definedName name="Tonelagemlimite_7" localSheetId="7">'PP3'!$C$8</definedName>
    <definedName name="Tonelagemlimite_7" localSheetId="4">TOTAL!$C$8</definedName>
    <definedName name="Tonelagemlimite_8" localSheetId="10">'DIN + PUSH'!$C$9</definedName>
    <definedName name="Tonelagemlimite_8" localSheetId="8">DRI!$C$9</definedName>
    <definedName name="Tonelagemlimite_8" localSheetId="9">'FLOW RACK'!$C$9</definedName>
    <definedName name="Tonelagemlimite_8" localSheetId="5">OUTROS!$C$9</definedName>
    <definedName name="Tonelagemlimite_8" localSheetId="6">'PP1+PP2'!$C$9</definedName>
    <definedName name="Tonelagemlimite_8" localSheetId="7">'PP3'!$C$9</definedName>
    <definedName name="Tonelagemlimite_8" localSheetId="4">TOTAL!$C$9</definedName>
    <definedName name="Tonelagemlimite_9" localSheetId="10">'DIN + PUSH'!$C$10</definedName>
    <definedName name="Tonelagemlimite_9" localSheetId="8">DRI!$C$10</definedName>
    <definedName name="Tonelagemlimite_9" localSheetId="9">'FLOW RACK'!$C$10</definedName>
    <definedName name="Tonelagemlimite_9" localSheetId="5">OUTROS!$C$10</definedName>
    <definedName name="Tonelagemlimite_9" localSheetId="6">'PP1+PP2'!$C$10</definedName>
    <definedName name="Tonelagemlimite_9" localSheetId="7">'PP3'!$C$10</definedName>
    <definedName name="Tonelagemlimite_9" localSheetId="4">TOTAL!$C$10</definedName>
  </definedNames>
  <calcPr calcId="191029"/>
  <pivotCaches>
    <pivotCache cacheId="292" r:id="rId16"/>
    <pivotCache cacheId="295" r:id="rId1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37" i="29" l="1"/>
  <c r="Y37" i="29"/>
  <c r="X37" i="29"/>
  <c r="W37" i="29"/>
  <c r="V37" i="29"/>
  <c r="U37" i="29"/>
  <c r="T37" i="29"/>
  <c r="C25" i="29"/>
  <c r="C24" i="29"/>
  <c r="C23" i="29"/>
  <c r="C22" i="29"/>
  <c r="C21" i="29"/>
  <c r="C20" i="29"/>
  <c r="C19" i="29"/>
  <c r="AJ486" i="1"/>
  <c r="AJ485" i="1"/>
  <c r="AJ484" i="1"/>
  <c r="AJ483" i="1"/>
  <c r="AJ482" i="1"/>
  <c r="AJ481" i="1"/>
  <c r="AJ480" i="1"/>
  <c r="AJ479" i="1"/>
  <c r="AJ478" i="1"/>
  <c r="AJ477" i="1"/>
  <c r="AJ476" i="1"/>
  <c r="AJ475" i="1"/>
  <c r="AJ474" i="1"/>
  <c r="AJ473" i="1"/>
  <c r="AJ472" i="1"/>
  <c r="AJ471" i="1"/>
  <c r="AJ470" i="1"/>
  <c r="AJ469" i="1"/>
  <c r="AJ468" i="1"/>
  <c r="AJ467" i="1"/>
  <c r="AJ466" i="1"/>
  <c r="AJ465" i="1"/>
  <c r="AJ464" i="1"/>
  <c r="AJ463" i="1"/>
  <c r="AJ462" i="1"/>
  <c r="AJ461" i="1"/>
  <c r="AJ460" i="1"/>
  <c r="AJ459" i="1"/>
  <c r="AJ458" i="1"/>
  <c r="AJ457" i="1"/>
  <c r="AJ456" i="1"/>
  <c r="AJ455" i="1"/>
  <c r="AJ454" i="1"/>
  <c r="AJ453" i="1"/>
  <c r="AJ452" i="1"/>
  <c r="AJ451" i="1"/>
  <c r="AJ450" i="1"/>
  <c r="AJ449" i="1"/>
  <c r="AJ448" i="1"/>
  <c r="AJ447" i="1"/>
  <c r="AJ446" i="1"/>
  <c r="AJ445" i="1"/>
  <c r="AJ444" i="1"/>
  <c r="AJ443" i="1"/>
  <c r="AJ442" i="1"/>
  <c r="AJ441" i="1"/>
  <c r="AJ440" i="1"/>
  <c r="AJ439" i="1"/>
  <c r="AJ438" i="1"/>
  <c r="AJ437" i="1"/>
  <c r="AJ436" i="1"/>
  <c r="AJ435" i="1"/>
  <c r="AJ434" i="1"/>
  <c r="AJ433" i="1"/>
  <c r="AJ432" i="1"/>
  <c r="AJ431" i="1"/>
  <c r="AJ430" i="1"/>
  <c r="AJ429" i="1"/>
  <c r="AJ428" i="1"/>
  <c r="AJ427" i="1"/>
  <c r="AJ426" i="1"/>
  <c r="AJ425" i="1"/>
  <c r="AJ424" i="1"/>
  <c r="AJ423" i="1"/>
  <c r="AJ422" i="1"/>
  <c r="AJ421" i="1"/>
  <c r="AJ420" i="1"/>
  <c r="AJ419" i="1"/>
  <c r="AJ418" i="1"/>
  <c r="AJ417" i="1"/>
  <c r="AJ416" i="1"/>
  <c r="AJ415" i="1"/>
  <c r="AJ414" i="1"/>
  <c r="AJ413" i="1"/>
  <c r="AJ412" i="1"/>
  <c r="AJ411" i="1"/>
  <c r="AJ410" i="1"/>
  <c r="AJ409" i="1"/>
  <c r="AJ408" i="1"/>
  <c r="AJ407" i="1"/>
  <c r="AJ406" i="1"/>
  <c r="AJ405" i="1"/>
  <c r="AJ404" i="1"/>
  <c r="AJ403" i="1"/>
  <c r="AJ402" i="1"/>
  <c r="AJ401" i="1"/>
  <c r="AJ400" i="1"/>
  <c r="AJ399" i="1"/>
  <c r="AJ398" i="1"/>
  <c r="AJ397" i="1"/>
  <c r="AJ396" i="1"/>
  <c r="AJ395" i="1"/>
  <c r="AJ394" i="1"/>
  <c r="AJ393" i="1"/>
  <c r="AJ392" i="1"/>
  <c r="AJ391" i="1"/>
  <c r="AJ390" i="1"/>
  <c r="AJ389" i="1"/>
  <c r="AJ388" i="1"/>
  <c r="AJ387" i="1"/>
  <c r="AJ386" i="1"/>
  <c r="AJ385" i="1"/>
  <c r="AJ384" i="1"/>
  <c r="AJ383" i="1"/>
  <c r="AJ382" i="1"/>
  <c r="AJ381" i="1"/>
  <c r="AJ380" i="1"/>
  <c r="AJ379" i="1"/>
  <c r="AJ378" i="1"/>
  <c r="AJ377" i="1"/>
  <c r="AJ376" i="1"/>
  <c r="AJ375" i="1"/>
  <c r="AJ374" i="1"/>
  <c r="AJ373" i="1"/>
  <c r="AJ372" i="1"/>
  <c r="AJ371" i="1"/>
  <c r="AJ370" i="1"/>
  <c r="AJ369" i="1"/>
  <c r="AJ368" i="1"/>
  <c r="AJ367" i="1"/>
  <c r="AJ366" i="1"/>
  <c r="AJ365" i="1"/>
  <c r="AJ364" i="1"/>
  <c r="AJ363" i="1"/>
  <c r="AJ362" i="1"/>
  <c r="AJ361" i="1"/>
  <c r="AJ360" i="1"/>
  <c r="AJ359" i="1"/>
  <c r="AJ358" i="1"/>
  <c r="AJ357" i="1"/>
  <c r="AJ356" i="1"/>
  <c r="AJ355" i="1"/>
  <c r="AJ354" i="1"/>
  <c r="AJ353" i="1"/>
  <c r="AJ352" i="1"/>
  <c r="AJ351" i="1"/>
  <c r="AJ350" i="1"/>
  <c r="AJ349" i="1"/>
  <c r="AJ348" i="1"/>
  <c r="AJ347" i="1"/>
  <c r="AJ346" i="1"/>
  <c r="AJ345" i="1"/>
  <c r="AJ344" i="1"/>
  <c r="AJ343" i="1"/>
  <c r="AJ342" i="1"/>
  <c r="AJ341" i="1"/>
  <c r="AJ340" i="1"/>
  <c r="AJ339" i="1"/>
  <c r="AJ338" i="1"/>
  <c r="AJ337" i="1"/>
  <c r="AJ336" i="1"/>
  <c r="AJ335" i="1"/>
  <c r="AJ334" i="1"/>
  <c r="AJ333" i="1"/>
  <c r="AJ332" i="1"/>
  <c r="AJ331" i="1"/>
  <c r="AJ330" i="1"/>
  <c r="AJ329" i="1"/>
  <c r="AJ328" i="1"/>
  <c r="AJ327" i="1"/>
  <c r="AJ326" i="1"/>
  <c r="AJ325" i="1"/>
  <c r="AJ324" i="1"/>
  <c r="AJ323" i="1"/>
  <c r="AJ322" i="1"/>
  <c r="AJ321" i="1"/>
  <c r="AJ320" i="1"/>
  <c r="AJ319" i="1"/>
  <c r="AJ318" i="1"/>
  <c r="AJ317" i="1"/>
  <c r="AJ316" i="1"/>
  <c r="AJ315" i="1"/>
  <c r="AJ314" i="1"/>
  <c r="AJ313" i="1"/>
  <c r="AJ312" i="1"/>
  <c r="AJ311" i="1"/>
  <c r="AJ310" i="1"/>
  <c r="AJ309" i="1"/>
  <c r="AJ308" i="1"/>
  <c r="AJ307" i="1"/>
  <c r="AJ306" i="1"/>
  <c r="AJ305" i="1"/>
  <c r="AJ304" i="1"/>
  <c r="AJ303" i="1"/>
  <c r="AJ302" i="1"/>
  <c r="AJ301" i="1"/>
  <c r="AJ300" i="1"/>
  <c r="AJ299" i="1"/>
  <c r="AJ298" i="1"/>
  <c r="AJ297" i="1"/>
  <c r="AJ296" i="1"/>
  <c r="AJ295" i="1"/>
  <c r="AJ294" i="1"/>
  <c r="AJ293" i="1"/>
  <c r="AJ292" i="1"/>
  <c r="AJ291" i="1"/>
  <c r="AJ290" i="1"/>
  <c r="AJ289" i="1"/>
  <c r="AJ288" i="1"/>
  <c r="AJ287" i="1"/>
  <c r="AJ286" i="1"/>
  <c r="AJ285" i="1"/>
  <c r="AJ284" i="1"/>
  <c r="AJ283" i="1"/>
  <c r="AJ282" i="1"/>
  <c r="AJ281" i="1"/>
  <c r="AJ280" i="1"/>
  <c r="AJ279" i="1"/>
  <c r="AJ278" i="1"/>
  <c r="AJ277" i="1"/>
  <c r="AJ276" i="1"/>
  <c r="AJ275" i="1"/>
  <c r="AJ274" i="1"/>
  <c r="AJ273" i="1"/>
  <c r="AJ272" i="1"/>
  <c r="AJ271" i="1"/>
  <c r="AJ270" i="1"/>
  <c r="AJ269" i="1"/>
  <c r="AJ268" i="1"/>
  <c r="AJ267" i="1"/>
  <c r="AJ266" i="1"/>
  <c r="AJ265" i="1"/>
  <c r="AJ264" i="1"/>
  <c r="AJ263" i="1"/>
  <c r="AJ262" i="1"/>
  <c r="AJ261" i="1"/>
  <c r="AJ260" i="1"/>
  <c r="AJ259" i="1"/>
  <c r="AJ258" i="1"/>
  <c r="AJ257" i="1"/>
  <c r="AJ256" i="1"/>
  <c r="AJ255" i="1"/>
  <c r="AJ254" i="1"/>
  <c r="AJ253" i="1"/>
  <c r="AJ252" i="1"/>
  <c r="AJ251" i="1"/>
  <c r="AJ250" i="1"/>
  <c r="AJ249" i="1"/>
  <c r="AJ248" i="1"/>
  <c r="AJ247" i="1"/>
  <c r="AJ246" i="1"/>
  <c r="AJ245" i="1"/>
  <c r="AJ244" i="1"/>
  <c r="AJ243" i="1"/>
  <c r="AJ242" i="1"/>
  <c r="AJ241" i="1"/>
  <c r="AJ240" i="1"/>
  <c r="AJ239" i="1"/>
  <c r="AJ238" i="1"/>
  <c r="AJ237" i="1"/>
  <c r="AJ236" i="1"/>
  <c r="AJ235" i="1"/>
  <c r="AJ234" i="1"/>
  <c r="AJ233" i="1"/>
  <c r="AJ232" i="1"/>
  <c r="AJ231" i="1"/>
  <c r="AJ230" i="1"/>
  <c r="AJ229" i="1"/>
  <c r="AJ228" i="1"/>
  <c r="AJ227" i="1"/>
  <c r="AJ226" i="1"/>
  <c r="AJ225" i="1"/>
  <c r="AJ224" i="1"/>
  <c r="AJ223" i="1"/>
  <c r="AJ222" i="1"/>
  <c r="AJ221" i="1"/>
  <c r="AJ220" i="1"/>
  <c r="AJ219" i="1"/>
  <c r="AJ218" i="1"/>
  <c r="AJ217" i="1"/>
  <c r="AJ216" i="1"/>
  <c r="AJ215" i="1"/>
  <c r="AJ214" i="1"/>
  <c r="AJ213" i="1"/>
  <c r="AJ212" i="1"/>
  <c r="AJ211" i="1"/>
  <c r="AJ210" i="1"/>
  <c r="AJ209" i="1"/>
  <c r="AJ208" i="1"/>
  <c r="AJ207" i="1"/>
  <c r="AJ206" i="1"/>
  <c r="AJ205" i="1"/>
  <c r="AJ204" i="1"/>
  <c r="AJ203" i="1"/>
  <c r="AJ202" i="1"/>
  <c r="AJ201" i="1"/>
  <c r="AJ200" i="1"/>
  <c r="AJ199" i="1"/>
  <c r="AJ198" i="1"/>
  <c r="AJ197" i="1"/>
  <c r="AJ196" i="1"/>
  <c r="AJ195" i="1"/>
  <c r="AJ194" i="1"/>
  <c r="AJ193" i="1"/>
  <c r="AJ192" i="1"/>
  <c r="AJ191" i="1"/>
  <c r="AJ190" i="1"/>
  <c r="AJ189" i="1"/>
  <c r="AJ188" i="1"/>
  <c r="AJ187" i="1"/>
  <c r="AJ186" i="1"/>
  <c r="AJ185" i="1"/>
  <c r="AJ184" i="1"/>
  <c r="AJ183" i="1"/>
  <c r="AJ182" i="1"/>
  <c r="AJ181" i="1"/>
  <c r="AJ180" i="1"/>
  <c r="AJ179" i="1"/>
  <c r="AJ178" i="1"/>
  <c r="AJ177" i="1"/>
  <c r="AJ176" i="1"/>
  <c r="AJ175" i="1"/>
  <c r="AJ174" i="1"/>
  <c r="AJ173" i="1"/>
  <c r="AJ172" i="1"/>
  <c r="AJ171" i="1"/>
  <c r="AJ170" i="1"/>
  <c r="AJ169" i="1"/>
  <c r="AJ168" i="1"/>
  <c r="AJ167" i="1"/>
  <c r="AJ166" i="1"/>
  <c r="AJ165" i="1"/>
  <c r="AJ164" i="1"/>
  <c r="AJ163" i="1"/>
  <c r="AJ162" i="1"/>
  <c r="AJ161" i="1"/>
  <c r="AJ160" i="1"/>
  <c r="AJ159" i="1"/>
  <c r="AJ158" i="1"/>
  <c r="AJ157" i="1"/>
  <c r="AJ156" i="1"/>
  <c r="AJ155" i="1"/>
  <c r="AJ154" i="1"/>
  <c r="AJ153" i="1"/>
  <c r="AJ152" i="1"/>
  <c r="AJ151" i="1"/>
  <c r="AJ150" i="1"/>
  <c r="AJ149" i="1"/>
  <c r="AJ148" i="1"/>
  <c r="AJ147" i="1"/>
  <c r="AJ146" i="1"/>
  <c r="AJ145" i="1"/>
  <c r="AJ144" i="1"/>
  <c r="AJ143" i="1"/>
  <c r="AJ142" i="1"/>
  <c r="AJ141" i="1"/>
  <c r="AJ140" i="1"/>
  <c r="AJ139" i="1"/>
  <c r="AJ138" i="1"/>
  <c r="AJ137" i="1"/>
  <c r="AJ136" i="1"/>
  <c r="AJ135" i="1"/>
  <c r="AJ134" i="1"/>
  <c r="AJ133" i="1"/>
  <c r="AJ132" i="1"/>
  <c r="AJ131" i="1"/>
  <c r="AJ130" i="1"/>
  <c r="AJ129" i="1"/>
  <c r="AJ128" i="1"/>
  <c r="AJ127" i="1"/>
  <c r="AJ126" i="1"/>
  <c r="AJ125" i="1"/>
  <c r="AJ124" i="1"/>
  <c r="AJ123" i="1"/>
  <c r="AJ122" i="1"/>
  <c r="AJ121" i="1"/>
  <c r="AJ120" i="1"/>
  <c r="AJ119" i="1"/>
  <c r="AJ118" i="1"/>
  <c r="AJ117" i="1"/>
  <c r="AJ116" i="1"/>
  <c r="AJ115" i="1"/>
  <c r="AJ114" i="1"/>
  <c r="AJ113" i="1"/>
  <c r="AJ112" i="1"/>
  <c r="AJ111" i="1"/>
  <c r="AJ110" i="1"/>
  <c r="AJ109" i="1"/>
  <c r="AJ108" i="1"/>
  <c r="AJ107" i="1"/>
  <c r="AJ106" i="1"/>
  <c r="AJ105" i="1"/>
  <c r="AJ104" i="1"/>
  <c r="AJ103" i="1"/>
  <c r="AJ102" i="1"/>
  <c r="AJ101" i="1"/>
  <c r="AJ100" i="1"/>
  <c r="AJ99" i="1"/>
  <c r="AJ98" i="1"/>
  <c r="AJ97" i="1"/>
  <c r="AJ96" i="1"/>
  <c r="AJ95" i="1"/>
  <c r="AJ94" i="1"/>
  <c r="AJ93" i="1"/>
  <c r="AJ92" i="1"/>
  <c r="AJ91" i="1"/>
  <c r="AJ90" i="1"/>
  <c r="AJ89" i="1"/>
  <c r="AJ88" i="1"/>
  <c r="AJ87" i="1"/>
  <c r="AJ86" i="1"/>
  <c r="AJ85" i="1"/>
  <c r="AJ84" i="1"/>
  <c r="AJ83" i="1"/>
  <c r="AJ82" i="1"/>
  <c r="AJ81" i="1"/>
  <c r="AJ80" i="1"/>
  <c r="AJ79" i="1"/>
  <c r="AJ78" i="1"/>
  <c r="AJ77" i="1"/>
  <c r="AJ76" i="1"/>
  <c r="AJ75" i="1"/>
  <c r="AJ74" i="1"/>
  <c r="AJ73" i="1"/>
  <c r="AJ72" i="1"/>
  <c r="AJ71" i="1"/>
  <c r="AJ70" i="1"/>
  <c r="AJ69" i="1"/>
  <c r="AJ68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J4" i="1"/>
  <c r="AJ3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9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3" i="1"/>
  <c r="O1" i="36"/>
  <c r="P4" i="36" s="1"/>
  <c r="P7" i="36" l="1"/>
  <c r="P15" i="36"/>
  <c r="P23" i="36"/>
  <c r="P18" i="36"/>
  <c r="P11" i="36"/>
  <c r="P19" i="36"/>
  <c r="P12" i="36"/>
  <c r="P20" i="36"/>
  <c r="P10" i="36"/>
  <c r="P5" i="36"/>
  <c r="P13" i="36"/>
  <c r="P21" i="36"/>
  <c r="P6" i="36"/>
  <c r="P14" i="36"/>
  <c r="P22" i="36"/>
  <c r="P8" i="36"/>
  <c r="P16" i="36"/>
  <c r="P24" i="36"/>
  <c r="P9" i="36"/>
  <c r="P17" i="36"/>
  <c r="P25" i="36"/>
  <c r="R20" i="36"/>
  <c r="Q7" i="36"/>
  <c r="R25" i="36"/>
  <c r="Q20" i="36"/>
  <c r="R17" i="36"/>
  <c r="Q12" i="36"/>
  <c r="R9" i="36"/>
  <c r="Q23" i="36"/>
  <c r="Q25" i="36"/>
  <c r="R22" i="36"/>
  <c r="Q17" i="36"/>
  <c r="R14" i="36"/>
  <c r="Q9" i="36"/>
  <c r="R6" i="36"/>
  <c r="R12" i="36"/>
  <c r="Q22" i="36"/>
  <c r="R19" i="36"/>
  <c r="Q14" i="36"/>
  <c r="R11" i="36"/>
  <c r="Q6" i="36"/>
  <c r="Q15" i="36"/>
  <c r="R24" i="36"/>
  <c r="Q19" i="36"/>
  <c r="R16" i="36"/>
  <c r="Q11" i="36"/>
  <c r="R8" i="36"/>
  <c r="Q24" i="36"/>
  <c r="R21" i="36"/>
  <c r="Q16" i="36"/>
  <c r="R13" i="36"/>
  <c r="Q8" i="36"/>
  <c r="R5" i="36"/>
  <c r="Q21" i="36"/>
  <c r="R18" i="36"/>
  <c r="Q13" i="36"/>
  <c r="R10" i="36"/>
  <c r="Q5" i="36"/>
  <c r="R23" i="36"/>
  <c r="Q18" i="36"/>
  <c r="R15" i="36"/>
  <c r="Q10" i="36"/>
  <c r="R7" i="36"/>
  <c r="R4" i="36"/>
  <c r="Q4" i="36"/>
  <c r="E1" i="36" l="1"/>
  <c r="I1" i="36"/>
  <c r="J4" i="36"/>
  <c r="J5" i="36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C1" i="36"/>
  <c r="D1" i="36"/>
  <c r="F1" i="36"/>
  <c r="G1" i="36"/>
  <c r="H1" i="36"/>
  <c r="B1" i="36"/>
  <c r="S18" i="36" l="1"/>
  <c r="S10" i="36"/>
  <c r="S25" i="36"/>
  <c r="S17" i="36"/>
  <c r="S9" i="36"/>
  <c r="S11" i="36"/>
  <c r="S24" i="36"/>
  <c r="S16" i="36"/>
  <c r="S8" i="36"/>
  <c r="S23" i="36"/>
  <c r="S15" i="36"/>
  <c r="S7" i="36"/>
  <c r="S22" i="36"/>
  <c r="S14" i="36"/>
  <c r="S6" i="36"/>
  <c r="S21" i="36"/>
  <c r="S13" i="36"/>
  <c r="S5" i="36"/>
  <c r="S20" i="36"/>
  <c r="S12" i="36"/>
  <c r="S4" i="36"/>
  <c r="S19" i="36"/>
  <c r="AJ2" i="1"/>
  <c r="D1" i="37" l="1"/>
  <c r="C1" i="37"/>
  <c r="C19" i="32"/>
  <c r="AI2" i="1" l="1"/>
  <c r="K5" i="36" l="1"/>
  <c r="K6" i="36"/>
  <c r="K7" i="36"/>
  <c r="K8" i="36"/>
  <c r="K9" i="36"/>
  <c r="K10" i="36"/>
  <c r="K11" i="36"/>
  <c r="K12" i="36"/>
  <c r="K13" i="36"/>
  <c r="K14" i="36"/>
  <c r="K15" i="36"/>
  <c r="K16" i="36"/>
  <c r="K17" i="36"/>
  <c r="K18" i="36"/>
  <c r="K19" i="36"/>
  <c r="K20" i="36"/>
  <c r="K21" i="36"/>
  <c r="K22" i="36"/>
  <c r="K23" i="36"/>
  <c r="K24" i="36"/>
  <c r="K25" i="36"/>
  <c r="H46" i="29"/>
  <c r="H42" i="29"/>
  <c r="I42" i="29"/>
  <c r="AA37" i="29"/>
  <c r="G62" i="29"/>
  <c r="K4" i="36" l="1"/>
  <c r="K1" i="36" s="1"/>
  <c r="J1" i="36"/>
  <c r="O49" i="29"/>
  <c r="O50" i="29"/>
  <c r="O51" i="29"/>
  <c r="O52" i="29"/>
  <c r="O53" i="29"/>
  <c r="O48" i="29"/>
  <c r="R48" i="29"/>
  <c r="S48" i="29"/>
  <c r="T48" i="29"/>
  <c r="U48" i="29"/>
  <c r="V48" i="29"/>
  <c r="W48" i="29"/>
  <c r="X48" i="29"/>
  <c r="Y48" i="29"/>
  <c r="Z48" i="29"/>
  <c r="R49" i="29"/>
  <c r="S49" i="29"/>
  <c r="T49" i="29"/>
  <c r="U49" i="29"/>
  <c r="V49" i="29"/>
  <c r="W49" i="29"/>
  <c r="X49" i="29"/>
  <c r="Y49" i="29"/>
  <c r="Z49" i="29"/>
  <c r="R50" i="29"/>
  <c r="S50" i="29"/>
  <c r="T50" i="29"/>
  <c r="U50" i="29"/>
  <c r="V50" i="29"/>
  <c r="W50" i="29"/>
  <c r="X50" i="29"/>
  <c r="Y50" i="29"/>
  <c r="Z50" i="29"/>
  <c r="R51" i="29"/>
  <c r="S51" i="29"/>
  <c r="T51" i="29"/>
  <c r="U51" i="29"/>
  <c r="V51" i="29"/>
  <c r="W51" i="29"/>
  <c r="X51" i="29"/>
  <c r="Y51" i="29"/>
  <c r="Z51" i="29"/>
  <c r="R52" i="29"/>
  <c r="S52" i="29"/>
  <c r="T52" i="29"/>
  <c r="U52" i="29"/>
  <c r="V52" i="29"/>
  <c r="W52" i="29"/>
  <c r="X52" i="29"/>
  <c r="Y52" i="29"/>
  <c r="Z52" i="29"/>
  <c r="R53" i="29"/>
  <c r="S53" i="29"/>
  <c r="T53" i="29"/>
  <c r="U53" i="29"/>
  <c r="V53" i="29"/>
  <c r="W53" i="29"/>
  <c r="X53" i="29"/>
  <c r="Y53" i="29"/>
  <c r="Z53" i="29"/>
  <c r="Q48" i="29"/>
  <c r="Q49" i="29"/>
  <c r="Q50" i="29"/>
  <c r="Q51" i="29"/>
  <c r="Q52" i="29"/>
  <c r="Q53" i="29"/>
  <c r="P51" i="29"/>
  <c r="P52" i="29"/>
  <c r="P53" i="29"/>
  <c r="P49" i="29"/>
  <c r="P50" i="29"/>
  <c r="P48" i="29"/>
  <c r="N54" i="29"/>
  <c r="H36" i="29"/>
  <c r="G5" i="30"/>
  <c r="G6" i="30"/>
  <c r="G7" i="30"/>
  <c r="G8" i="30"/>
  <c r="G5" i="31"/>
  <c r="G6" i="31"/>
  <c r="G7" i="31"/>
  <c r="G8" i="31"/>
  <c r="G4" i="31"/>
  <c r="G4" i="32"/>
  <c r="G5" i="32"/>
  <c r="G6" i="32"/>
  <c r="G7" i="32"/>
  <c r="G8" i="32"/>
  <c r="G3" i="32"/>
  <c r="G4" i="33"/>
  <c r="G5" i="33"/>
  <c r="G6" i="33"/>
  <c r="G7" i="33"/>
  <c r="G8" i="33"/>
  <c r="G3" i="33"/>
  <c r="G4" i="34"/>
  <c r="G5" i="34"/>
  <c r="G6" i="34"/>
  <c r="G7" i="34"/>
  <c r="G8" i="34"/>
  <c r="G3" i="34"/>
  <c r="G4" i="35"/>
  <c r="G5" i="35"/>
  <c r="G6" i="35"/>
  <c r="G7" i="35"/>
  <c r="G8" i="35"/>
  <c r="G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14" i="34"/>
  <c r="C15" i="34"/>
  <c r="C16" i="34"/>
  <c r="C17" i="34"/>
  <c r="C18" i="34"/>
  <c r="C19" i="34"/>
  <c r="C20" i="34"/>
  <c r="C21" i="34"/>
  <c r="C22" i="34"/>
  <c r="C23" i="34"/>
  <c r="C24" i="34"/>
  <c r="C25" i="34"/>
  <c r="C14" i="32"/>
  <c r="C15" i="32"/>
  <c r="C16" i="32"/>
  <c r="C17" i="32"/>
  <c r="C18" i="32"/>
  <c r="C20" i="32"/>
  <c r="C21" i="32"/>
  <c r="C22" i="32"/>
  <c r="C23" i="32"/>
  <c r="C24" i="32"/>
  <c r="C25" i="32"/>
  <c r="C14" i="31"/>
  <c r="C15" i="31"/>
  <c r="C16" i="31"/>
  <c r="C17" i="31"/>
  <c r="C18" i="31"/>
  <c r="C19" i="31"/>
  <c r="C20" i="31"/>
  <c r="C21" i="31"/>
  <c r="C22" i="31"/>
  <c r="C23" i="31"/>
  <c r="C24" i="31"/>
  <c r="C25" i="31"/>
  <c r="C13" i="31"/>
  <c r="C13" i="30"/>
  <c r="C13" i="35"/>
  <c r="C12" i="35"/>
  <c r="C12" i="34"/>
  <c r="C13" i="34"/>
  <c r="C11" i="34"/>
  <c r="G11" i="34" s="1"/>
  <c r="C13" i="33"/>
  <c r="C14" i="33"/>
  <c r="C15" i="33"/>
  <c r="C16" i="33"/>
  <c r="C17" i="33"/>
  <c r="C18" i="33"/>
  <c r="C19" i="33"/>
  <c r="C20" i="33"/>
  <c r="C21" i="33"/>
  <c r="C22" i="33"/>
  <c r="C23" i="33"/>
  <c r="C24" i="33"/>
  <c r="C25" i="33"/>
  <c r="C12" i="33"/>
  <c r="C13" i="32"/>
  <c r="C12" i="32"/>
  <c r="C12" i="31"/>
  <c r="C11" i="31"/>
  <c r="G11" i="31" s="1"/>
  <c r="C14" i="30"/>
  <c r="C15" i="30"/>
  <c r="C16" i="30"/>
  <c r="C17" i="30"/>
  <c r="C18" i="30"/>
  <c r="C19" i="30"/>
  <c r="C20" i="30"/>
  <c r="C21" i="30"/>
  <c r="C22" i="30"/>
  <c r="C23" i="30"/>
  <c r="C24" i="30"/>
  <c r="C25" i="30"/>
  <c r="C12" i="30"/>
  <c r="C11" i="30"/>
  <c r="G11" i="30" s="1"/>
  <c r="D4" i="29"/>
  <c r="C11" i="35" l="1"/>
  <c r="G11" i="35" s="1"/>
  <c r="C10" i="35"/>
  <c r="C11" i="33"/>
  <c r="G11" i="33" s="1"/>
  <c r="C11" i="32"/>
  <c r="G11" i="32" s="1"/>
  <c r="K34" i="29"/>
  <c r="L32" i="29" l="1"/>
  <c r="L31" i="29"/>
  <c r="L30" i="29"/>
  <c r="L28" i="29"/>
  <c r="L29" i="29"/>
  <c r="G2" i="34"/>
  <c r="G2" i="33"/>
  <c r="G2" i="32"/>
  <c r="G2" i="31"/>
  <c r="G3" i="31"/>
  <c r="G2" i="30"/>
  <c r="G3" i="30"/>
  <c r="G4" i="30"/>
  <c r="E2" i="29"/>
  <c r="E3" i="29"/>
  <c r="E4" i="29"/>
  <c r="E5" i="29"/>
  <c r="E6" i="29"/>
  <c r="E7" i="29"/>
  <c r="E8" i="29"/>
  <c r="E11" i="29"/>
  <c r="C27" i="35"/>
  <c r="C27" i="34"/>
  <c r="C27" i="33"/>
  <c r="C27" i="32"/>
  <c r="C27" i="31"/>
  <c r="C27" i="30"/>
  <c r="D2" i="33"/>
  <c r="D8" i="34"/>
  <c r="D10" i="31"/>
  <c r="D9" i="34"/>
  <c r="D7" i="34"/>
  <c r="D22" i="31"/>
  <c r="D12" i="32"/>
  <c r="D9" i="33"/>
  <c r="D11" i="35"/>
  <c r="D17" i="30"/>
  <c r="D17" i="34"/>
  <c r="D11" i="34"/>
  <c r="D16" i="31"/>
  <c r="D24" i="31"/>
  <c r="D6" i="32"/>
  <c r="D14" i="30"/>
  <c r="D20" i="35"/>
  <c r="D10" i="29"/>
  <c r="D22" i="32"/>
  <c r="D11" i="30"/>
  <c r="D25" i="30"/>
  <c r="D24" i="29"/>
  <c r="D13" i="29"/>
  <c r="D4" i="32"/>
  <c r="D16" i="30"/>
  <c r="D5" i="29"/>
  <c r="D17" i="35"/>
  <c r="D4" i="30"/>
  <c r="D25" i="35"/>
  <c r="D19" i="34"/>
  <c r="D18" i="30"/>
  <c r="D6" i="35"/>
  <c r="D15" i="33"/>
  <c r="D5" i="34"/>
  <c r="D22" i="33"/>
  <c r="D14" i="33"/>
  <c r="D16" i="33"/>
  <c r="D10" i="35"/>
  <c r="D23" i="29"/>
  <c r="D20" i="30"/>
  <c r="D18" i="35"/>
  <c r="D23" i="31"/>
  <c r="D24" i="32"/>
  <c r="D7" i="32"/>
  <c r="D25" i="33"/>
  <c r="D20" i="34"/>
  <c r="D18" i="29"/>
  <c r="D3" i="32"/>
  <c r="D20" i="29"/>
  <c r="D3" i="35"/>
  <c r="D9" i="35"/>
  <c r="D4" i="31"/>
  <c r="D5" i="35"/>
  <c r="D8" i="33"/>
  <c r="D21" i="31"/>
  <c r="D13" i="31"/>
  <c r="D25" i="32"/>
  <c r="D19" i="29"/>
  <c r="D3" i="33"/>
  <c r="D9" i="32"/>
  <c r="D25" i="31"/>
  <c r="D20" i="31"/>
  <c r="D11" i="32"/>
  <c r="D2" i="31"/>
  <c r="D7" i="29"/>
  <c r="D14" i="34"/>
  <c r="D17" i="31"/>
  <c r="D20" i="33"/>
  <c r="D3" i="34"/>
  <c r="D15" i="30"/>
  <c r="D18" i="31"/>
  <c r="D22" i="29"/>
  <c r="D14" i="32"/>
  <c r="D24" i="34"/>
  <c r="D22" i="34"/>
  <c r="D24" i="33"/>
  <c r="D16" i="29"/>
  <c r="D9" i="31"/>
  <c r="D8" i="29"/>
  <c r="D5" i="30"/>
  <c r="D13" i="35"/>
  <c r="D10" i="34"/>
  <c r="D10" i="33"/>
  <c r="D21" i="35"/>
  <c r="D4" i="33"/>
  <c r="D21" i="30"/>
  <c r="D23" i="35"/>
  <c r="D3" i="31"/>
  <c r="D6" i="30"/>
  <c r="D8" i="35"/>
  <c r="D3" i="30"/>
  <c r="D8" i="31"/>
  <c r="D7" i="35"/>
  <c r="D15" i="35"/>
  <c r="D16" i="32"/>
  <c r="D17" i="32"/>
  <c r="D21" i="29"/>
  <c r="D7" i="30"/>
  <c r="D4" i="34"/>
  <c r="D22" i="35"/>
  <c r="D15" i="34"/>
  <c r="D3" i="29"/>
  <c r="D23" i="30"/>
  <c r="D23" i="32"/>
  <c r="D6" i="29"/>
  <c r="D25" i="29"/>
  <c r="D11" i="29"/>
  <c r="D14" i="35"/>
  <c r="D24" i="30"/>
  <c r="D12" i="35"/>
  <c r="D6" i="31"/>
  <c r="D4" i="35"/>
  <c r="D2" i="30"/>
  <c r="D8" i="32"/>
  <c r="D13" i="30"/>
  <c r="D11" i="33"/>
  <c r="D10" i="32"/>
  <c r="D20" i="32"/>
  <c r="D15" i="31"/>
  <c r="D25" i="34"/>
  <c r="D6" i="34"/>
  <c r="D16" i="34"/>
  <c r="D14" i="31"/>
  <c r="D17" i="33"/>
  <c r="D19" i="31"/>
  <c r="D2" i="34"/>
  <c r="D19" i="35"/>
  <c r="D10" i="30"/>
  <c r="D15" i="29"/>
  <c r="D21" i="32"/>
  <c r="D23" i="34"/>
  <c r="D5" i="32"/>
  <c r="D13" i="32"/>
  <c r="D14" i="29"/>
  <c r="D8" i="30"/>
  <c r="D19" i="32"/>
  <c r="D21" i="33"/>
  <c r="D12" i="31"/>
  <c r="D9" i="29"/>
  <c r="D6" i="33"/>
  <c r="D5" i="31"/>
  <c r="D15" i="32"/>
  <c r="D18" i="33"/>
  <c r="D18" i="34"/>
  <c r="D11" i="31"/>
  <c r="D7" i="33"/>
  <c r="D12" i="34"/>
  <c r="D2" i="35"/>
  <c r="D9" i="30"/>
  <c r="D21" i="34"/>
  <c r="D18" i="32"/>
  <c r="D2" i="29"/>
  <c r="D2" i="32"/>
  <c r="D17" i="29"/>
  <c r="D5" i="33"/>
  <c r="D24" i="35"/>
  <c r="D23" i="33"/>
  <c r="D22" i="30"/>
  <c r="D19" i="30"/>
  <c r="D12" i="33"/>
  <c r="D13" i="33"/>
  <c r="D7" i="31"/>
  <c r="D16" i="35"/>
  <c r="D13" i="34"/>
  <c r="D19" i="33"/>
  <c r="D12" i="30"/>
  <c r="D27" i="35" l="1"/>
  <c r="D27" i="34"/>
  <c r="D27" i="33"/>
  <c r="D27" i="32"/>
  <c r="D27" i="31"/>
  <c r="D27" i="30"/>
  <c r="F9" i="35" l="1"/>
  <c r="G9" i="35" s="1"/>
  <c r="F9" i="34"/>
  <c r="G9" i="34" s="1"/>
  <c r="F9" i="33"/>
  <c r="G9" i="33" s="1"/>
  <c r="F9" i="32"/>
  <c r="G9" i="32" s="1"/>
  <c r="F9" i="31"/>
  <c r="G9" i="31" s="1"/>
  <c r="F9" i="30"/>
  <c r="G9" i="30" s="1"/>
  <c r="F10" i="34" l="1"/>
  <c r="G10" i="34" s="1"/>
  <c r="F10" i="35"/>
  <c r="F10" i="32"/>
  <c r="G10" i="32" s="1"/>
  <c r="F10" i="33"/>
  <c r="G10" i="33" s="1"/>
  <c r="F10" i="31"/>
  <c r="G10" i="31" s="1"/>
  <c r="F10" i="30"/>
  <c r="G10" i="30" s="1"/>
  <c r="L33" i="29" l="1"/>
  <c r="L34" i="29" s="1"/>
  <c r="G10" i="35"/>
  <c r="F12" i="34"/>
  <c r="F12" i="32"/>
  <c r="F12" i="35"/>
  <c r="F12" i="30"/>
  <c r="F12" i="33"/>
  <c r="F12" i="31"/>
  <c r="G12" i="30" l="1"/>
  <c r="M29" i="29" s="1"/>
  <c r="G12" i="33"/>
  <c r="M30" i="29" s="1"/>
  <c r="G12" i="32"/>
  <c r="M28" i="29" s="1"/>
  <c r="G12" i="34"/>
  <c r="M31" i="29" s="1"/>
  <c r="G12" i="31"/>
  <c r="M32" i="29" s="1"/>
  <c r="G12" i="35"/>
  <c r="M33" i="29" s="1"/>
  <c r="F13" i="32"/>
  <c r="F13" i="35"/>
  <c r="G13" i="35" s="1"/>
  <c r="N33" i="29" s="1"/>
  <c r="F13" i="34"/>
  <c r="F13" i="30"/>
  <c r="F13" i="33"/>
  <c r="F13" i="31"/>
  <c r="M34" i="29" l="1"/>
  <c r="G13" i="31"/>
  <c r="N32" i="29" s="1"/>
  <c r="G13" i="32"/>
  <c r="N28" i="29" s="1"/>
  <c r="G13" i="33"/>
  <c r="N30" i="29" s="1"/>
  <c r="G13" i="30"/>
  <c r="N29" i="29" s="1"/>
  <c r="G13" i="34"/>
  <c r="N31" i="29" s="1"/>
  <c r="F14" i="31"/>
  <c r="F14" i="35"/>
  <c r="F14" i="30"/>
  <c r="G14" i="30" s="1"/>
  <c r="F14" i="32"/>
  <c r="F14" i="34"/>
  <c r="F14" i="33"/>
  <c r="C27" i="29"/>
  <c r="N34" i="29" l="1"/>
  <c r="G14" i="32"/>
  <c r="O28" i="29" s="1"/>
  <c r="G14" i="31"/>
  <c r="O32" i="29" s="1"/>
  <c r="G14" i="33"/>
  <c r="O30" i="29" s="1"/>
  <c r="G14" i="34"/>
  <c r="O31" i="29" s="1"/>
  <c r="G14" i="35"/>
  <c r="O33" i="29" s="1"/>
  <c r="F15" i="35"/>
  <c r="F15" i="31"/>
  <c r="G15" i="31" s="1"/>
  <c r="F15" i="34"/>
  <c r="F15" i="32"/>
  <c r="O29" i="29"/>
  <c r="F15" i="30"/>
  <c r="G15" i="30" s="1"/>
  <c r="F15" i="33"/>
  <c r="A2" i="15"/>
  <c r="A4" i="15" s="1"/>
  <c r="G15" i="32" l="1"/>
  <c r="P28" i="29" s="1"/>
  <c r="G15" i="34"/>
  <c r="P31" i="29" s="1"/>
  <c r="G15" i="33"/>
  <c r="P30" i="29" s="1"/>
  <c r="G15" i="35"/>
  <c r="P33" i="29" s="1"/>
  <c r="O34" i="29"/>
  <c r="F16" i="35"/>
  <c r="F16" i="34"/>
  <c r="G16" i="34" s="1"/>
  <c r="P32" i="29"/>
  <c r="F16" i="31"/>
  <c r="G16" i="31" s="1"/>
  <c r="F16" i="33"/>
  <c r="F16" i="32"/>
  <c r="F16" i="30"/>
  <c r="P29" i="29"/>
  <c r="F17" i="30" l="1"/>
  <c r="F18" i="30" s="1"/>
  <c r="G16" i="30"/>
  <c r="Q29" i="29" s="1"/>
  <c r="G16" i="32"/>
  <c r="Q28" i="29" s="1"/>
  <c r="F17" i="33"/>
  <c r="G17" i="33" s="1"/>
  <c r="R30" i="29" s="1"/>
  <c r="G16" i="33"/>
  <c r="Q30" i="29" s="1"/>
  <c r="G16" i="35"/>
  <c r="Q33" i="29" s="1"/>
  <c r="P34" i="29"/>
  <c r="F17" i="35"/>
  <c r="Q32" i="29"/>
  <c r="F17" i="31"/>
  <c r="Q31" i="29"/>
  <c r="F17" i="34"/>
  <c r="G17" i="34" s="1"/>
  <c r="F17" i="32"/>
  <c r="F18" i="33" l="1"/>
  <c r="G18" i="33" s="1"/>
  <c r="S30" i="29" s="1"/>
  <c r="G17" i="31"/>
  <c r="R32" i="29" s="1"/>
  <c r="G18" i="30"/>
  <c r="S29" i="29" s="1"/>
  <c r="F18" i="32"/>
  <c r="F19" i="32" s="1"/>
  <c r="G17" i="32"/>
  <c r="R28" i="29" s="1"/>
  <c r="G17" i="30"/>
  <c r="R29" i="29" s="1"/>
  <c r="G17" i="35"/>
  <c r="R33" i="29" s="1"/>
  <c r="F18" i="35"/>
  <c r="Q34" i="29"/>
  <c r="F18" i="31"/>
  <c r="R31" i="29"/>
  <c r="F18" i="34"/>
  <c r="G18" i="34" s="1"/>
  <c r="F19" i="30"/>
  <c r="G19" i="30" s="1"/>
  <c r="F19" i="33" l="1"/>
  <c r="G19" i="33" s="1"/>
  <c r="T30" i="29" s="1"/>
  <c r="G18" i="32"/>
  <c r="S28" i="29" s="1"/>
  <c r="G19" i="32"/>
  <c r="T28" i="29" s="1"/>
  <c r="G18" i="31"/>
  <c r="S32" i="29" s="1"/>
  <c r="G18" i="35"/>
  <c r="S33" i="29" s="1"/>
  <c r="F19" i="35"/>
  <c r="F19" i="31"/>
  <c r="R34" i="29"/>
  <c r="S31" i="29"/>
  <c r="F19" i="34"/>
  <c r="F20" i="32"/>
  <c r="F20" i="30"/>
  <c r="G20" i="30" s="1"/>
  <c r="T29" i="29"/>
  <c r="F20" i="33" l="1"/>
  <c r="G20" i="33" s="1"/>
  <c r="U30" i="29" s="1"/>
  <c r="G19" i="34"/>
  <c r="T31" i="29" s="1"/>
  <c r="G19" i="31"/>
  <c r="T32" i="29" s="1"/>
  <c r="G20" i="32"/>
  <c r="U28" i="29" s="1"/>
  <c r="S34" i="29"/>
  <c r="G19" i="35"/>
  <c r="T33" i="29" s="1"/>
  <c r="F20" i="35"/>
  <c r="F20" i="31"/>
  <c r="F20" i="34"/>
  <c r="F21" i="32"/>
  <c r="U29" i="29"/>
  <c r="F21" i="30"/>
  <c r="G21" i="30" s="1"/>
  <c r="D12" i="29"/>
  <c r="F21" i="33" l="1"/>
  <c r="F22" i="33" s="1"/>
  <c r="G22" i="33" s="1"/>
  <c r="W30" i="29" s="1"/>
  <c r="T34" i="29"/>
  <c r="G21" i="32"/>
  <c r="V28" i="29" s="1"/>
  <c r="G20" i="34"/>
  <c r="U31" i="29" s="1"/>
  <c r="F21" i="31"/>
  <c r="G20" i="31"/>
  <c r="U32" i="29" s="1"/>
  <c r="G20" i="35"/>
  <c r="U33" i="29" s="1"/>
  <c r="F21" i="35"/>
  <c r="F21" i="34"/>
  <c r="F22" i="32"/>
  <c r="F22" i="30"/>
  <c r="G22" i="30" s="1"/>
  <c r="V29" i="29"/>
  <c r="D27" i="29"/>
  <c r="AA41" i="29" s="1"/>
  <c r="G21" i="33" l="1"/>
  <c r="V30" i="29" s="1"/>
  <c r="G9" i="29"/>
  <c r="E9" i="29" s="1"/>
  <c r="F23" i="33"/>
  <c r="F24" i="33" s="1"/>
  <c r="G21" i="31"/>
  <c r="V32" i="29" s="1"/>
  <c r="F23" i="32"/>
  <c r="F24" i="32" s="1"/>
  <c r="G22" i="32"/>
  <c r="W28" i="29" s="1"/>
  <c r="G21" i="34"/>
  <c r="V31" i="29" s="1"/>
  <c r="F22" i="31"/>
  <c r="U34" i="29"/>
  <c r="F22" i="35"/>
  <c r="F23" i="35" s="1"/>
  <c r="G21" i="35"/>
  <c r="V33" i="29" s="1"/>
  <c r="F22" i="34"/>
  <c r="G22" i="34" s="1"/>
  <c r="F23" i="30"/>
  <c r="W29" i="29"/>
  <c r="G10" i="29" l="1"/>
  <c r="E10" i="29" s="1"/>
  <c r="G24" i="32"/>
  <c r="Y28" i="29" s="1"/>
  <c r="G22" i="31"/>
  <c r="W32" i="29" s="1"/>
  <c r="G23" i="32"/>
  <c r="X28" i="29" s="1"/>
  <c r="F23" i="31"/>
  <c r="V34" i="29"/>
  <c r="G23" i="30"/>
  <c r="X29" i="29" s="1"/>
  <c r="F25" i="33"/>
  <c r="G25" i="33" s="1"/>
  <c r="Z30" i="29" s="1"/>
  <c r="G24" i="33"/>
  <c r="Y30" i="29" s="1"/>
  <c r="G23" i="33"/>
  <c r="X30" i="29" s="1"/>
  <c r="G22" i="35"/>
  <c r="W33" i="29" s="1"/>
  <c r="G23" i="35"/>
  <c r="X33" i="29" s="1"/>
  <c r="F24" i="35"/>
  <c r="W31" i="29"/>
  <c r="F23" i="34"/>
  <c r="G23" i="34" s="1"/>
  <c r="F25" i="32"/>
  <c r="F24" i="30"/>
  <c r="F27" i="33" l="1"/>
  <c r="G12" i="29"/>
  <c r="E12" i="29" s="1"/>
  <c r="G24" i="30"/>
  <c r="Y29" i="29" s="1"/>
  <c r="F24" i="31"/>
  <c r="G23" i="31"/>
  <c r="X32" i="29" s="1"/>
  <c r="G25" i="32"/>
  <c r="Z28" i="29" s="1"/>
  <c r="AA28" i="29" s="1"/>
  <c r="W34" i="29"/>
  <c r="G24" i="35"/>
  <c r="Y33" i="29" s="1"/>
  <c r="AA30" i="29"/>
  <c r="F25" i="35"/>
  <c r="F24" i="34"/>
  <c r="G24" i="34" s="1"/>
  <c r="X31" i="29"/>
  <c r="F25" i="30"/>
  <c r="F27" i="32"/>
  <c r="G13" i="29" l="1"/>
  <c r="G14" i="29" s="1"/>
  <c r="E14" i="29" s="1"/>
  <c r="X34" i="29"/>
  <c r="G25" i="30"/>
  <c r="Z29" i="29" s="1"/>
  <c r="AA29" i="29" s="1"/>
  <c r="G24" i="31"/>
  <c r="Y32" i="29" s="1"/>
  <c r="F25" i="31"/>
  <c r="F27" i="35"/>
  <c r="G25" i="35"/>
  <c r="Z33" i="29" s="1"/>
  <c r="AA33" i="29" s="1"/>
  <c r="F27" i="30"/>
  <c r="Y31" i="29"/>
  <c r="F25" i="34"/>
  <c r="G25" i="34" s="1"/>
  <c r="G15" i="29" l="1"/>
  <c r="E15" i="29" s="1"/>
  <c r="E13" i="29"/>
  <c r="G25" i="31"/>
  <c r="Z32" i="29" s="1"/>
  <c r="AA32" i="29" s="1"/>
  <c r="F27" i="31"/>
  <c r="Y34" i="29"/>
  <c r="Z31" i="29"/>
  <c r="F27" i="34"/>
  <c r="G16" i="29" l="1"/>
  <c r="E16" i="29" s="1"/>
  <c r="Z34" i="29"/>
  <c r="AA31" i="29"/>
  <c r="G17" i="29" l="1"/>
  <c r="E17" i="29" s="1"/>
  <c r="AA34" i="29"/>
  <c r="AA40" i="29" l="1"/>
  <c r="AA42" i="29" s="1"/>
  <c r="G18" i="29"/>
  <c r="G19" i="29" s="1"/>
  <c r="E19" i="29" s="1"/>
  <c r="G20" i="29" l="1"/>
  <c r="E20" i="29" s="1"/>
  <c r="E18" i="29"/>
  <c r="G21" i="29" l="1"/>
  <c r="G22" i="29" s="1"/>
  <c r="E21" i="29" l="1"/>
  <c r="G23" i="29"/>
  <c r="E22" i="29"/>
  <c r="G24" i="29" l="1"/>
  <c r="E23" i="29"/>
  <c r="G25" i="29" l="1"/>
  <c r="E25" i="29" s="1"/>
  <c r="E24" i="29"/>
  <c r="G27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de Oliveira Matos Borges</author>
  </authors>
  <commentList>
    <comment ref="B3" authorId="0" shapeId="0" xr:uid="{F91095FB-450F-4B66-ACB1-DE8D88DAE082}">
      <text>
        <r>
          <rPr>
            <sz val="9"/>
            <color indexed="81"/>
            <rFont val="Segoe UI"/>
            <family val="2"/>
          </rPr>
          <t xml:space="preserve">Criar o pedido de venda no PRIMUS, atrelar os Contratos Juridicos 
</t>
        </r>
      </text>
    </comment>
    <comment ref="C3" authorId="0" shapeId="0" xr:uid="{881A409A-F139-453E-9B6D-7786AA34CA27}">
      <text>
        <r>
          <rPr>
            <sz val="9"/>
            <color indexed="81"/>
            <rFont val="Segoe UI"/>
            <family val="2"/>
          </rPr>
          <t xml:space="preserve">Executar o detalhamento do pedido, cálculos necessários e novos cadastros e atualizações de roteiros de produção alinhado com Métodos &amp; Processos 
</t>
        </r>
      </text>
    </comment>
    <comment ref="D3" authorId="0" shapeId="0" xr:uid="{F87DFC5D-CD3F-4B68-9D67-61DDCDF8C088}">
      <text>
        <r>
          <rPr>
            <sz val="9"/>
            <color indexed="81"/>
            <rFont val="Segoe UI"/>
            <family val="2"/>
          </rPr>
          <t xml:space="preserve">Executar o MRP no PRIMUS de acordo com o pedido liberado, para gerar as necessidades de produção e compras
</t>
        </r>
      </text>
    </comment>
    <comment ref="E3" authorId="0" shapeId="0" xr:uid="{601EB4C5-26EC-4CB2-BB9B-DF79228A1C3D}">
      <text>
        <r>
          <rPr>
            <sz val="9"/>
            <color indexed="81"/>
            <rFont val="Segoe UI"/>
            <family val="2"/>
          </rPr>
          <t>Analisar se todos os Insumos e MPs demandados estarão disponíveis nas janelas necessárias e informar os prazos de previsão de recebimento em Colatina</t>
        </r>
      </text>
    </comment>
    <comment ref="F3" authorId="0" shapeId="0" xr:uid="{984CFA2D-7174-4172-844C-7F32582109F4}">
      <text>
        <r>
          <rPr>
            <sz val="9"/>
            <color indexed="81"/>
            <rFont val="Segoe UI"/>
            <family val="2"/>
          </rPr>
          <t xml:space="preserve">Executar a verificação do plano de produção recebido.
Se as OPs estão corretas
Se há demanda GVF/GVE
Se há demanda de corte na Móveis
Se há demanda para USBER
Se os prazos de Suprimentos atendem </t>
        </r>
      </text>
    </comment>
    <comment ref="H3" authorId="0" shapeId="0" xr:uid="{0A5EDF45-3B37-45CA-B0BC-EF2E049BF6DF}">
      <text>
        <r>
          <rPr>
            <sz val="9"/>
            <color indexed="81"/>
            <rFont val="Segoe UI"/>
            <family val="2"/>
          </rPr>
          <t xml:space="preserve">Executar a tarefa de Picking, a formatação de carga, alinhamento com transportadora e buscar autorização com Comercial e Cliente para carregamento
</t>
        </r>
      </text>
    </comment>
    <comment ref="I3" authorId="0" shapeId="0" xr:uid="{A1D03FE1-9987-4335-84ED-7B0A67F2C158}">
      <text>
        <r>
          <rPr>
            <sz val="9"/>
            <color indexed="81"/>
            <rFont val="Segoe UI"/>
            <family val="2"/>
          </rPr>
          <t>Elaborar carga/cubagem
Executar roteirização e composições de carga
Tempo médio depende mais da região de entrega, o tipo de produto não interfere tanto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123" description="Conexão com a consulta '123' na pasta de trabalho." type="5" refreshedVersion="6" minRefreshableVersion="3" background="1" saveData="1">
    <dbPr connection="Provider=Microsoft.Mashup.OleDb.1;Data Source=$Workbook$;Location=123;Extended Properties=&quot;&quot;" command="SELECT * FROM [123]"/>
  </connection>
  <connection id="2" xr16:uid="{00000000-0015-0000-FFFF-FFFF01000000}" keepAlive="1" name="Consulta - 2020_01_22" description="Conexão com a consulta '2020_01_22' na pasta de trabalho." type="5" refreshedVersion="6" background="1" saveData="1">
    <dbPr connection="Provider=Microsoft.Mashup.OleDb.1;Data Source=$Workbook$;Location=2020_01_22;Extended Properties=&quot;&quot;" command="SELECT * FROM [2020_01_22]"/>
  </connection>
  <connection id="3" xr16:uid="{00000000-0015-0000-FFFF-FFFF02000000}" keepAlive="1" name="Consulta - 2020_01_22 (2)" description="Conexão com a consulta '2020_01_22 (2)' na pasta de trabalho." type="5" refreshedVersion="6" background="1" saveData="1">
    <dbPr connection="Provider=Microsoft.Mashup.OleDb.1;Data Source=$Workbook$;Location=&quot;2020_01_22 (2)&quot;;Extended Properties=&quot;&quot;" command="SELECT * FROM [2020_01_22 (2)]"/>
  </connection>
  <connection id="4" xr16:uid="{00000000-0015-0000-FFFF-FFFF03000000}" keepAlive="1" name="Consulta - Tabela1" description="Conexão com a consulta 'Tabela1' na pasta de trabalho." type="5" refreshedVersion="6" background="1" saveData="1">
    <dbPr connection="Provider=Microsoft.Mashup.OleDb.1;Data Source=$Workbook$;Location=Tabela1;Extended Properties=&quot;&quot;" command="SELECT * FROM [Tabela1]"/>
  </connection>
</connections>
</file>

<file path=xl/sharedStrings.xml><?xml version="1.0" encoding="utf-8"?>
<sst xmlns="http://schemas.openxmlformats.org/spreadsheetml/2006/main" count="9155" uniqueCount="1517">
  <si>
    <t>UF</t>
  </si>
  <si>
    <t>Cod. representante</t>
  </si>
  <si>
    <t>Representante</t>
  </si>
  <si>
    <t>CNPJ</t>
  </si>
  <si>
    <t>Cliente</t>
  </si>
  <si>
    <t>Cidade</t>
  </si>
  <si>
    <t>Pedido</t>
  </si>
  <si>
    <t>Tipo</t>
  </si>
  <si>
    <t>Situação</t>
  </si>
  <si>
    <t>Tipo de situação</t>
  </si>
  <si>
    <t>Ped. vendedor</t>
  </si>
  <si>
    <t>Ordem de compra</t>
  </si>
  <si>
    <t>Data emissão</t>
  </si>
  <si>
    <t>Data entrega</t>
  </si>
  <si>
    <t>Data liberação</t>
  </si>
  <si>
    <t>Primeiro faturamento</t>
  </si>
  <si>
    <t>Primeira nota</t>
  </si>
  <si>
    <t>Data último fat.</t>
  </si>
  <si>
    <t>Última nota</t>
  </si>
  <si>
    <t>Status</t>
  </si>
  <si>
    <t>Data de entrega da ocorrência</t>
  </si>
  <si>
    <t>Programa</t>
  </si>
  <si>
    <t>Data programa</t>
  </si>
  <si>
    <t>Rota</t>
  </si>
  <si>
    <t>Pgto</t>
  </si>
  <si>
    <t>Descrição</t>
  </si>
  <si>
    <t>Cod. Desconto</t>
  </si>
  <si>
    <t>Percentual</t>
  </si>
  <si>
    <t>Transportador</t>
  </si>
  <si>
    <t>Frete</t>
  </si>
  <si>
    <t>Peso bruto</t>
  </si>
  <si>
    <t>Valor</t>
  </si>
  <si>
    <t>V</t>
  </si>
  <si>
    <t>PE</t>
  </si>
  <si>
    <t>Normal</t>
  </si>
  <si>
    <t xml:space="preserve">  /  /  </t>
  </si>
  <si>
    <t xml:space="preserve">                                        </t>
  </si>
  <si>
    <t>/  /</t>
  </si>
  <si>
    <t>Sem rota</t>
  </si>
  <si>
    <t>CIF</t>
  </si>
  <si>
    <t>Pelizzari Repres. Comerciais Ltda</t>
  </si>
  <si>
    <t>Brf S.A</t>
  </si>
  <si>
    <t>PR</t>
  </si>
  <si>
    <t>Mov-arm Representações Ltda - Epp</t>
  </si>
  <si>
    <t>SP</t>
  </si>
  <si>
    <t>60 Ddf S/j</t>
  </si>
  <si>
    <t>Vbc Comex Representações Ltda. Me</t>
  </si>
  <si>
    <t>Paraguay Refrescos S.a</t>
  </si>
  <si>
    <t>Asuncion</t>
  </si>
  <si>
    <t>EX</t>
  </si>
  <si>
    <t>Homelog Representações Ltda - Epp</t>
  </si>
  <si>
    <t>RJ</t>
  </si>
  <si>
    <t>Toledo</t>
  </si>
  <si>
    <t>BA</t>
  </si>
  <si>
    <t>ES</t>
  </si>
  <si>
    <t>Gilson de Sousa Henriques</t>
  </si>
  <si>
    <t>MG</t>
  </si>
  <si>
    <t>Porto Alegre</t>
  </si>
  <si>
    <t>RS</t>
  </si>
  <si>
    <t>Riber Representações Comercial Ltda</t>
  </si>
  <si>
    <t>Casagranda Representações Com Ltda</t>
  </si>
  <si>
    <t>Movilog Representacoes Ltda</t>
  </si>
  <si>
    <t>FOB</t>
  </si>
  <si>
    <t>Stockage Representacoes Ltda</t>
  </si>
  <si>
    <t>SC</t>
  </si>
  <si>
    <t>Cassioli Brasil Ltda</t>
  </si>
  <si>
    <t>Jundiai</t>
  </si>
  <si>
    <t>Brasconsult Serviços. Adm Eirelli -me</t>
  </si>
  <si>
    <t>Serra</t>
  </si>
  <si>
    <t>Macae</t>
  </si>
  <si>
    <t>Belmiro Campbell Campos - Me</t>
  </si>
  <si>
    <t>Marcelo Cristiano Pereira de Oliveira</t>
  </si>
  <si>
    <t>Tfs Representações Eireli - Me</t>
  </si>
  <si>
    <t>Rio de Janeiro</t>
  </si>
  <si>
    <t>Manaus</t>
  </si>
  <si>
    <t>AM</t>
  </si>
  <si>
    <t>Metalurgica Mor S.A</t>
  </si>
  <si>
    <t>Bento Goncalves</t>
  </si>
  <si>
    <t>Curitiba</t>
  </si>
  <si>
    <t>Sao Paulo</t>
  </si>
  <si>
    <t>Lojas Renner S.A</t>
  </si>
  <si>
    <t>16216 01 C</t>
  </si>
  <si>
    <t>Rótulos de Linha</t>
  </si>
  <si>
    <t>Total Geral</t>
  </si>
  <si>
    <t>Soma de Peso bruto</t>
  </si>
  <si>
    <t>Produto</t>
  </si>
  <si>
    <t>DIN1</t>
  </si>
  <si>
    <t>PP1</t>
  </si>
  <si>
    <t>PP2</t>
  </si>
  <si>
    <t>DIN2</t>
  </si>
  <si>
    <t>DRI1</t>
  </si>
  <si>
    <t>DRI2</t>
  </si>
  <si>
    <t>PP3</t>
  </si>
  <si>
    <t>FLR1</t>
  </si>
  <si>
    <t>Technip Brasil Eng Inst e Apoio Maritimo</t>
  </si>
  <si>
    <t>CTL1</t>
  </si>
  <si>
    <t>Descrição2</t>
  </si>
  <si>
    <t>(vazio)</t>
  </si>
  <si>
    <t>Soma de Valor</t>
  </si>
  <si>
    <t>Rótulos de Coluna</t>
  </si>
  <si>
    <t>semana</t>
  </si>
  <si>
    <t>Data:</t>
  </si>
  <si>
    <t>Semana:</t>
  </si>
  <si>
    <t>MT</t>
  </si>
  <si>
    <t>Paranagua</t>
  </si>
  <si>
    <t>Cotia</t>
  </si>
  <si>
    <t>Santa Luzia</t>
  </si>
  <si>
    <t>Braskem S/A</t>
  </si>
  <si>
    <t>18562 00 A</t>
  </si>
  <si>
    <t>ANÁLISE TÉCNICA</t>
  </si>
  <si>
    <t>Subsea 7 do Brasil Servicos Ltda</t>
  </si>
  <si>
    <t>Rio das Ostras</t>
  </si>
  <si>
    <t>PSH1</t>
  </si>
  <si>
    <t>Legenda:</t>
  </si>
  <si>
    <t>Acima da meta</t>
  </si>
  <si>
    <t>Disponível</t>
  </si>
  <si>
    <t>PSL1</t>
  </si>
  <si>
    <t>dia semana</t>
  </si>
  <si>
    <t>Ton limite</t>
  </si>
  <si>
    <t>Programado</t>
  </si>
  <si>
    <t>Semana</t>
  </si>
  <si>
    <t>Sao Jose dos Pinhais</t>
  </si>
  <si>
    <t>Aruja</t>
  </si>
  <si>
    <t>(Tudo)</t>
  </si>
  <si>
    <t>APT2</t>
  </si>
  <si>
    <t>SERVIÇO</t>
  </si>
  <si>
    <t>Uberlandia</t>
  </si>
  <si>
    <t>180 Ddf S/j</t>
  </si>
  <si>
    <t>Guarulhos</t>
  </si>
  <si>
    <t>Vila Velha</t>
  </si>
  <si>
    <t>Caxias do Sul</t>
  </si>
  <si>
    <t>CST1</t>
  </si>
  <si>
    <t>GO</t>
  </si>
  <si>
    <t>Camacari</t>
  </si>
  <si>
    <t>MEZ1</t>
  </si>
  <si>
    <t>Claudinei Jose da Silva</t>
  </si>
  <si>
    <t>MS</t>
  </si>
  <si>
    <t>Jbs S.A</t>
  </si>
  <si>
    <t>Betim</t>
  </si>
  <si>
    <t>Brf S/A</t>
  </si>
  <si>
    <t>Porta Pallet Representações Ltda</t>
  </si>
  <si>
    <t>Linhares</t>
  </si>
  <si>
    <t>CE</t>
  </si>
  <si>
    <t>Blumenau</t>
  </si>
  <si>
    <t>50% Conf e Saldo 28ddf</t>
  </si>
  <si>
    <t>Aparecida de Goiania</t>
  </si>
  <si>
    <t>20650 00 B</t>
  </si>
  <si>
    <t>50% Conf e 50% 14ddf</t>
  </si>
  <si>
    <t>PB</t>
  </si>
  <si>
    <t>45 Ddf S/j</t>
  </si>
  <si>
    <t>14 Ddf  S/juros</t>
  </si>
  <si>
    <t>30 DDF S/juros</t>
  </si>
  <si>
    <t>90 DDF Sem Juros</t>
  </si>
  <si>
    <t>Logber - Colatina Es</t>
  </si>
  <si>
    <t>28 DDF S/juros</t>
  </si>
  <si>
    <t>40% Conf/30%14ddf/saldo28ddf</t>
  </si>
  <si>
    <t>FP</t>
  </si>
  <si>
    <t>Canoas</t>
  </si>
  <si>
    <t>Cooperativa Central Aurora Alimentos</t>
  </si>
  <si>
    <t>MA</t>
  </si>
  <si>
    <t>Imperatriz</t>
  </si>
  <si>
    <t>Sologis Soluções Em Logística Ltda</t>
  </si>
  <si>
    <t>Santa Cruz do Sul</t>
  </si>
  <si>
    <t>Segala's Alimentos Ltda</t>
  </si>
  <si>
    <t>Gaspar</t>
  </si>
  <si>
    <t>18544 00 B</t>
  </si>
  <si>
    <t>2p Representações Comercial Ltda</t>
  </si>
  <si>
    <t>Blutrade Imp e Exp de Produtos Graficos</t>
  </si>
  <si>
    <t>Criciuma</t>
  </si>
  <si>
    <t>18204 07 G</t>
  </si>
  <si>
    <t>Carlos Barbosa</t>
  </si>
  <si>
    <t>Sao Jose</t>
  </si>
  <si>
    <t>Francisco Carlos Carnevale Servicos Me</t>
  </si>
  <si>
    <t>Viana</t>
  </si>
  <si>
    <t>Passo Fundo</t>
  </si>
  <si>
    <t>Joao Pessoa</t>
  </si>
  <si>
    <t>Guarapari</t>
  </si>
  <si>
    <t>Cabreuva</t>
  </si>
  <si>
    <t>Atrasado</t>
  </si>
  <si>
    <t>Sao Carlos</t>
  </si>
  <si>
    <t>Natal</t>
  </si>
  <si>
    <t>RN</t>
  </si>
  <si>
    <t>Duque de Caxias</t>
  </si>
  <si>
    <t>Balizador</t>
  </si>
  <si>
    <t>Cajamar</t>
  </si>
  <si>
    <t>Palhoca</t>
  </si>
  <si>
    <t>Salvador</t>
  </si>
  <si>
    <t>Montevideo</t>
  </si>
  <si>
    <t>Kimberly-clark Brasil Ind Com P Hig Ltda</t>
  </si>
  <si>
    <t>23424 00 A</t>
  </si>
  <si>
    <t>Termaco Recife</t>
  </si>
  <si>
    <t>AUTOMAÇÃO</t>
  </si>
  <si>
    <t>Jaragua do Sul</t>
  </si>
  <si>
    <t>Montes Claros</t>
  </si>
  <si>
    <t>Rud Correntes Industriais Ltda</t>
  </si>
  <si>
    <t>Mogi das Cruzes</t>
  </si>
  <si>
    <t>R. Valente Soares</t>
  </si>
  <si>
    <t>Embotelladoras Bolivianas Unidas S.a</t>
  </si>
  <si>
    <t>La Paz</t>
  </si>
  <si>
    <t>Weg Equipamentos Eletricos S/A</t>
  </si>
  <si>
    <t>150 DDF S/juros</t>
  </si>
  <si>
    <t>sa241</t>
  </si>
  <si>
    <t>sa240</t>
  </si>
  <si>
    <t>Tata S.a</t>
  </si>
  <si>
    <t>Canelones</t>
  </si>
  <si>
    <t>22984 00 C</t>
  </si>
  <si>
    <t>sa248</t>
  </si>
  <si>
    <t>Frimesa Cooperativa Central</t>
  </si>
  <si>
    <t>Assis Chateaubriand</t>
  </si>
  <si>
    <t>Calamo Dist de Produtos de Beleza S.A</t>
  </si>
  <si>
    <t>Sapucaia do Sul</t>
  </si>
  <si>
    <t>Fmc Technologies do Brasil Ltda</t>
  </si>
  <si>
    <t>Nestle Nordeste Alimentos e Bebidas Ltda</t>
  </si>
  <si>
    <t>sa268</t>
  </si>
  <si>
    <t>Campo Grande</t>
  </si>
  <si>
    <t>Sorocaba</t>
  </si>
  <si>
    <t>22593 09 H</t>
  </si>
  <si>
    <t>Ticona Polymers Ltda</t>
  </si>
  <si>
    <t>sa302</t>
  </si>
  <si>
    <t>Cariacica</t>
  </si>
  <si>
    <t>Cirne Irmaos &amp; Cia Ltda</t>
  </si>
  <si>
    <t>AUT</t>
  </si>
  <si>
    <t>Medchap Distr de Medicamentos Chapeco Lt</t>
  </si>
  <si>
    <t>Key Account Manager - Diretos</t>
  </si>
  <si>
    <t>Campo Bom</t>
  </si>
  <si>
    <t>24449 00 B</t>
  </si>
  <si>
    <t>Extrema</t>
  </si>
  <si>
    <t>Fedex Brasil Logistica e Transporte Ltda</t>
  </si>
  <si>
    <t>25052 01 A</t>
  </si>
  <si>
    <t>25051 01 A</t>
  </si>
  <si>
    <t>Gerencia Região Sul - Diretos</t>
  </si>
  <si>
    <t>Bunge Alimentos S/A</t>
  </si>
  <si>
    <t>Logber</t>
  </si>
  <si>
    <t>Colatina</t>
  </si>
  <si>
    <t>Bsa - Diretos Mi</t>
  </si>
  <si>
    <t>Unilever Brasil Industrial Ltda</t>
  </si>
  <si>
    <t>Igarassu</t>
  </si>
  <si>
    <t>25234 00 A</t>
  </si>
  <si>
    <t>PO12403105</t>
  </si>
  <si>
    <t>22969 08 J</t>
  </si>
  <si>
    <t>Magazine Luiza S/A</t>
  </si>
  <si>
    <t>23561 00 D</t>
  </si>
  <si>
    <t>Frisa Comercial S.A</t>
  </si>
  <si>
    <t>24787 03 D</t>
  </si>
  <si>
    <t>17695 08 H</t>
  </si>
  <si>
    <t>Cooperativa Santa Clara Ltda</t>
  </si>
  <si>
    <t>25258 00 C</t>
  </si>
  <si>
    <t>MI</t>
  </si>
  <si>
    <t>14697 00 C</t>
  </si>
  <si>
    <t>24294 04 D</t>
  </si>
  <si>
    <t>Londrina</t>
  </si>
  <si>
    <t>25435 00 A</t>
  </si>
  <si>
    <t>PA</t>
  </si>
  <si>
    <t>30/60/90 DDF Sem Juros</t>
  </si>
  <si>
    <t>Cachoeirinha</t>
  </si>
  <si>
    <t>14/28 DDF S/juros</t>
  </si>
  <si>
    <t>Teresina</t>
  </si>
  <si>
    <t>PI</t>
  </si>
  <si>
    <t>25458 00 C</t>
  </si>
  <si>
    <t>24623 04 F</t>
  </si>
  <si>
    <t>(Vários itens)</t>
  </si>
  <si>
    <t>Gerencia Região Sudeste - Diretos</t>
  </si>
  <si>
    <t>Id do Brasil Logistica Ltda</t>
  </si>
  <si>
    <t>MANUTENCAO AUTOMACAO</t>
  </si>
  <si>
    <t>23670 00 A</t>
  </si>
  <si>
    <t>Comercio de Medicamentos Brair Ltda</t>
  </si>
  <si>
    <t>sa386</t>
  </si>
  <si>
    <t>sa387</t>
  </si>
  <si>
    <t>Nova Santa Rita</t>
  </si>
  <si>
    <t>21720 01 H</t>
  </si>
  <si>
    <t>Industrias de Aceite S.a.</t>
  </si>
  <si>
    <t>Santa Cruz</t>
  </si>
  <si>
    <t>Gerencia Região Norte/nordeste - Diretos</t>
  </si>
  <si>
    <t>Unimed Natal Sociedade Coop de Trab Medi</t>
  </si>
  <si>
    <t>MANUTENÇÃO AUTOMAÇÃO</t>
  </si>
  <si>
    <t>26110 00 A</t>
  </si>
  <si>
    <t>Farias Log Eireli</t>
  </si>
  <si>
    <t>25556 00 A</t>
  </si>
  <si>
    <t>Indaial</t>
  </si>
  <si>
    <t>sa400</t>
  </si>
  <si>
    <t>sa407</t>
  </si>
  <si>
    <t>Monsanto do Brasil Ltda</t>
  </si>
  <si>
    <t>Campo Verde</t>
  </si>
  <si>
    <t>Maxmix Comercial Ltda</t>
  </si>
  <si>
    <t>sa427</t>
  </si>
  <si>
    <t>Medianeira</t>
  </si>
  <si>
    <t>24150 00 D</t>
  </si>
  <si>
    <t>Gerdau Acos Longos S/A</t>
  </si>
  <si>
    <t>26066 00 B</t>
  </si>
  <si>
    <t>28/56/84 Ddf S/juros</t>
  </si>
  <si>
    <t>Granja Avicola Integral Sofia Ltda</t>
  </si>
  <si>
    <t>Santa Cruz de La Siera</t>
  </si>
  <si>
    <t>26037 00 B</t>
  </si>
  <si>
    <t>Nit 1028779020</t>
  </si>
  <si>
    <t>sa443</t>
  </si>
  <si>
    <t>sa444</t>
  </si>
  <si>
    <t>sa445</t>
  </si>
  <si>
    <t>Borba Representações de Equipamento Ltd</t>
  </si>
  <si>
    <t>Caetano S Representaçoes Comercial Ltda</t>
  </si>
  <si>
    <t>Philco Eletronicos S/A</t>
  </si>
  <si>
    <t>Outros Bsa - Diretos</t>
  </si>
  <si>
    <t>Fortlev Industria e Comercio de Plastico</t>
  </si>
  <si>
    <t>21634 05 G</t>
  </si>
  <si>
    <t>Leasing</t>
  </si>
  <si>
    <t>26698 00 A</t>
  </si>
  <si>
    <t>sa462</t>
  </si>
  <si>
    <t>Corin S.a.</t>
  </si>
  <si>
    <t>FCA</t>
  </si>
  <si>
    <t>Navegantes</t>
  </si>
  <si>
    <t>Sao Roque</t>
  </si>
  <si>
    <t>17742 07 H</t>
  </si>
  <si>
    <t>Bela Tintas Ltda</t>
  </si>
  <si>
    <t>Maua</t>
  </si>
  <si>
    <t>24692 09 I</t>
  </si>
  <si>
    <t>25985 01 C</t>
  </si>
  <si>
    <t>15 DDF</t>
  </si>
  <si>
    <t>26506 00 B</t>
  </si>
  <si>
    <t>Oxiteno S.A Industria e Comercio</t>
  </si>
  <si>
    <t>Tremembe</t>
  </si>
  <si>
    <t>sa499</t>
  </si>
  <si>
    <t>Marfrig Global Foods S.A</t>
  </si>
  <si>
    <t>Varzea Grande</t>
  </si>
  <si>
    <t>24491 04 F</t>
  </si>
  <si>
    <t>Bataguassu</t>
  </si>
  <si>
    <t>24492 08 I</t>
  </si>
  <si>
    <t>Transportes Mobiline</t>
  </si>
  <si>
    <t>Marau</t>
  </si>
  <si>
    <t>Leroy Merlin Cmp Brasileira de Bricolage</t>
  </si>
  <si>
    <t>TRANSELEVADOR</t>
  </si>
  <si>
    <t>sa502</t>
  </si>
  <si>
    <t>sa504</t>
  </si>
  <si>
    <t>Triunfo</t>
  </si>
  <si>
    <t>24591 02 E</t>
  </si>
  <si>
    <t>30%conf e Saldo 30/60/90 Ddf</t>
  </si>
  <si>
    <t>sa508</t>
  </si>
  <si>
    <t>Friovix Comercio de Refrigeracao Ltda</t>
  </si>
  <si>
    <t>Seropedica</t>
  </si>
  <si>
    <t>Superfrio Armazens Gerais S.A</t>
  </si>
  <si>
    <t>26107 00 C</t>
  </si>
  <si>
    <t>Arroio do Meio</t>
  </si>
  <si>
    <t>Simoes Filho</t>
  </si>
  <si>
    <t>Target Representações Comercial Ltda</t>
  </si>
  <si>
    <t>26839 01 A</t>
  </si>
  <si>
    <t>Barueri</t>
  </si>
  <si>
    <t>27337 01 B</t>
  </si>
  <si>
    <t>janeiro_2021</t>
  </si>
  <si>
    <t>fevereiro_2021</t>
  </si>
  <si>
    <t>março_2021</t>
  </si>
  <si>
    <t>abril_2021</t>
  </si>
  <si>
    <t>maio_2021</t>
  </si>
  <si>
    <t>junho_2021</t>
  </si>
  <si>
    <t>julho_2021</t>
  </si>
  <si>
    <t>agosto_2021</t>
  </si>
  <si>
    <t>setembro_2021</t>
  </si>
  <si>
    <t>outubro_2021</t>
  </si>
  <si>
    <t>novembro_2021</t>
  </si>
  <si>
    <t>dezembro_2021</t>
  </si>
  <si>
    <t>janeiro_2022</t>
  </si>
  <si>
    <t>fevereiro_2022</t>
  </si>
  <si>
    <t>março_2022</t>
  </si>
  <si>
    <t>abril_2022</t>
  </si>
  <si>
    <t>maio_2022</t>
  </si>
  <si>
    <t>junho_2022</t>
  </si>
  <si>
    <t>julho_2022</t>
  </si>
  <si>
    <t>agosto_2022</t>
  </si>
  <si>
    <t>setembro_2022</t>
  </si>
  <si>
    <t>outubro_2022</t>
  </si>
  <si>
    <t>novembro_2022</t>
  </si>
  <si>
    <t>dezembro_2022</t>
  </si>
  <si>
    <t>CONSULTA PARA VENDA</t>
  </si>
  <si>
    <t>JANELA</t>
  </si>
  <si>
    <t>DRIVE</t>
  </si>
  <si>
    <t>PP1 + PP2</t>
  </si>
  <si>
    <t>FLOW RACK</t>
  </si>
  <si>
    <t>DIN + PUSH</t>
  </si>
  <si>
    <t>OUTROS</t>
  </si>
  <si>
    <t>CAP. PRODUTIVA</t>
  </si>
  <si>
    <t>PRODUTO</t>
  </si>
  <si>
    <t>TOTAL</t>
  </si>
  <si>
    <t>%</t>
  </si>
  <si>
    <t>CONCATENAR((TEXTO([@[Data entrega]];"mmmm"));"_";(ANO([@[Data entrega]])))</t>
  </si>
  <si>
    <t>26156 02 D</t>
  </si>
  <si>
    <t>Metalurgica Fey Ltda</t>
  </si>
  <si>
    <t>Dimed S/A Distribuidora de Medicamentos</t>
  </si>
  <si>
    <t>Eldorado do Sul</t>
  </si>
  <si>
    <t>Glaxosmithkline Brasil Ltda</t>
  </si>
  <si>
    <t>sa542</t>
  </si>
  <si>
    <t>Botica Comercial Farmaceutica Ltda</t>
  </si>
  <si>
    <t>Rondonopolis</t>
  </si>
  <si>
    <t>26075 00 D</t>
  </si>
  <si>
    <t>Videplast Industria de Embalagens Ltda</t>
  </si>
  <si>
    <t>Videira</t>
  </si>
  <si>
    <t>17664 04 F</t>
  </si>
  <si>
    <t>Corteva Agriscience do Brasil Ltda</t>
  </si>
  <si>
    <t>Itumbiara</t>
  </si>
  <si>
    <t>24252 01 D</t>
  </si>
  <si>
    <t>21535 03HG</t>
  </si>
  <si>
    <t>27511 00 A</t>
  </si>
  <si>
    <t>Castelo Alimentos S.A</t>
  </si>
  <si>
    <t>26508 06 B</t>
  </si>
  <si>
    <t>Santa Rita do Sapucai</t>
  </si>
  <si>
    <t>Trigo &amp; Cia Ltda</t>
  </si>
  <si>
    <t>20085 10 N</t>
  </si>
  <si>
    <t>CAP. 2022</t>
  </si>
  <si>
    <t>Basf S/A</t>
  </si>
  <si>
    <t>Guaratingueta</t>
  </si>
  <si>
    <t>Trg Comercio de Metais Ltda</t>
  </si>
  <si>
    <t>26456 02 B</t>
  </si>
  <si>
    <t>sa561</t>
  </si>
  <si>
    <t>Imd Comercio de Moveis Ltda</t>
  </si>
  <si>
    <t>27586 03 C</t>
  </si>
  <si>
    <t>Segura Transportes e Logistica Ltda</t>
  </si>
  <si>
    <t>27415 04 E</t>
  </si>
  <si>
    <t>27292 02 C</t>
  </si>
  <si>
    <t>PBB1</t>
  </si>
  <si>
    <t>26376 02 F</t>
  </si>
  <si>
    <t>Super Mercados São Roque Ltda</t>
  </si>
  <si>
    <t>sa568</t>
  </si>
  <si>
    <t>22816 01 H</t>
  </si>
  <si>
    <t>sa570</t>
  </si>
  <si>
    <t>25353 00 B</t>
  </si>
  <si>
    <t>Cargill de Honduras de S.r.l.</t>
  </si>
  <si>
    <t>Tegucigalpa M.d.c. Honduras Ca</t>
  </si>
  <si>
    <t>27526 02 D</t>
  </si>
  <si>
    <t>Pescados do Porto Com de Peixes Ltda</t>
  </si>
  <si>
    <t>28015 02 C</t>
  </si>
  <si>
    <t>27969 01 A</t>
  </si>
  <si>
    <t>sa580</t>
  </si>
  <si>
    <t>sa585</t>
  </si>
  <si>
    <t>sa588</t>
  </si>
  <si>
    <t>Pelotas</t>
  </si>
  <si>
    <t>Farmarin Industria e Comercio Ltda</t>
  </si>
  <si>
    <t>Kley Hertz Farmaceutica S.A</t>
  </si>
  <si>
    <t>Rasador</t>
  </si>
  <si>
    <t>16315 08 K</t>
  </si>
  <si>
    <t>30/60/90/120/ Ddf Sem Juros</t>
  </si>
  <si>
    <t>sa579</t>
  </si>
  <si>
    <t>28106 00 A</t>
  </si>
  <si>
    <t>Vitoria de Santo Antao</t>
  </si>
  <si>
    <t>21857 02 C</t>
  </si>
  <si>
    <t>sa475-D</t>
  </si>
  <si>
    <t>27870 01 D</t>
  </si>
  <si>
    <t>27700 00 B</t>
  </si>
  <si>
    <t>23386 02 F</t>
  </si>
  <si>
    <t>24592 02 E</t>
  </si>
  <si>
    <t>Recofarma Industria do Amazonas Ltda</t>
  </si>
  <si>
    <t>22888 01 E</t>
  </si>
  <si>
    <t>Janeiro</t>
  </si>
  <si>
    <t>Julho</t>
  </si>
  <si>
    <t>Junho</t>
  </si>
  <si>
    <t>Maio</t>
  </si>
  <si>
    <t>Março</t>
  </si>
  <si>
    <t>Novembro</t>
  </si>
  <si>
    <t>Outubro</t>
  </si>
  <si>
    <t>Setembro</t>
  </si>
  <si>
    <t>Fevereiro</t>
  </si>
  <si>
    <t>Abril</t>
  </si>
  <si>
    <t>Agosto</t>
  </si>
  <si>
    <t>Dezembro</t>
  </si>
  <si>
    <t>25047 06 H</t>
  </si>
  <si>
    <t>sa596</t>
  </si>
  <si>
    <t>A D M do Brasil Ltda</t>
  </si>
  <si>
    <t>16452 00 E</t>
  </si>
  <si>
    <t>sa600</t>
  </si>
  <si>
    <t>Jcb Materiais de Construcao Ltda</t>
  </si>
  <si>
    <t>27867 04 F</t>
  </si>
  <si>
    <t>Cargill Agricola S/A</t>
  </si>
  <si>
    <t>27427 03 D</t>
  </si>
  <si>
    <t>Contabilista Suprimentos para Escritorio</t>
  </si>
  <si>
    <t>26995 04 F</t>
  </si>
  <si>
    <t>27664 00 D</t>
  </si>
  <si>
    <t>sa601</t>
  </si>
  <si>
    <t>25559 10 H</t>
  </si>
  <si>
    <t>Plastprack Industria e Comercio Ltda</t>
  </si>
  <si>
    <t>Massaranduba</t>
  </si>
  <si>
    <t>19559 06 G</t>
  </si>
  <si>
    <t>sa605</t>
  </si>
  <si>
    <t>sa602</t>
  </si>
  <si>
    <t>sa604</t>
  </si>
  <si>
    <t>sa606</t>
  </si>
  <si>
    <t>28304 00 A</t>
  </si>
  <si>
    <t>Dass Nordeste Calcados e Art. Esp. Ltda</t>
  </si>
  <si>
    <t>Vitoria da Conquista</t>
  </si>
  <si>
    <t>sa607</t>
  </si>
  <si>
    <t>sa608</t>
  </si>
  <si>
    <t>sa609</t>
  </si>
  <si>
    <t>sa610</t>
  </si>
  <si>
    <t>27753 00 C</t>
  </si>
  <si>
    <t>sa616</t>
  </si>
  <si>
    <t>sa615</t>
  </si>
  <si>
    <t>sa614</t>
  </si>
  <si>
    <t>sa620</t>
  </si>
  <si>
    <t>sa623</t>
  </si>
  <si>
    <t>sa628</t>
  </si>
  <si>
    <t>Farina S/A Componentes Automotivos</t>
  </si>
  <si>
    <t>27799 02 C</t>
  </si>
  <si>
    <t>432497TC1</t>
  </si>
  <si>
    <t>24622 03 E</t>
  </si>
  <si>
    <t>sa641</t>
  </si>
  <si>
    <t>L.i.s.a Logistica Integrada Sulamerica</t>
  </si>
  <si>
    <t>28108 03 B</t>
  </si>
  <si>
    <t>sa631</t>
  </si>
  <si>
    <t>sa630</t>
  </si>
  <si>
    <t>sa639</t>
  </si>
  <si>
    <t>Coopeavi - Coop Agropecuaria Centro Serr</t>
  </si>
  <si>
    <t>Ibiracu</t>
  </si>
  <si>
    <t>28556 01 B</t>
  </si>
  <si>
    <t>Fospar S.A</t>
  </si>
  <si>
    <t>28583 01 A</t>
  </si>
  <si>
    <t>Iccap Implementos Rodoviarios Ltda</t>
  </si>
  <si>
    <t>Sao Lourenco da Mata</t>
  </si>
  <si>
    <t>sa633</t>
  </si>
  <si>
    <t>Agi Brasil Industria e Comercio S/A</t>
  </si>
  <si>
    <t>Candido Mota</t>
  </si>
  <si>
    <t>28306 00 C</t>
  </si>
  <si>
    <t>sa640</t>
  </si>
  <si>
    <t>sa634</t>
  </si>
  <si>
    <t>sa635</t>
  </si>
  <si>
    <t>23173 02 F</t>
  </si>
  <si>
    <t>sa643</t>
  </si>
  <si>
    <t>27308 06 G</t>
  </si>
  <si>
    <t>Ccl Industries do Brasil S.A</t>
  </si>
  <si>
    <t>26887 04 H</t>
  </si>
  <si>
    <t>28378 00 B</t>
  </si>
  <si>
    <t>sa642</t>
  </si>
  <si>
    <t>23535 05 F</t>
  </si>
  <si>
    <t>27595 02 C</t>
  </si>
  <si>
    <t>27503 04 J</t>
  </si>
  <si>
    <t>Nilo Maia Distribuidora Ltda</t>
  </si>
  <si>
    <t>Sobral</t>
  </si>
  <si>
    <t>sa644</t>
  </si>
  <si>
    <t>28546 01 B</t>
  </si>
  <si>
    <t>sa646</t>
  </si>
  <si>
    <t>24207 03 G</t>
  </si>
  <si>
    <t>sa648</t>
  </si>
  <si>
    <t>sa647</t>
  </si>
  <si>
    <t>Ivacir Barp e Cia Ltda</t>
  </si>
  <si>
    <t>Sao Gabriel</t>
  </si>
  <si>
    <t>28587 02 C</t>
  </si>
  <si>
    <t>M Dias Branco S.A Ind e Com de Aliments</t>
  </si>
  <si>
    <t>Fedex do Brasil Logistica e Transporte</t>
  </si>
  <si>
    <t>28029 02 D</t>
  </si>
  <si>
    <t>Copal Alimentos Ltda</t>
  </si>
  <si>
    <t>28714 02 B</t>
  </si>
  <si>
    <t>27473 00 B</t>
  </si>
  <si>
    <t>sa651</t>
  </si>
  <si>
    <t>sa650</t>
  </si>
  <si>
    <t>sa649</t>
  </si>
  <si>
    <t>Esteio</t>
  </si>
  <si>
    <t>Concordia</t>
  </si>
  <si>
    <t>Marcos V. Ricci</t>
  </si>
  <si>
    <t>sa658</t>
  </si>
  <si>
    <t>Master Serviços e Locações Ltda.,</t>
  </si>
  <si>
    <t>sa653</t>
  </si>
  <si>
    <t>sa655</t>
  </si>
  <si>
    <t>27199 02 B</t>
  </si>
  <si>
    <t>sa654</t>
  </si>
  <si>
    <t>Toyota Mat Hald Merc Ind e Com de Equip</t>
  </si>
  <si>
    <t>Sao Bernardo do Campo</t>
  </si>
  <si>
    <t>T S Tech do Brasil Ltda</t>
  </si>
  <si>
    <t>Leme</t>
  </si>
  <si>
    <t>22658 01 C</t>
  </si>
  <si>
    <t>27131 05 F</t>
  </si>
  <si>
    <t>Frutos do Centro Oeste Ltda</t>
  </si>
  <si>
    <t>Goiania</t>
  </si>
  <si>
    <t>28811 03 C</t>
  </si>
  <si>
    <t>sa661</t>
  </si>
  <si>
    <t>Aqualis Solucoes Em Higiene Ltda Me</t>
  </si>
  <si>
    <t>25777 04 D</t>
  </si>
  <si>
    <t>sa662</t>
  </si>
  <si>
    <t>Jacarei</t>
  </si>
  <si>
    <t>Health Care &amp; Dubebe Com Imp Exp Prod Hi</t>
  </si>
  <si>
    <t>Tijucas</t>
  </si>
  <si>
    <t>28904 02 C</t>
  </si>
  <si>
    <t>Biguacu</t>
  </si>
  <si>
    <t>Intelbras S/A - Ind D Telecom Eletr Br</t>
  </si>
  <si>
    <t>28158 01 B</t>
  </si>
  <si>
    <t>SA642</t>
  </si>
  <si>
    <t>sa664</t>
  </si>
  <si>
    <t>Eletrogroup Mont Eletr e Manut Industria</t>
  </si>
  <si>
    <t>28862 01 B</t>
  </si>
  <si>
    <t>sa667</t>
  </si>
  <si>
    <t>Eletroleste Com Imp Mat Eletrico Ltda</t>
  </si>
  <si>
    <t>28986 02 C</t>
  </si>
  <si>
    <t>28561 03 C</t>
  </si>
  <si>
    <t>Agro Comercial Afubra Ltda</t>
  </si>
  <si>
    <t>Ararangua</t>
  </si>
  <si>
    <t>29081 00 A</t>
  </si>
  <si>
    <t>sa665</t>
  </si>
  <si>
    <t>Continental do Brasil Prod. Automotivos</t>
  </si>
  <si>
    <t>24933 00 D</t>
  </si>
  <si>
    <t>sa666</t>
  </si>
  <si>
    <t>25496 00 C</t>
  </si>
  <si>
    <t>sa669</t>
  </si>
  <si>
    <t>Up Distribuidora de Prod Descartaveis Lt</t>
  </si>
  <si>
    <t>Rio Largo</t>
  </si>
  <si>
    <t>AL</t>
  </si>
  <si>
    <t>28810 01 B</t>
  </si>
  <si>
    <t>25%conf./saldo 30/60/90 Ddf</t>
  </si>
  <si>
    <t>28515 04 E</t>
  </si>
  <si>
    <t>sa671</t>
  </si>
  <si>
    <t>Clarios Energy Solutions Brasil Ltda</t>
  </si>
  <si>
    <t>28596 00 B</t>
  </si>
  <si>
    <t>OC248168,</t>
  </si>
  <si>
    <t>OC248168</t>
  </si>
  <si>
    <t>sa674</t>
  </si>
  <si>
    <t>Schulz &amp; Thurow Ltda</t>
  </si>
  <si>
    <t>29049 01 B</t>
  </si>
  <si>
    <t>sa672</t>
  </si>
  <si>
    <t>Gypsum Mineração Industria e Comercio Lt</t>
  </si>
  <si>
    <t>16966 02 H</t>
  </si>
  <si>
    <t>sa675</t>
  </si>
  <si>
    <t>Brasalpla Brasil Ind de Embalagens Ltda</t>
  </si>
  <si>
    <t>Louveira</t>
  </si>
  <si>
    <t>28628 00 C</t>
  </si>
  <si>
    <t>28558 01 D</t>
  </si>
  <si>
    <t>Alaor Jose Cirolini Ltda</t>
  </si>
  <si>
    <t>Restinga Seca</t>
  </si>
  <si>
    <t>29108 02 B</t>
  </si>
  <si>
    <t>Atacado Uniao Ltda</t>
  </si>
  <si>
    <t>28665 00 B</t>
  </si>
  <si>
    <t>Mustang Pluron Quimica Ltda</t>
  </si>
  <si>
    <t>Catanduva</t>
  </si>
  <si>
    <t>28983 01 B</t>
  </si>
  <si>
    <t>30%conf. Saldo30/60 Ddf</t>
  </si>
  <si>
    <t>27724 00 B</t>
  </si>
  <si>
    <t>Cia Industrial H. Carlos Schneider</t>
  </si>
  <si>
    <t>Araquari</t>
  </si>
  <si>
    <t>28539 04 C</t>
  </si>
  <si>
    <t>23970 00 D</t>
  </si>
  <si>
    <t>sa677</t>
  </si>
  <si>
    <t>sa676</t>
  </si>
  <si>
    <t>Dass Nordeste Calcados e Art Esportivos</t>
  </si>
  <si>
    <t>Itaberaba</t>
  </si>
  <si>
    <t>Abt Comercial Eletrica Ltda</t>
  </si>
  <si>
    <t>28084 02 C</t>
  </si>
  <si>
    <t>Basf Comercio de Alimentos Ltda</t>
  </si>
  <si>
    <t>27914 02 C</t>
  </si>
  <si>
    <t>29082 03 C</t>
  </si>
  <si>
    <t>Marca Agro Mercantil Ltda</t>
  </si>
  <si>
    <t>Uberaba</t>
  </si>
  <si>
    <t>29098 01 D</t>
  </si>
  <si>
    <t>28349 02 C</t>
  </si>
  <si>
    <t>Cebrace Cristal Plano Ltda</t>
  </si>
  <si>
    <t>27566 02 C</t>
  </si>
  <si>
    <t>Imb Textil S.A</t>
  </si>
  <si>
    <t>29174 01 B</t>
  </si>
  <si>
    <t>Consorcio Cloges</t>
  </si>
  <si>
    <t>29091 03 C</t>
  </si>
  <si>
    <t>Transportes e Armazenagem Zilli Ltda</t>
  </si>
  <si>
    <t>Brasilia</t>
  </si>
  <si>
    <t>DF</t>
  </si>
  <si>
    <t>29110 01 B</t>
  </si>
  <si>
    <t>Iochpe Maxion S/A</t>
  </si>
  <si>
    <t>Cruzeiro</t>
  </si>
  <si>
    <t>23222 00 I</t>
  </si>
  <si>
    <t>28765 00 D</t>
  </si>
  <si>
    <t>Paracatu</t>
  </si>
  <si>
    <t>28715 02 E</t>
  </si>
  <si>
    <t>28768 00 D</t>
  </si>
  <si>
    <t>Cdnl Administracao de Bens S/a.</t>
  </si>
  <si>
    <t>28479 04 E</t>
  </si>
  <si>
    <t>Itapevi</t>
  </si>
  <si>
    <t>27645 03 C</t>
  </si>
  <si>
    <t>28610 10 F</t>
  </si>
  <si>
    <t>sa678</t>
  </si>
  <si>
    <t>sa679</t>
  </si>
  <si>
    <t>Tramontina Garibaldi S/A Ind Met</t>
  </si>
  <si>
    <t>Garibaldi</t>
  </si>
  <si>
    <t>Mineracao Morro do Ipe S.A</t>
  </si>
  <si>
    <t>Brumadinho</t>
  </si>
  <si>
    <t>28629 01 C</t>
  </si>
  <si>
    <t>PC010229</t>
  </si>
  <si>
    <t>sa680</t>
  </si>
  <si>
    <t>28939 00 C</t>
  </si>
  <si>
    <t>Qualicoco Ltda</t>
  </si>
  <si>
    <t>29307 01 A</t>
  </si>
  <si>
    <t>Wago Eletroeletronicos Ltda</t>
  </si>
  <si>
    <t>28693 00 B</t>
  </si>
  <si>
    <t>Fiotec Fund P Des Cient Tecnol Em Saude</t>
  </si>
  <si>
    <t>Rm Artigos Funerarios Ltda</t>
  </si>
  <si>
    <t>24125 02 C</t>
  </si>
  <si>
    <t>Tk Elevadores Brasil Ltda</t>
  </si>
  <si>
    <t>Guaiba</t>
  </si>
  <si>
    <t>28946 01 B</t>
  </si>
  <si>
    <t>Granja Brasilia Agroindustrial Avicola L</t>
  </si>
  <si>
    <t>Ibirite</t>
  </si>
  <si>
    <t>Procter Gamble do Brasil Ltda</t>
  </si>
  <si>
    <t>Top Alto Participacoes e Comercio Ltda</t>
  </si>
  <si>
    <t>28450 04 D</t>
  </si>
  <si>
    <t>M K Locacao de Maquinas Ltda</t>
  </si>
  <si>
    <t>21 dias trabalhados no mês</t>
  </si>
  <si>
    <t>PO13268260</t>
  </si>
  <si>
    <t>Ambev S.A</t>
  </si>
  <si>
    <t>29329 00 A</t>
  </si>
  <si>
    <t>Crbs S.A</t>
  </si>
  <si>
    <t>Feira de Santana</t>
  </si>
  <si>
    <t>29328 00 A</t>
  </si>
  <si>
    <t>95 Dias S/ Juros</t>
  </si>
  <si>
    <t>Mm Logistica e Armazenagem Ltda</t>
  </si>
  <si>
    <t>28927 01 A</t>
  </si>
  <si>
    <t>A G da Silva Complere Mont de Sist de Ar</t>
  </si>
  <si>
    <t>28896 00 C</t>
  </si>
  <si>
    <t>B.p Distribuidora Ltda</t>
  </si>
  <si>
    <t>Sao Leopoldo</t>
  </si>
  <si>
    <t>Carmak Revenda Loc de Maq e Veic Ltda</t>
  </si>
  <si>
    <t>28414 02 B</t>
  </si>
  <si>
    <t>Centralsul Ltda</t>
  </si>
  <si>
    <t>29134 02 C</t>
  </si>
  <si>
    <t>29009 04 F</t>
  </si>
  <si>
    <t>Coop Central de Coop Unimed Rio Grande o</t>
  </si>
  <si>
    <t>29079 02 C</t>
  </si>
  <si>
    <t>Hafele Brasil Ltda</t>
  </si>
  <si>
    <t>Piraquara</t>
  </si>
  <si>
    <t>29212 01 B</t>
  </si>
  <si>
    <t>28753 00 E</t>
  </si>
  <si>
    <t>28470 03 D</t>
  </si>
  <si>
    <t>28134 05 I</t>
  </si>
  <si>
    <t>Quality Imoveis e Logistica Ltda</t>
  </si>
  <si>
    <t>40% na Conf. e Saldo 28ddf</t>
  </si>
  <si>
    <t>sa681</t>
  </si>
  <si>
    <t>Americanas S.A</t>
  </si>
  <si>
    <t>29184 01 C</t>
  </si>
  <si>
    <t>P2202</t>
  </si>
  <si>
    <t>Benevides</t>
  </si>
  <si>
    <t>29185 01 C</t>
  </si>
  <si>
    <t>P2201</t>
  </si>
  <si>
    <t>28633 02 B</t>
  </si>
  <si>
    <t>sa682</t>
  </si>
  <si>
    <t>Comercial Ibiapina Ltda</t>
  </si>
  <si>
    <t>Pomerplast Ind e Com de Plasticos Ltda</t>
  </si>
  <si>
    <t>Pomerode</t>
  </si>
  <si>
    <t>29299 00 B</t>
  </si>
  <si>
    <t>Itai</t>
  </si>
  <si>
    <t>sa685</t>
  </si>
  <si>
    <t>sa683</t>
  </si>
  <si>
    <t>sa684</t>
  </si>
  <si>
    <t>22081 00 A</t>
  </si>
  <si>
    <t>Cromo Com e Dist de Mat Odonto-hospitala</t>
  </si>
  <si>
    <t>28504 02 C</t>
  </si>
  <si>
    <t>Ottobock Ind Com Imp Exp de Prod Orto e</t>
  </si>
  <si>
    <t>Vinhedo</t>
  </si>
  <si>
    <t>28523 00 D</t>
  </si>
  <si>
    <t>27471 03 E</t>
  </si>
  <si>
    <t>28432 00 C</t>
  </si>
  <si>
    <t>sa686</t>
  </si>
  <si>
    <t>sa687</t>
  </si>
  <si>
    <t>22224 02 E</t>
  </si>
  <si>
    <t>Brasil Port Log Offshore e Estal Naval</t>
  </si>
  <si>
    <t>Sao Joao da Barra</t>
  </si>
  <si>
    <t>28995 01 B</t>
  </si>
  <si>
    <t>Industria de Pecas Inpel S/A</t>
  </si>
  <si>
    <t>29275 00 B</t>
  </si>
  <si>
    <t>Trop Frutas do Brasil Ltda</t>
  </si>
  <si>
    <t>Lavras</t>
  </si>
  <si>
    <t>sa688</t>
  </si>
  <si>
    <t>Coop de Con dos Particip da Rede Farmes</t>
  </si>
  <si>
    <t>29192 02 B</t>
  </si>
  <si>
    <t>sa692</t>
  </si>
  <si>
    <t>sa690</t>
  </si>
  <si>
    <t>sa693</t>
  </si>
  <si>
    <t>sa689</t>
  </si>
  <si>
    <t>sa694</t>
  </si>
  <si>
    <t>Snf Brasil Comercial Química Eireli</t>
  </si>
  <si>
    <t>17127 04 F</t>
  </si>
  <si>
    <t>Confeccoes Kacyumara Ltda</t>
  </si>
  <si>
    <t>Brusque</t>
  </si>
  <si>
    <t>28473 01 B</t>
  </si>
  <si>
    <t>Lajeado</t>
  </si>
  <si>
    <t>Polobrio Comercio de Mat de Limpeza Ltda</t>
  </si>
  <si>
    <t>29295 01 B</t>
  </si>
  <si>
    <t>Prysmian Cabos e Sistemas do Brasil S.A</t>
  </si>
  <si>
    <t>28411 03 D</t>
  </si>
  <si>
    <t>Colgate Palmolive Comercial Ltda</t>
  </si>
  <si>
    <t>26542 00 D</t>
  </si>
  <si>
    <t>sa695</t>
  </si>
  <si>
    <t>sa696</t>
  </si>
  <si>
    <t>Sul Doces Distribuidora Ltda.</t>
  </si>
  <si>
    <t>29394 02 B</t>
  </si>
  <si>
    <t>sa697</t>
  </si>
  <si>
    <t>sa698</t>
  </si>
  <si>
    <t>27187 01 C</t>
  </si>
  <si>
    <t>Bbh Indústria de Máquinas Ltda</t>
  </si>
  <si>
    <t>Campos Novos</t>
  </si>
  <si>
    <t>28565 03 C</t>
  </si>
  <si>
    <t>Tramontina Eletrik S/A</t>
  </si>
  <si>
    <t>29377 01 B</t>
  </si>
  <si>
    <t>28675 04 H</t>
  </si>
  <si>
    <t>Videolar Innova S.A</t>
  </si>
  <si>
    <t>28211 00 C</t>
  </si>
  <si>
    <t>07 dias restantes no mês</t>
  </si>
  <si>
    <t>sa699</t>
  </si>
  <si>
    <t>Bio-art- Equip Odontologicos Ltda</t>
  </si>
  <si>
    <t>29444 02 C</t>
  </si>
  <si>
    <t>Catalent Brasil Ltda</t>
  </si>
  <si>
    <t>21117 04 E</t>
  </si>
  <si>
    <t>007962/1</t>
  </si>
  <si>
    <t>29141 01 D</t>
  </si>
  <si>
    <t>28/56/84/112 DDF S/juros</t>
  </si>
  <si>
    <t>Peter Chemical Industrial e Comercial Ei</t>
  </si>
  <si>
    <t>Novo Hamburgo</t>
  </si>
  <si>
    <t>29266 00 B</t>
  </si>
  <si>
    <t>sa700</t>
  </si>
  <si>
    <t>Cuiaba</t>
  </si>
  <si>
    <t>29050 01 B</t>
  </si>
  <si>
    <t>DRIVE 22 semanas</t>
  </si>
  <si>
    <t>PP1 + PP2 16 semanas</t>
  </si>
  <si>
    <t>FLOW RACK 29 semanas</t>
  </si>
  <si>
    <t>DIN + PUSH 35 semanas</t>
  </si>
  <si>
    <t>PP3 14 semanas</t>
  </si>
  <si>
    <t>OUTROS 29 semanas</t>
  </si>
  <si>
    <t>Nestle Brasil Ltda</t>
  </si>
  <si>
    <t>Ibia</t>
  </si>
  <si>
    <t>29565 00 A</t>
  </si>
  <si>
    <t>Sk Automotive Distribuidora de Autopecas</t>
  </si>
  <si>
    <t>29077 02 C</t>
  </si>
  <si>
    <t>28705 02 D</t>
  </si>
  <si>
    <t>Mec G Store Ltda</t>
  </si>
  <si>
    <t>Santo Andre</t>
  </si>
  <si>
    <t>29453 01 C</t>
  </si>
  <si>
    <t>Paumar S.A - Industria e Comercio</t>
  </si>
  <si>
    <t>28792 00 D</t>
  </si>
  <si>
    <t>sa701</t>
  </si>
  <si>
    <t>Kopell Distribuicao e Logistica Ltda</t>
  </si>
  <si>
    <t>29445 02 C</t>
  </si>
  <si>
    <t>sa703</t>
  </si>
  <si>
    <t>sa702</t>
  </si>
  <si>
    <t>29375 02 B</t>
  </si>
  <si>
    <t>Coop Triticola de Espumoso Ltda Cotriel</t>
  </si>
  <si>
    <t>Espumoso</t>
  </si>
  <si>
    <t>29214 00 B</t>
  </si>
  <si>
    <t>Duas Rodas Industrial Ltda</t>
  </si>
  <si>
    <t>29506 01 A</t>
  </si>
  <si>
    <t>29507 01 B</t>
  </si>
  <si>
    <t>29641 01 A</t>
  </si>
  <si>
    <t>Lm Grafica e Editora Eireli</t>
  </si>
  <si>
    <t>29483 01 A</t>
  </si>
  <si>
    <t>Moinho Estrela Ltda</t>
  </si>
  <si>
    <t>29437 00 B</t>
  </si>
  <si>
    <t>Actos Comercio Importacao e Exportacao</t>
  </si>
  <si>
    <t>29521 01 B</t>
  </si>
  <si>
    <t>40% Cofirmação / Saldo 30/60</t>
  </si>
  <si>
    <t>AUT1</t>
  </si>
  <si>
    <t>Prime Agro Produtos Agricolas Ltda</t>
  </si>
  <si>
    <t>29428 03 C</t>
  </si>
  <si>
    <t>Raia Drogasil S.A</t>
  </si>
  <si>
    <t>28747 05 F</t>
  </si>
  <si>
    <t>sa704</t>
  </si>
  <si>
    <t>Ferreira Costa &amp; Cia Ltda</t>
  </si>
  <si>
    <t>Industrias Reunidas Raymundo da Fonte S.</t>
  </si>
  <si>
    <t>26792 03 I</t>
  </si>
  <si>
    <t>Mercado do Sabor Comercio de Alimentos</t>
  </si>
  <si>
    <t>Fortaleza</t>
  </si>
  <si>
    <t>29477 02 C</t>
  </si>
  <si>
    <t>29385 01 A</t>
  </si>
  <si>
    <t>Corelog Logistica Ltda</t>
  </si>
  <si>
    <t>28462 04 D</t>
  </si>
  <si>
    <t>Soudal Brasil Ind e Com de Prod Quimcos</t>
  </si>
  <si>
    <t>29219 02 C</t>
  </si>
  <si>
    <t>29169 04 D</t>
  </si>
  <si>
    <t>Servicos Avancados de Proc de Solidos</t>
  </si>
  <si>
    <t>Nazare Paulista</t>
  </si>
  <si>
    <t>28239 04 E</t>
  </si>
  <si>
    <t>Casajoli Comercio de Bebidas Ltda</t>
  </si>
  <si>
    <t>Canela</t>
  </si>
  <si>
    <t>27182 02 B</t>
  </si>
  <si>
    <t>Guaicara</t>
  </si>
  <si>
    <t>27989 02 D</t>
  </si>
  <si>
    <t>JBS-46667195</t>
  </si>
  <si>
    <t>Krona Tubos e Conexoes do Nordeste Ltda</t>
  </si>
  <si>
    <t>Marechal Deodoro</t>
  </si>
  <si>
    <t>28052 02 D</t>
  </si>
  <si>
    <t>sa715</t>
  </si>
  <si>
    <t>sa706</t>
  </si>
  <si>
    <t>sa710</t>
  </si>
  <si>
    <t>sa705</t>
  </si>
  <si>
    <t>sa707</t>
  </si>
  <si>
    <t>sa713</t>
  </si>
  <si>
    <t>Vinicola Geisse Ltda</t>
  </si>
  <si>
    <t>Pinto Bandeira</t>
  </si>
  <si>
    <t>29213 02 C</t>
  </si>
  <si>
    <t>Mig Plus Agroindustrial Ltda</t>
  </si>
  <si>
    <t>Casca</t>
  </si>
  <si>
    <t>29594 00 B</t>
  </si>
  <si>
    <t>29042 00 B</t>
  </si>
  <si>
    <t>Nortel Suprimentos Industriais Ltda</t>
  </si>
  <si>
    <t>28163 01 B</t>
  </si>
  <si>
    <t>Weg Linhares Equipamentos Eletricos S.A</t>
  </si>
  <si>
    <t>29402 00 B</t>
  </si>
  <si>
    <t>E M K Comercial Ltda</t>
  </si>
  <si>
    <t>29304 00 B</t>
  </si>
  <si>
    <t>APT1</t>
  </si>
  <si>
    <t>27363 00 E</t>
  </si>
  <si>
    <t>24990 01 D</t>
  </si>
  <si>
    <t>Ituiutaba</t>
  </si>
  <si>
    <t>26825 04 H</t>
  </si>
  <si>
    <t>sa708</t>
  </si>
  <si>
    <t>sa709</t>
  </si>
  <si>
    <t>29462 00 A</t>
  </si>
  <si>
    <t>29165 01 E</t>
  </si>
  <si>
    <t>sa722</t>
  </si>
  <si>
    <t>Wise Plasticos S.A</t>
  </si>
  <si>
    <t>Itatiba</t>
  </si>
  <si>
    <t>29255 00 B</t>
  </si>
  <si>
    <t>073994/1</t>
  </si>
  <si>
    <t>sa720</t>
  </si>
  <si>
    <t>Box Distribuidor Ltda</t>
  </si>
  <si>
    <t>29679 01 B</t>
  </si>
  <si>
    <t>30%conf. e Saldo 28/56/84 Ddf</t>
  </si>
  <si>
    <t>Plastsul Industria de Embalagens Plastic</t>
  </si>
  <si>
    <t>Getulio Vargas</t>
  </si>
  <si>
    <t>29610 01 B</t>
  </si>
  <si>
    <t>sa721</t>
  </si>
  <si>
    <t>sa718</t>
  </si>
  <si>
    <t>Alminhana Com. e Representacoes Ltda</t>
  </si>
  <si>
    <t>29491 00 B</t>
  </si>
  <si>
    <t>sa724</t>
  </si>
  <si>
    <t>Comercial Delpupo Ltda</t>
  </si>
  <si>
    <t>Afonso Claudio</t>
  </si>
  <si>
    <t>Donizete Distribuidora de Alimentos Ltda</t>
  </si>
  <si>
    <t>Eusebio</t>
  </si>
  <si>
    <t>29545 00 D</t>
  </si>
  <si>
    <t>Focalle - Engenharia Viaria Ltda</t>
  </si>
  <si>
    <t>Florianopolis</t>
  </si>
  <si>
    <t>29276 03 D</t>
  </si>
  <si>
    <t>sa725</t>
  </si>
  <si>
    <t>sa717</t>
  </si>
  <si>
    <t>sa716</t>
  </si>
  <si>
    <t>Aviz Alimentos Ltda</t>
  </si>
  <si>
    <t>29389 01 C</t>
  </si>
  <si>
    <t>30%conf 30%14ddf Saldo28/56ddf</t>
  </si>
  <si>
    <t>sa719</t>
  </si>
  <si>
    <t>Adama Brasil S.A</t>
  </si>
  <si>
    <t>Taquari</t>
  </si>
  <si>
    <t>29597 00 A</t>
  </si>
  <si>
    <t>Cargill Agricola S.A</t>
  </si>
  <si>
    <t>29671 00 A</t>
  </si>
  <si>
    <t>26780 00 C</t>
  </si>
  <si>
    <t>Poli Logistica Ltda</t>
  </si>
  <si>
    <t>29672 03 D</t>
  </si>
  <si>
    <t>29808 02 C</t>
  </si>
  <si>
    <t>29780 00 B</t>
  </si>
  <si>
    <t>Instituto Pasteur de Cosmiatria Ltda</t>
  </si>
  <si>
    <t>29202 02 C</t>
  </si>
  <si>
    <t>Plasticos Vernier Eireli Epp</t>
  </si>
  <si>
    <t>sa726</t>
  </si>
  <si>
    <t>Basso &amp; Pancotte Ltda</t>
  </si>
  <si>
    <t>Sumare</t>
  </si>
  <si>
    <t>28996 06 F</t>
  </si>
  <si>
    <t>(nova Veneza)</t>
  </si>
  <si>
    <t>29774 01 B</t>
  </si>
  <si>
    <t>Mueller Eletrodomesticos Ltda</t>
  </si>
  <si>
    <t>Timbo</t>
  </si>
  <si>
    <t>29575 02 B</t>
  </si>
  <si>
    <t>Plasticos Suzuki Ltda</t>
  </si>
  <si>
    <t>Estancia Velha</t>
  </si>
  <si>
    <t>29691 02 B</t>
  </si>
  <si>
    <t>Sun Chemical do Brasil Ltda</t>
  </si>
  <si>
    <t>29516 01 B</t>
  </si>
  <si>
    <t>Thk Brasil Industria e Comercio Ltda</t>
  </si>
  <si>
    <t>29308 01 B</t>
  </si>
  <si>
    <t>3748/2022</t>
  </si>
  <si>
    <t>Tramontina Nordeste S/A</t>
  </si>
  <si>
    <t>29826 00 A</t>
  </si>
  <si>
    <t>Empresa Luz e Força Santa Maria S/A</t>
  </si>
  <si>
    <t>28651 01 B</t>
  </si>
  <si>
    <t>29766 01 A</t>
  </si>
  <si>
    <t>28894 01 B</t>
  </si>
  <si>
    <t>Luminescence Ltda</t>
  </si>
  <si>
    <t>29645 01 B</t>
  </si>
  <si>
    <t>agosto_2020</t>
  </si>
  <si>
    <t>janeiro_2020</t>
  </si>
  <si>
    <t>março_2020</t>
  </si>
  <si>
    <t>outubro_2020</t>
  </si>
  <si>
    <t>Direto Aço - Matriz</t>
  </si>
  <si>
    <t>Bertolini S.A</t>
  </si>
  <si>
    <t>O</t>
  </si>
  <si>
    <t>sa466</t>
  </si>
  <si>
    <t>Detalhamento</t>
  </si>
  <si>
    <t>sat221</t>
  </si>
  <si>
    <t>Causas Nao Identificadas</t>
  </si>
  <si>
    <t>Fabrica / Separacao</t>
  </si>
  <si>
    <t>Montagem</t>
  </si>
  <si>
    <t>Comercial / Pedido</t>
  </si>
  <si>
    <t>sat234</t>
  </si>
  <si>
    <t>sa574</t>
  </si>
  <si>
    <t>Envio de Material de Venda</t>
  </si>
  <si>
    <t>sat240</t>
  </si>
  <si>
    <t>Bertolini S/A</t>
  </si>
  <si>
    <t>T</t>
  </si>
  <si>
    <t>sa350</t>
  </si>
  <si>
    <t>Rs</t>
  </si>
  <si>
    <t>sa413</t>
  </si>
  <si>
    <t>sa516</t>
  </si>
  <si>
    <t>sat257</t>
  </si>
  <si>
    <t>Feral S.a.</t>
  </si>
  <si>
    <t>sat254</t>
  </si>
  <si>
    <t>Refaturamento</t>
  </si>
  <si>
    <t>Tramontina Teec S/A</t>
  </si>
  <si>
    <t>Calculo</t>
  </si>
  <si>
    <t>sat261</t>
  </si>
  <si>
    <t>sat262</t>
  </si>
  <si>
    <t>BSM1</t>
  </si>
  <si>
    <t>sat267</t>
  </si>
  <si>
    <t>Brindes</t>
  </si>
  <si>
    <t>dri1</t>
  </si>
  <si>
    <t>sat265</t>
  </si>
  <si>
    <t>sat268</t>
  </si>
  <si>
    <t>dri2</t>
  </si>
  <si>
    <t>sat271</t>
  </si>
  <si>
    <t>Din1</t>
  </si>
  <si>
    <t>sa728</t>
  </si>
  <si>
    <t>Arezzo Industria e Comercio S.A</t>
  </si>
  <si>
    <t>sa727</t>
  </si>
  <si>
    <t>Embotteladoras Bolivianas Unidas S/a</t>
  </si>
  <si>
    <t>25471 00 C</t>
  </si>
  <si>
    <t>Coop Triticola Reg Saoluizense Ltda</t>
  </si>
  <si>
    <t>Sao Luiz Gonzaga</t>
  </si>
  <si>
    <t>29553 00 B</t>
  </si>
  <si>
    <t>Postall Transporte Armazenagem Ltda</t>
  </si>
  <si>
    <t>28559 02 F</t>
  </si>
  <si>
    <t>28220 04 E</t>
  </si>
  <si>
    <t>KANBAN BSA</t>
  </si>
  <si>
    <t>PERFIL  TESTE</t>
  </si>
  <si>
    <t>sa53</t>
  </si>
  <si>
    <t>1 DDF Com 12% de Acréscimo</t>
  </si>
  <si>
    <t>Grupo Bertolini</t>
  </si>
  <si>
    <t>aa3579</t>
  </si>
  <si>
    <t>sa378</t>
  </si>
  <si>
    <t>sa394</t>
  </si>
  <si>
    <t>BIOMBOS PARA SOLDA</t>
  </si>
  <si>
    <t>SA207</t>
  </si>
  <si>
    <t>sa295</t>
  </si>
  <si>
    <t>PROTÓTIPO RENNER</t>
  </si>
  <si>
    <t>sa40</t>
  </si>
  <si>
    <t>Gravomark Comercio de Equipamentos Indu.</t>
  </si>
  <si>
    <t>Correios- Colatina</t>
  </si>
  <si>
    <t>17695 07 G</t>
  </si>
  <si>
    <t>sa431</t>
  </si>
  <si>
    <t>22593 08 G</t>
  </si>
  <si>
    <t>29897 00 A</t>
  </si>
  <si>
    <t>Brinox Metalurgica S.A</t>
  </si>
  <si>
    <t>28732 00 A</t>
  </si>
  <si>
    <t>Hublog Solucoes Logisticas Eireli</t>
  </si>
  <si>
    <t>Vitoria</t>
  </si>
  <si>
    <t>sat278</t>
  </si>
  <si>
    <t>sat281</t>
  </si>
  <si>
    <t>sa729</t>
  </si>
  <si>
    <t>sa732</t>
  </si>
  <si>
    <t>Agro-comercial Afubra Ltda</t>
  </si>
  <si>
    <t>Imbituva</t>
  </si>
  <si>
    <t>29871 01 B</t>
  </si>
  <si>
    <t>sa731</t>
  </si>
  <si>
    <t>sa730</t>
  </si>
  <si>
    <t>sa733</t>
  </si>
  <si>
    <t>Chapeco</t>
  </si>
  <si>
    <t>29324 00 A</t>
  </si>
  <si>
    <t>Merck S.A</t>
  </si>
  <si>
    <t>29157 00 A</t>
  </si>
  <si>
    <t>New Horizon Comercial Ltda</t>
  </si>
  <si>
    <t>29700 00 B</t>
  </si>
  <si>
    <t>29599 00 A</t>
  </si>
  <si>
    <t>Ventos de Sao Joaquim Energias Renovavei</t>
  </si>
  <si>
    <t>Varzea Nova</t>
  </si>
  <si>
    <t>29593 01 D</t>
  </si>
  <si>
    <t>29830 01 A</t>
  </si>
  <si>
    <t>P2201/2</t>
  </si>
  <si>
    <t>29268 03 C</t>
  </si>
  <si>
    <t>P2202/2</t>
  </si>
  <si>
    <t>29881 00 B</t>
  </si>
  <si>
    <t>Dexco S.A</t>
  </si>
  <si>
    <t>26593 01 C</t>
  </si>
  <si>
    <t>29904 01 A</t>
  </si>
  <si>
    <t>Gr Ind e Com de Produtos Quimicos S.A</t>
  </si>
  <si>
    <t>29508 01 B</t>
  </si>
  <si>
    <t>Zobele do Brasil Ltda</t>
  </si>
  <si>
    <t>29636 00 B</t>
  </si>
  <si>
    <t>Xaxim</t>
  </si>
  <si>
    <t>29125 00 B</t>
  </si>
  <si>
    <t>sat283</t>
  </si>
  <si>
    <t>Suzano S.A</t>
  </si>
  <si>
    <t>Tres Lagoas</t>
  </si>
  <si>
    <t>29187 00 C</t>
  </si>
  <si>
    <t>Area Industrial</t>
  </si>
  <si>
    <t>Apolo Import S.a.</t>
  </si>
  <si>
    <t>Ciudad Del Este</t>
  </si>
  <si>
    <t>27247 00 B</t>
  </si>
  <si>
    <t>sa737</t>
  </si>
  <si>
    <t>J C Parro &amp; Cia Ltda</t>
  </si>
  <si>
    <t>Sao Lourenco Cianorte</t>
  </si>
  <si>
    <t>29971 01 A</t>
  </si>
  <si>
    <t>20626 00 C</t>
  </si>
  <si>
    <t>Imporiente Comercio Exterior Ltda</t>
  </si>
  <si>
    <t>29668 02 C</t>
  </si>
  <si>
    <t>sa738</t>
  </si>
  <si>
    <t>Uniar Com de Eletro-eletronicos e Servic</t>
  </si>
  <si>
    <t>29918 01 A</t>
  </si>
  <si>
    <t>sa736</t>
  </si>
  <si>
    <t>A L Sul Com de Comp para Calcados Ltda</t>
  </si>
  <si>
    <t>Igrejinha</t>
  </si>
  <si>
    <t>29751 01 B</t>
  </si>
  <si>
    <t>sa734</t>
  </si>
  <si>
    <t>84594/1</t>
  </si>
  <si>
    <t>Bristol Ind de Maq Comercio, Imp e Exp</t>
  </si>
  <si>
    <t>Sao Jeronimo</t>
  </si>
  <si>
    <t>29353 02 C</t>
  </si>
  <si>
    <t>29094 00 D</t>
  </si>
  <si>
    <t>14/28/56/84ddf</t>
  </si>
  <si>
    <t>Ferkoda S/A Artefatos de Metais</t>
  </si>
  <si>
    <t>26976 02 D</t>
  </si>
  <si>
    <t>sa735</t>
  </si>
  <si>
    <t>Fontanella Logística</t>
  </si>
  <si>
    <t>30087 00 A</t>
  </si>
  <si>
    <t>Brf  S/A</t>
  </si>
  <si>
    <t>Dourados</t>
  </si>
  <si>
    <t>30047 00 A</t>
  </si>
  <si>
    <t>Sanofi Medley Farmaceutica Ltda</t>
  </si>
  <si>
    <t>Suzano</t>
  </si>
  <si>
    <t>29786 00 B</t>
  </si>
  <si>
    <t>E003964120</t>
  </si>
  <si>
    <t>International Ind Aut da America do Sul</t>
  </si>
  <si>
    <t>29772 00 B</t>
  </si>
  <si>
    <t>sat290</t>
  </si>
  <si>
    <t>Dan Vigor Industria e Com de Laticinios</t>
  </si>
  <si>
    <t>Barra do Pirai</t>
  </si>
  <si>
    <t>sa739</t>
  </si>
  <si>
    <t>sa740</t>
  </si>
  <si>
    <t>Brasalpla Brasil Ind. de Embalagens Ltda</t>
  </si>
  <si>
    <t>29811 01 B</t>
  </si>
  <si>
    <t>29330 03 D</t>
  </si>
  <si>
    <t>Mts Comercio e Representacoes Eireli</t>
  </si>
  <si>
    <t>22748 04 D</t>
  </si>
  <si>
    <t>sa742</t>
  </si>
  <si>
    <t>Biofhitus Laboratorio Nutraceutico Ltda</t>
  </si>
  <si>
    <t>Icara</t>
  </si>
  <si>
    <t>29816 00 C</t>
  </si>
  <si>
    <t>29970 00 C</t>
  </si>
  <si>
    <t>sa741</t>
  </si>
  <si>
    <t>Kemin Nutrisurance Nutricao Animal Ltda</t>
  </si>
  <si>
    <t>Vargeao</t>
  </si>
  <si>
    <t>28829 05 F</t>
  </si>
  <si>
    <t>Industria de Telas Metalicas Mm</t>
  </si>
  <si>
    <t>Itaquaquecetuba</t>
  </si>
  <si>
    <t>29245 01 B</t>
  </si>
  <si>
    <t>Arcelormittal Brasil S/A</t>
  </si>
  <si>
    <t>29882 00 A</t>
  </si>
  <si>
    <t>30114 00 A</t>
  </si>
  <si>
    <t>Schulz S/A</t>
  </si>
  <si>
    <t>Joinville</t>
  </si>
  <si>
    <t>29974 00 B</t>
  </si>
  <si>
    <t>Limeira</t>
  </si>
  <si>
    <t>30083 00 C</t>
  </si>
  <si>
    <t>sat291</t>
  </si>
  <si>
    <t>28713 02 C</t>
  </si>
  <si>
    <t>sa747</t>
  </si>
  <si>
    <t>Arroba Alimentos Ltda</t>
  </si>
  <si>
    <t>Rochedo de Minas</t>
  </si>
  <si>
    <t>Vitalin Alimentos Ltda</t>
  </si>
  <si>
    <t>29724 03 D</t>
  </si>
  <si>
    <t>29809 00 B</t>
  </si>
  <si>
    <t>30020 01 A</t>
  </si>
  <si>
    <t>Arcelormittal Brasil S.A</t>
  </si>
  <si>
    <t>sa743</t>
  </si>
  <si>
    <t>sa744</t>
  </si>
  <si>
    <t>sa745</t>
  </si>
  <si>
    <t>sa746</t>
  </si>
  <si>
    <t>27105 00 C</t>
  </si>
  <si>
    <t>29719 00 A</t>
  </si>
  <si>
    <t>29189 00 B</t>
  </si>
  <si>
    <t>sat293</t>
  </si>
  <si>
    <t>Daycoval Leasing - Banco Multiplo S.A</t>
  </si>
  <si>
    <t>Platlog Imp Log e Distribuicao Ltda</t>
  </si>
  <si>
    <t>30118 00 A</t>
  </si>
  <si>
    <t>Boticário Produtos de Beleza Ltda.</t>
  </si>
  <si>
    <t>Registro</t>
  </si>
  <si>
    <t>29767 00 B</t>
  </si>
  <si>
    <t>Coleta de Material</t>
  </si>
  <si>
    <t>30117 01 A</t>
  </si>
  <si>
    <t>Comercial Exp. Imp. Dist. Marc 4 Ltda</t>
  </si>
  <si>
    <t>29559 02 C</t>
  </si>
  <si>
    <t>Americana</t>
  </si>
  <si>
    <t>29769 02 E</t>
  </si>
  <si>
    <t>Coopershoes Coop de Trab e Ind de Calc J</t>
  </si>
  <si>
    <t>Morada Nova</t>
  </si>
  <si>
    <t>28377 10 H</t>
  </si>
  <si>
    <t>Cooperativa Triticola Cacapavana Ltda</t>
  </si>
  <si>
    <t>Piratini</t>
  </si>
  <si>
    <t>30058 01 B</t>
  </si>
  <si>
    <t>Forte Distribuição e Logística do Brasil</t>
  </si>
  <si>
    <t>Itajai</t>
  </si>
  <si>
    <t>Nissin Foods do Brasil Ltda</t>
  </si>
  <si>
    <t>Gloria do Goita</t>
  </si>
  <si>
    <t>28385 01 E</t>
  </si>
  <si>
    <t>29953 01 B</t>
  </si>
  <si>
    <t>Rio Quality Com.de Alimentos Ltda</t>
  </si>
  <si>
    <t>29867 00 A</t>
  </si>
  <si>
    <t>Supermercado Silveira Ltda</t>
  </si>
  <si>
    <t>Garopaba</t>
  </si>
  <si>
    <t>29896 02 B</t>
  </si>
  <si>
    <t>30%conf./saldo 14/28/56 Ddf</t>
  </si>
  <si>
    <t>30134 00 B</t>
  </si>
  <si>
    <t>Tiendas Industiales Asociadas Tia S.a.</t>
  </si>
  <si>
    <t>Guayaquil</t>
  </si>
  <si>
    <t>29805 00 C</t>
  </si>
  <si>
    <t>sa748</t>
  </si>
  <si>
    <t>Cuias Fracari Industria e Comercio Ltda</t>
  </si>
  <si>
    <t>Santa Maria</t>
  </si>
  <si>
    <t>30055 01 B</t>
  </si>
  <si>
    <t>29650 01 B</t>
  </si>
  <si>
    <t>25951 01 B</t>
  </si>
  <si>
    <t>28499 01 C</t>
  </si>
  <si>
    <t>28500 03 D</t>
  </si>
  <si>
    <t>Goiasminas Ind de Laticinios Ltda</t>
  </si>
  <si>
    <t>28014 00 C</t>
  </si>
  <si>
    <t>F50413</t>
  </si>
  <si>
    <t>PCP</t>
  </si>
  <si>
    <t>DRT</t>
  </si>
  <si>
    <t>PSH2</t>
  </si>
  <si>
    <t>MEZ2</t>
  </si>
  <si>
    <t>TRL1</t>
  </si>
  <si>
    <t>TEL1</t>
  </si>
  <si>
    <t>Comercial</t>
  </si>
  <si>
    <t>Engenharia do Produto</t>
  </si>
  <si>
    <t>Fábrica</t>
  </si>
  <si>
    <t>Expedição</t>
  </si>
  <si>
    <t>Estrutura</t>
  </si>
  <si>
    <t>Planejamento (MRP)</t>
  </si>
  <si>
    <t>Total (dias)</t>
  </si>
  <si>
    <t>Total (semanas)</t>
  </si>
  <si>
    <t>Para um pedido na faixa de 50 - 75 toneladas com acabamento Pintado e/ou Galvanizado</t>
  </si>
  <si>
    <t>sat294</t>
  </si>
  <si>
    <t>sa749</t>
  </si>
  <si>
    <t>Agti Empreendimentos Ltda</t>
  </si>
  <si>
    <t>29222 01 B</t>
  </si>
  <si>
    <t>Tims</t>
  </si>
  <si>
    <t>Diagnosticos Laboratoriais Especializada</t>
  </si>
  <si>
    <t>Vespasiano</t>
  </si>
  <si>
    <t>29523 01 C</t>
  </si>
  <si>
    <t>Adimax Industria e Comercio de Alimentos</t>
  </si>
  <si>
    <t>Salto de Pirapora</t>
  </si>
  <si>
    <t>C&amp;a Modas S.A</t>
  </si>
  <si>
    <t>29459 03 D</t>
  </si>
  <si>
    <t>Viton 44 Ind Com e Exp de Alimentos Ltda</t>
  </si>
  <si>
    <t>29730 01 B</t>
  </si>
  <si>
    <t>Ortomobil Industria e Comercio Ltda</t>
  </si>
  <si>
    <t>Sao Pedro da Serra</t>
  </si>
  <si>
    <t>29832 03 C</t>
  </si>
  <si>
    <t>Transcol Transportes e Logistica Ltda</t>
  </si>
  <si>
    <t>Rio Verde</t>
  </si>
  <si>
    <t>29693 03 B</t>
  </si>
  <si>
    <t>Frigorifico Nordeste Alimentos Ltda</t>
  </si>
  <si>
    <t>Teixeira de Freitas</t>
  </si>
  <si>
    <t>29779 03 C</t>
  </si>
  <si>
    <t>29752 00 A</t>
  </si>
  <si>
    <t>Fantasia</t>
  </si>
  <si>
    <t>Soma de PBR Saldo</t>
  </si>
  <si>
    <t>Bertolini Bsa</t>
  </si>
  <si>
    <t>Frimesa Cooperativa</t>
  </si>
  <si>
    <t>Cirne Irmaos &amp; Cia</t>
  </si>
  <si>
    <t>Fedex Brasil</t>
  </si>
  <si>
    <t>Bertolini S/A Rs</t>
  </si>
  <si>
    <t>Frisa</t>
  </si>
  <si>
    <t>Fmc Technologies</t>
  </si>
  <si>
    <t>Unimed Natal</t>
  </si>
  <si>
    <t>Monsanto do Brasil</t>
  </si>
  <si>
    <t>Leroy Merlin</t>
  </si>
  <si>
    <t>Marfrig</t>
  </si>
  <si>
    <t>Friovix</t>
  </si>
  <si>
    <t>Industrias Reunidas</t>
  </si>
  <si>
    <t>Sao Joao Farmacias</t>
  </si>
  <si>
    <t>Botica Comercial Far</t>
  </si>
  <si>
    <t>Corteva Agriscience</t>
  </si>
  <si>
    <t>Farias Log</t>
  </si>
  <si>
    <t>Imd Comercio de Mov</t>
  </si>
  <si>
    <t>Castelo Alimentos</t>
  </si>
  <si>
    <t>Weg Equip.</t>
  </si>
  <si>
    <t>Kimberly - Clark</t>
  </si>
  <si>
    <t>Cargill de Honduras</t>
  </si>
  <si>
    <t>Embotelladoras Bol</t>
  </si>
  <si>
    <t>Pescados do Porto</t>
  </si>
  <si>
    <t>Farmarin</t>
  </si>
  <si>
    <t>Kley Hartz</t>
  </si>
  <si>
    <t>Embotteladoras Unid</t>
  </si>
  <si>
    <t>A D M</t>
  </si>
  <si>
    <t>Cargill</t>
  </si>
  <si>
    <t>Jbc Materias de Cons</t>
  </si>
  <si>
    <t>Contabilista</t>
  </si>
  <si>
    <t>Segala's</t>
  </si>
  <si>
    <t>Avicola Sofia</t>
  </si>
  <si>
    <t>Brf</t>
  </si>
  <si>
    <t>Technip</t>
  </si>
  <si>
    <t>Coopeavi</t>
  </si>
  <si>
    <t>Imb Textil</t>
  </si>
  <si>
    <t>Iccap Implementos</t>
  </si>
  <si>
    <t>Ccl Industries do Br</t>
  </si>
  <si>
    <t>Metalurgica Mor</t>
  </si>
  <si>
    <t>Panvel</t>
  </si>
  <si>
    <t>Ivacir Barp e Cia Lt</t>
  </si>
  <si>
    <t>Copal Alimentos</t>
  </si>
  <si>
    <t>Fedex do Brasil</t>
  </si>
  <si>
    <t>Rud Correntes Ind</t>
  </si>
  <si>
    <t>Ts Tech</t>
  </si>
  <si>
    <t>Aqualis</t>
  </si>
  <si>
    <t>Agro Comercial Afubr</t>
  </si>
  <si>
    <t>Eletroleste</t>
  </si>
  <si>
    <t>Continental Camaçari</t>
  </si>
  <si>
    <t>Gypsum Mineração</t>
  </si>
  <si>
    <t>Up Distribuidora</t>
  </si>
  <si>
    <t>Clarios Energy Solut</t>
  </si>
  <si>
    <t>Brasalpla</t>
  </si>
  <si>
    <t>Mustang</t>
  </si>
  <si>
    <t>Atacado Uniao</t>
  </si>
  <si>
    <t>Cia Insutrial H, Car</t>
  </si>
  <si>
    <t>Iochpe Maxion</t>
  </si>
  <si>
    <t>Marca Agro</t>
  </si>
  <si>
    <t>Transportes e Armaze</t>
  </si>
  <si>
    <t>Abt Comercial Eletri</t>
  </si>
  <si>
    <t>Fortlev</t>
  </si>
  <si>
    <t>Thyssenkrupp</t>
  </si>
  <si>
    <t>Mineracao Morro do I</t>
  </si>
  <si>
    <t>Rm Artigos Funerario</t>
  </si>
  <si>
    <t>Coop Central Unimed</t>
  </si>
  <si>
    <t>Fiotec Fund</t>
  </si>
  <si>
    <t>Top Alto</t>
  </si>
  <si>
    <t>P&amp;g</t>
  </si>
  <si>
    <t>M K Locacoes</t>
  </si>
  <si>
    <t>Metalurgica Fey</t>
  </si>
  <si>
    <t>Quality Imoveis</t>
  </si>
  <si>
    <t>Carmak Revenda</t>
  </si>
  <si>
    <t>Comercial Ibiapina</t>
  </si>
  <si>
    <t>Industrias de Aceite</t>
  </si>
  <si>
    <t>Ottobock</t>
  </si>
  <si>
    <t>Inpel</t>
  </si>
  <si>
    <t>Coopfarmes</t>
  </si>
  <si>
    <t>Snf Brasil</t>
  </si>
  <si>
    <t>Confeccoes Kacyumara</t>
  </si>
  <si>
    <t>Prysmian Cabos</t>
  </si>
  <si>
    <t>Sul Doces Distribuid</t>
  </si>
  <si>
    <t>Bbh Indústria</t>
  </si>
  <si>
    <t>Forjasul</t>
  </si>
  <si>
    <t>Catalent Brasil</t>
  </si>
  <si>
    <t>Dass Nordeste</t>
  </si>
  <si>
    <t>Bio Art Equip.</t>
  </si>
  <si>
    <t>Toyota</t>
  </si>
  <si>
    <t>Peter Chemical</t>
  </si>
  <si>
    <t>Lm Grafica e Editora</t>
  </si>
  <si>
    <t>Basso &amp; Pancotte</t>
  </si>
  <si>
    <t>Kopell Distribuicao</t>
  </si>
  <si>
    <t>Moinho Estrela</t>
  </si>
  <si>
    <t>Duas Rodas</t>
  </si>
  <si>
    <t>Prime Agro</t>
  </si>
  <si>
    <t>Actos</t>
  </si>
  <si>
    <t>Paumar S.A</t>
  </si>
  <si>
    <t>Mercado do Sabor</t>
  </si>
  <si>
    <t>Saps Servicos Ltda</t>
  </si>
  <si>
    <t>Casajoli Comercio</t>
  </si>
  <si>
    <t>Soudal Brasil</t>
  </si>
  <si>
    <t>Arezzo Industria e C</t>
  </si>
  <si>
    <t>Ferreira Costa</t>
  </si>
  <si>
    <t>Krona</t>
  </si>
  <si>
    <t>Mig Plus</t>
  </si>
  <si>
    <t>E M K Comercial</t>
  </si>
  <si>
    <t>Nortel</t>
  </si>
  <si>
    <t>Box Distribuidor</t>
  </si>
  <si>
    <t>Plastsul</t>
  </si>
  <si>
    <t>Comercial Delpupo</t>
  </si>
  <si>
    <t>Focalle - Engenharia</t>
  </si>
  <si>
    <t>Donizete</t>
  </si>
  <si>
    <t>Wise Plasticos</t>
  </si>
  <si>
    <t>Alminhana</t>
  </si>
  <si>
    <t>Instituto Pasteur</t>
  </si>
  <si>
    <t>Mueller</t>
  </si>
  <si>
    <t>Tramontina Nordeste</t>
  </si>
  <si>
    <t>Thk Brasil</t>
  </si>
  <si>
    <t>Plasticos Suzuki</t>
  </si>
  <si>
    <t>Sun Chemical do Bras</t>
  </si>
  <si>
    <t>Tramontina Garibaldi</t>
  </si>
  <si>
    <t>Coopatrigo</t>
  </si>
  <si>
    <t>Postall</t>
  </si>
  <si>
    <t>Hublog Solucoes</t>
  </si>
  <si>
    <t>Ventos de Sao Joaqui</t>
  </si>
  <si>
    <t>Bunge Alimentos</t>
  </si>
  <si>
    <t>Agro-comercial Afubr</t>
  </si>
  <si>
    <t>Gr Ind e Com de Prod</t>
  </si>
  <si>
    <t>Zobele do Brasil</t>
  </si>
  <si>
    <t>Bristol</t>
  </si>
  <si>
    <t>Uniar</t>
  </si>
  <si>
    <t>Imporiente Comercio</t>
  </si>
  <si>
    <t>A L Sul</t>
  </si>
  <si>
    <t>Dan Vigor</t>
  </si>
  <si>
    <t>Calamo Dist de Produ</t>
  </si>
  <si>
    <t>Ticona Polymers</t>
  </si>
  <si>
    <t>PBR a produzir</t>
  </si>
  <si>
    <t>Kg a Produzir</t>
  </si>
  <si>
    <t>Kemin</t>
  </si>
  <si>
    <t>Vitalin</t>
  </si>
  <si>
    <t>Nissin</t>
  </si>
  <si>
    <t>Evviva Filial</t>
  </si>
  <si>
    <t>Medchap</t>
  </si>
  <si>
    <t>Nilo Maia</t>
  </si>
  <si>
    <t>Trigo &amp; Cia</t>
  </si>
  <si>
    <t>Segura Transportes</t>
  </si>
  <si>
    <t>Glaxosmithkline</t>
  </si>
  <si>
    <t>Cdnl Administracao</t>
  </si>
  <si>
    <t>Blutrade</t>
  </si>
  <si>
    <t>Eletrogroup</t>
  </si>
  <si>
    <t>Camicado</t>
  </si>
  <si>
    <t>Basf</t>
  </si>
  <si>
    <t>Pomerplast</t>
  </si>
  <si>
    <t>Trop Frutas</t>
  </si>
  <si>
    <t>Plasticos Vernier</t>
  </si>
  <si>
    <t>Bela Tintas</t>
  </si>
  <si>
    <t>Cotriel</t>
  </si>
  <si>
    <t>Weg Linhares</t>
  </si>
  <si>
    <t>Platlog</t>
  </si>
  <si>
    <t>Produção</t>
  </si>
  <si>
    <t>Faturamento</t>
  </si>
  <si>
    <t>Tranpostadora</t>
  </si>
  <si>
    <t>Fedex Brasil Logistica e Transporte S/A</t>
  </si>
  <si>
    <t>Espelho de Nf</t>
  </si>
  <si>
    <t>Platinum Log Armazens Ltda</t>
  </si>
  <si>
    <t>sat295</t>
  </si>
  <si>
    <t>sa750</t>
  </si>
  <si>
    <t>30181 00 A</t>
  </si>
  <si>
    <t>58 Ddf Sem Juros</t>
  </si>
  <si>
    <t>Neovia Nutricao e Saude Animal Ltda.</t>
  </si>
  <si>
    <t>Descalvado</t>
  </si>
  <si>
    <t>22659 00 B</t>
  </si>
  <si>
    <t>psl3</t>
  </si>
  <si>
    <t>sat296</t>
  </si>
  <si>
    <t>sa752</t>
  </si>
  <si>
    <t>Recco, Recco &amp; Cia Ltda</t>
  </si>
  <si>
    <t>Maringa</t>
  </si>
  <si>
    <t>sa756</t>
  </si>
  <si>
    <t>Logistica</t>
  </si>
  <si>
    <t>29167 01</t>
  </si>
  <si>
    <t>Magazine Luiza S.A</t>
  </si>
  <si>
    <t>30028 00 B</t>
  </si>
  <si>
    <t>30252 00 A</t>
  </si>
  <si>
    <t>sa754</t>
  </si>
  <si>
    <t>sa757</t>
  </si>
  <si>
    <t>29910 01 C</t>
  </si>
  <si>
    <t>Bremil S.A Ind de Prod Alimenticios</t>
  </si>
  <si>
    <t>30056 00 B</t>
  </si>
  <si>
    <t>30135 00 A</t>
  </si>
  <si>
    <t>25/56/84 Ddf</t>
  </si>
  <si>
    <t>24368 02 F</t>
  </si>
  <si>
    <t>Sulbras Moldes e Plasticos Ltda</t>
  </si>
  <si>
    <t>Salto</t>
  </si>
  <si>
    <t>30108 01 A</t>
  </si>
  <si>
    <t>Textil Tecnicor Ltda</t>
  </si>
  <si>
    <t>29973 00 C</t>
  </si>
  <si>
    <t>28/56 DDF S/juros</t>
  </si>
  <si>
    <t>Villa Germania Alimentos S/A</t>
  </si>
  <si>
    <t>28674 00 B</t>
  </si>
  <si>
    <t>Wolfle e Schwalm Ltda</t>
  </si>
  <si>
    <t>Cerro Grande do Sul</t>
  </si>
  <si>
    <t>29916 00 D</t>
  </si>
  <si>
    <t>29858 02 D</t>
  </si>
  <si>
    <t>Sicar Ind e Com de Prod para Piscinas</t>
  </si>
  <si>
    <t>Jardinopolis</t>
  </si>
  <si>
    <t>29676 02 D</t>
  </si>
  <si>
    <t>sa755</t>
  </si>
  <si>
    <t>Perto S/A  Perifericos para Automacao</t>
  </si>
  <si>
    <t>Gravatai</t>
  </si>
  <si>
    <t>29355 01 B</t>
  </si>
  <si>
    <t>Dass Nordeste Cal e Art Esportivos S.A</t>
  </si>
  <si>
    <t>28394 01 D</t>
  </si>
  <si>
    <t>14/28/56 DDF S/juros</t>
  </si>
  <si>
    <t>Oesa Comercio e Representacoes S.A</t>
  </si>
  <si>
    <t>30062 00 A</t>
  </si>
  <si>
    <t>29163 08 J</t>
  </si>
  <si>
    <t>Osan S.a.</t>
  </si>
  <si>
    <t>29540 00 B</t>
  </si>
  <si>
    <t>sa753</t>
  </si>
  <si>
    <t/>
  </si>
  <si>
    <t>Lucas Ben</t>
  </si>
  <si>
    <t>Marcelo Bastiani</t>
  </si>
  <si>
    <t>Margarete Comachio</t>
  </si>
  <si>
    <t>Nícolas Borges</t>
  </si>
  <si>
    <t>Marcos Rosin / Rafael Agrizzi</t>
  </si>
  <si>
    <t>Thierry Serafim</t>
  </si>
  <si>
    <t>Higor Rodrigues</t>
  </si>
  <si>
    <t>Revisar</t>
  </si>
  <si>
    <t>Ferkoda</t>
  </si>
  <si>
    <t>Farina</t>
  </si>
  <si>
    <t>Mts Comercio e Repre</t>
  </si>
  <si>
    <t>Arcelormittal</t>
  </si>
  <si>
    <t>Tiendas Industiales</t>
  </si>
  <si>
    <t>Cotrisul</t>
  </si>
  <si>
    <t>Agti Empreendimentos</t>
  </si>
  <si>
    <t>Diagnosticos Laborab</t>
  </si>
  <si>
    <t>Ortomobil Industria</t>
  </si>
  <si>
    <t>Carregamento</t>
  </si>
  <si>
    <t>Picking</t>
  </si>
  <si>
    <t>Áreas de apoio</t>
  </si>
  <si>
    <t>Suprimentos/ USBER</t>
  </si>
  <si>
    <t>Artur Bertolini / Cleiton Bianchi</t>
  </si>
  <si>
    <t>Luminescence</t>
  </si>
  <si>
    <t>Cooperativa Central</t>
  </si>
  <si>
    <t>Biofhitus Laboratora</t>
  </si>
  <si>
    <t>Goiasminas Ind</t>
  </si>
  <si>
    <t>Supermercado Silveir</t>
  </si>
  <si>
    <t>Cuias Fracari</t>
  </si>
  <si>
    <t>Forte Armazens</t>
  </si>
  <si>
    <t>Viton 44 Ind</t>
  </si>
  <si>
    <t>Frigorifico Nord</t>
  </si>
  <si>
    <t>Transcol Transportes</t>
  </si>
  <si>
    <t>Villa Germania</t>
  </si>
  <si>
    <t>Oesa Comercio e Repr</t>
  </si>
  <si>
    <t>Wolfle e Schwalm</t>
  </si>
  <si>
    <t>Bremil</t>
  </si>
  <si>
    <t>Coamo</t>
  </si>
  <si>
    <t>Ge Energias Renovave</t>
  </si>
  <si>
    <t>Id do Brasil</t>
  </si>
  <si>
    <t>Lojas Lebes</t>
  </si>
  <si>
    <t>Super Mercado Sao 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</si>
</sst>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2" formatCode="_-&quot;R$&quot;\ * #,##0_-;\-&quot;R$&quot;\ * #,##0_-;_-&quot;R$&quot;\ * &quot;-&quot;_-;_-@_-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#,##0.0\ &quot;kg&quot;"/>
    <numFmt numFmtId="165" formatCode="_-* #,##0_-;\-* #,##0_-;_-* &quot;-&quot;??_-;_-@_-"/>
    <numFmt numFmtId="166" formatCode="dd/mm/yy;@"/>
    <numFmt numFmtId="167" formatCode="_-[$R$-416]\ * #,##0_-;\-[$R$-416]\ * #,##0_-;_-[$R$-416]\ 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11"/>
      <name val="Calibri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242424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u/>
      <sz val="16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u val="singleAccounting"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0">
    <xf numFmtId="0" fontId="0" fillId="0" borderId="0" xfId="0"/>
    <xf numFmtId="0" fontId="0" fillId="0" borderId="0" xfId="0" pivotButton="1"/>
    <xf numFmtId="4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14" fontId="2" fillId="2" borderId="0" xfId="0" applyNumberFormat="1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0" borderId="0" xfId="4"/>
    <xf numFmtId="15" fontId="6" fillId="0" borderId="0" xfId="4" applyNumberFormat="1" applyFont="1" applyAlignment="1">
      <alignment horizontal="center" vertical="top" wrapText="1"/>
    </xf>
    <xf numFmtId="43" fontId="0" fillId="5" borderId="0" xfId="5" applyFont="1" applyFill="1"/>
    <xf numFmtId="43" fontId="0" fillId="6" borderId="0" xfId="5" applyFont="1" applyFill="1"/>
    <xf numFmtId="43" fontId="1" fillId="0" borderId="0" xfId="4" applyNumberFormat="1"/>
    <xf numFmtId="43" fontId="0" fillId="0" borderId="0" xfId="5" applyFont="1"/>
    <xf numFmtId="165" fontId="0" fillId="0" borderId="0" xfId="5" applyNumberFormat="1" applyFont="1"/>
    <xf numFmtId="0" fontId="1" fillId="0" borderId="0" xfId="4" applyNumberFormat="1"/>
    <xf numFmtId="43" fontId="1" fillId="0" borderId="0" xfId="6"/>
    <xf numFmtId="43" fontId="1" fillId="0" borderId="0" xfId="6" applyAlignment="1">
      <alignment horizontal="center"/>
    </xf>
    <xf numFmtId="43" fontId="0" fillId="0" borderId="0" xfId="6" applyFont="1" applyAlignment="1">
      <alignment horizontal="center"/>
    </xf>
    <xf numFmtId="43" fontId="6" fillId="0" borderId="0" xfId="6" applyFont="1" applyAlignment="1">
      <alignment horizontal="center" vertical="top" wrapText="1"/>
    </xf>
    <xf numFmtId="43" fontId="0" fillId="0" borderId="0" xfId="6" applyFont="1"/>
    <xf numFmtId="43" fontId="0" fillId="0" borderId="0" xfId="5" applyFont="1" applyFill="1"/>
    <xf numFmtId="43" fontId="0" fillId="0" borderId="1" xfId="6" applyFont="1" applyFill="1" applyBorder="1" applyAlignment="1">
      <alignment horizontal="center"/>
    </xf>
    <xf numFmtId="43" fontId="8" fillId="0" borderId="1" xfId="6" applyFont="1" applyBorder="1" applyAlignment="1">
      <alignment horizontal="left" vertical="center"/>
    </xf>
    <xf numFmtId="43" fontId="1" fillId="0" borderId="1" xfId="6" applyFont="1" applyFill="1" applyBorder="1" applyAlignment="1">
      <alignment horizontal="center" vertical="center"/>
    </xf>
    <xf numFmtId="43" fontId="1" fillId="0" borderId="1" xfId="6" applyBorder="1" applyAlignment="1">
      <alignment horizontal="center" vertical="center"/>
    </xf>
    <xf numFmtId="43" fontId="1" fillId="0" borderId="2" xfId="6" applyFont="1" applyFill="1" applyBorder="1" applyAlignment="1">
      <alignment horizontal="center" vertical="center"/>
    </xf>
    <xf numFmtId="43" fontId="1" fillId="0" borderId="1" xfId="6" applyFill="1" applyBorder="1"/>
    <xf numFmtId="43" fontId="9" fillId="0" borderId="1" xfId="6" applyFont="1" applyBorder="1" applyAlignment="1">
      <alignment horizontal="center" vertical="center" wrapText="1"/>
    </xf>
    <xf numFmtId="43" fontId="1" fillId="0" borderId="1" xfId="4" applyNumberFormat="1" applyBorder="1"/>
    <xf numFmtId="0" fontId="1" fillId="0" borderId="1" xfId="4" applyBorder="1" applyAlignment="1">
      <alignment horizontal="left"/>
    </xf>
    <xf numFmtId="0" fontId="1" fillId="0" borderId="0" xfId="4" applyAlignment="1">
      <alignment horizontal="left"/>
    </xf>
    <xf numFmtId="10" fontId="1" fillId="0" borderId="1" xfId="4" applyNumberFormat="1" applyBorder="1" applyAlignment="1">
      <alignment horizontal="center"/>
    </xf>
    <xf numFmtId="10" fontId="8" fillId="0" borderId="1" xfId="7" applyNumberFormat="1" applyFont="1" applyBorder="1" applyAlignment="1">
      <alignment horizontal="center" vertical="center"/>
    </xf>
    <xf numFmtId="0" fontId="1" fillId="0" borderId="1" xfId="4" applyBorder="1" applyAlignment="1">
      <alignment horizontal="center"/>
    </xf>
    <xf numFmtId="43" fontId="1" fillId="0" borderId="1" xfId="4" applyNumberFormat="1" applyBorder="1" applyAlignment="1">
      <alignment horizontal="center"/>
    </xf>
    <xf numFmtId="43" fontId="1" fillId="0" borderId="1" xfId="4" applyNumberFormat="1" applyBorder="1" applyAlignment="1">
      <alignment horizontal="center" vertical="center"/>
    </xf>
    <xf numFmtId="0" fontId="1" fillId="0" borderId="1" xfId="4" applyBorder="1" applyAlignment="1">
      <alignment horizontal="center" vertical="center"/>
    </xf>
    <xf numFmtId="43" fontId="0" fillId="0" borderId="0" xfId="6" applyFont="1" applyFill="1" applyBorder="1" applyAlignment="1">
      <alignment horizontal="center"/>
    </xf>
    <xf numFmtId="43" fontId="1" fillId="0" borderId="0" xfId="4" applyNumberFormat="1" applyAlignment="1">
      <alignment horizontal="center"/>
    </xf>
    <xf numFmtId="0" fontId="1" fillId="0" borderId="0" xfId="4" applyAlignment="1">
      <alignment horizontal="center"/>
    </xf>
    <xf numFmtId="43" fontId="1" fillId="7" borderId="1" xfId="6" applyFont="1" applyFill="1" applyBorder="1" applyAlignment="1">
      <alignment horizontal="center" vertical="center"/>
    </xf>
    <xf numFmtId="43" fontId="1" fillId="0" borderId="1" xfId="6" applyBorder="1"/>
    <xf numFmtId="43" fontId="0" fillId="8" borderId="0" xfId="6" applyNumberFormat="1" applyFont="1" applyFill="1"/>
    <xf numFmtId="43" fontId="0" fillId="0" borderId="0" xfId="6" applyNumberFormat="1" applyFont="1" applyAlignment="1">
      <alignment horizontal="center"/>
    </xf>
    <xf numFmtId="43" fontId="0" fillId="8" borderId="0" xfId="6" applyNumberFormat="1" applyFont="1" applyFill="1" applyAlignment="1">
      <alignment horizontal="center"/>
    </xf>
    <xf numFmtId="43" fontId="0" fillId="0" borderId="5" xfId="6" applyNumberFormat="1" applyFont="1" applyBorder="1" applyAlignment="1">
      <alignment horizontal="center"/>
    </xf>
    <xf numFmtId="16" fontId="1" fillId="0" borderId="0" xfId="4" applyNumberFormat="1"/>
    <xf numFmtId="0" fontId="1" fillId="0" borderId="0" xfId="4" applyFill="1" applyAlignment="1">
      <alignment horizontal="center"/>
    </xf>
    <xf numFmtId="43" fontId="10" fillId="0" borderId="1" xfId="6" applyFont="1" applyFill="1" applyBorder="1" applyAlignment="1">
      <alignment horizontal="left" vertical="center"/>
    </xf>
    <xf numFmtId="0" fontId="11" fillId="0" borderId="0" xfId="4" applyFont="1" applyFill="1" applyAlignment="1">
      <alignment horizontal="center"/>
    </xf>
    <xf numFmtId="16" fontId="1" fillId="0" borderId="0" xfId="4" applyNumberFormat="1" applyFill="1"/>
    <xf numFmtId="43" fontId="10" fillId="0" borderId="1" xfId="6" applyFont="1" applyBorder="1" applyAlignment="1">
      <alignment horizontal="left" vertical="center"/>
    </xf>
    <xf numFmtId="0" fontId="11" fillId="0" borderId="1" xfId="4" applyFont="1" applyFill="1" applyBorder="1" applyAlignment="1">
      <alignment horizontal="center"/>
    </xf>
    <xf numFmtId="0" fontId="1" fillId="0" borderId="1" xfId="4" applyFill="1" applyBorder="1" applyAlignment="1">
      <alignment horizontal="center"/>
    </xf>
    <xf numFmtId="14" fontId="12" fillId="0" borderId="1" xfId="4" applyNumberFormat="1" applyFont="1" applyBorder="1"/>
    <xf numFmtId="14" fontId="12" fillId="0" borderId="1" xfId="4" applyNumberFormat="1" applyFont="1" applyFill="1" applyBorder="1"/>
    <xf numFmtId="14" fontId="12" fillId="0" borderId="4" xfId="4" applyNumberFormat="1" applyFont="1" applyBorder="1"/>
    <xf numFmtId="43" fontId="10" fillId="0" borderId="2" xfId="6" applyFont="1" applyBorder="1" applyAlignment="1">
      <alignment horizontal="left" vertical="center"/>
    </xf>
    <xf numFmtId="0" fontId="1" fillId="0" borderId="2" xfId="4" applyBorder="1" applyAlignment="1">
      <alignment horizontal="center"/>
    </xf>
    <xf numFmtId="43" fontId="10" fillId="0" borderId="6" xfId="6" applyFont="1" applyFill="1" applyBorder="1" applyAlignment="1">
      <alignment horizontal="left" vertical="center"/>
    </xf>
    <xf numFmtId="0" fontId="1" fillId="0" borderId="6" xfId="4" applyFill="1" applyBorder="1" applyAlignment="1">
      <alignment horizontal="center"/>
    </xf>
    <xf numFmtId="43" fontId="10" fillId="0" borderId="3" xfId="6" applyFont="1" applyFill="1" applyBorder="1" applyAlignment="1">
      <alignment horizontal="left" vertical="center"/>
    </xf>
    <xf numFmtId="0" fontId="1" fillId="0" borderId="4" xfId="4" applyFill="1" applyBorder="1" applyAlignment="1">
      <alignment horizontal="center"/>
    </xf>
    <xf numFmtId="0" fontId="13" fillId="0" borderId="0" xfId="0" applyFont="1" applyFill="1" applyBorder="1" applyAlignment="1">
      <alignment vertical="top" wrapText="1"/>
    </xf>
    <xf numFmtId="0" fontId="13" fillId="0" borderId="0" xfId="0" applyFont="1" applyFill="1" applyBorder="1" applyAlignment="1">
      <alignment vertical="center"/>
    </xf>
    <xf numFmtId="0" fontId="14" fillId="0" borderId="0" xfId="0" applyFont="1"/>
    <xf numFmtId="0" fontId="13" fillId="0" borderId="0" xfId="0" applyFont="1" applyFill="1" applyAlignment="1">
      <alignment vertical="top" wrapText="1"/>
    </xf>
    <xf numFmtId="0" fontId="16" fillId="0" borderId="0" xfId="0" applyFont="1"/>
    <xf numFmtId="0" fontId="14" fillId="0" borderId="0" xfId="0" applyFont="1" applyFill="1" applyBorder="1" applyAlignment="1">
      <alignment horizontal="left" vertical="center"/>
    </xf>
    <xf numFmtId="1" fontId="14" fillId="0" borderId="0" xfId="0" applyNumberFormat="1" applyFont="1" applyFill="1" applyBorder="1" applyAlignment="1">
      <alignment horizontal="left" vertical="center"/>
    </xf>
    <xf numFmtId="14" fontId="0" fillId="0" borderId="0" xfId="0" applyNumberFormat="1"/>
    <xf numFmtId="4" fontId="0" fillId="0" borderId="0" xfId="0" applyNumberFormat="1"/>
    <xf numFmtId="4" fontId="14" fillId="0" borderId="0" xfId="0" applyNumberFormat="1" applyFont="1" applyFill="1" applyBorder="1" applyAlignment="1">
      <alignment horizontal="left" vertical="center"/>
    </xf>
    <xf numFmtId="4" fontId="17" fillId="0" borderId="0" xfId="0" applyNumberFormat="1" applyFont="1" applyFill="1" applyBorder="1" applyAlignment="1">
      <alignment horizontal="left" vertical="center" wrapText="1"/>
    </xf>
    <xf numFmtId="0" fontId="17" fillId="0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3" fontId="0" fillId="0" borderId="0" xfId="0" applyNumberFormat="1" applyAlignment="1">
      <alignment horizontal="left" vertical="center"/>
    </xf>
    <xf numFmtId="3" fontId="18" fillId="9" borderId="1" xfId="0" applyNumberFormat="1" applyFont="1" applyFill="1" applyBorder="1" applyAlignment="1">
      <alignment horizontal="center" vertical="center"/>
    </xf>
    <xf numFmtId="43" fontId="20" fillId="0" borderId="0" xfId="4" applyNumberFormat="1" applyFont="1"/>
    <xf numFmtId="165" fontId="20" fillId="0" borderId="0" xfId="4" applyNumberFormat="1" applyFont="1"/>
    <xf numFmtId="0" fontId="20" fillId="0" borderId="0" xfId="4" applyFont="1"/>
    <xf numFmtId="3" fontId="14" fillId="0" borderId="0" xfId="0" applyNumberFormat="1" applyFont="1"/>
    <xf numFmtId="166" fontId="0" fillId="0" borderId="0" xfId="0" applyNumberFormat="1" applyAlignment="1">
      <alignment horizontal="left" vertical="center" wrapText="1"/>
    </xf>
    <xf numFmtId="166" fontId="0" fillId="0" borderId="0" xfId="0" applyNumberFormat="1" applyAlignment="1">
      <alignment horizontal="left" vertical="center"/>
    </xf>
    <xf numFmtId="166" fontId="14" fillId="0" borderId="0" xfId="0" applyNumberFormat="1" applyFont="1" applyFill="1" applyBorder="1" applyAlignment="1">
      <alignment horizontal="left" vertical="center"/>
    </xf>
    <xf numFmtId="3" fontId="0" fillId="0" borderId="0" xfId="0" applyNumberFormat="1" applyAlignment="1">
      <alignment horizontal="left" vertical="center" wrapText="1"/>
    </xf>
    <xf numFmtId="3" fontId="14" fillId="0" borderId="0" xfId="6" applyNumberFormat="1" applyFont="1" applyFill="1" applyBorder="1" applyAlignment="1">
      <alignment horizontal="left" vertical="center"/>
    </xf>
    <xf numFmtId="167" fontId="0" fillId="0" borderId="0" xfId="0" applyNumberFormat="1" applyAlignment="1">
      <alignment horizontal="left" vertical="center" wrapText="1"/>
    </xf>
    <xf numFmtId="167" fontId="0" fillId="0" borderId="0" xfId="0" applyNumberFormat="1" applyAlignment="1">
      <alignment horizontal="left" vertical="center"/>
    </xf>
    <xf numFmtId="167" fontId="14" fillId="0" borderId="0" xfId="0" applyNumberFormat="1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top" wrapText="1"/>
    </xf>
    <xf numFmtId="0" fontId="13" fillId="7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7" borderId="1" xfId="0" applyFont="1" applyFill="1" applyBorder="1" applyAlignment="1">
      <alignment horizontal="left" vertical="top" wrapText="1"/>
    </xf>
    <xf numFmtId="0" fontId="14" fillId="0" borderId="0" xfId="0" applyFont="1" applyFill="1"/>
    <xf numFmtId="0" fontId="0" fillId="7" borderId="0" xfId="0" applyFill="1"/>
    <xf numFmtId="14" fontId="21" fillId="10" borderId="0" xfId="0" applyNumberFormat="1" applyFont="1" applyFill="1" applyAlignment="1">
      <alignment horizontal="center" vertical="center"/>
    </xf>
    <xf numFmtId="3" fontId="18" fillId="9" borderId="0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 wrapText="1"/>
    </xf>
    <xf numFmtId="0" fontId="1" fillId="0" borderId="3" xfId="4" applyBorder="1" applyAlignment="1">
      <alignment horizontal="left"/>
    </xf>
    <xf numFmtId="0" fontId="1" fillId="0" borderId="4" xfId="4" applyBorder="1" applyAlignment="1">
      <alignment horizontal="left"/>
    </xf>
  </cellXfs>
  <cellStyles count="8">
    <cellStyle name="Moeda 2" xfId="1" xr:uid="{00000000-0005-0000-0000-000001000000}"/>
    <cellStyle name="Normal" xfId="0" builtinId="0"/>
    <cellStyle name="Normal 24" xfId="2" xr:uid="{8BC0286F-5D34-40DC-BA66-5F8DD5303330}"/>
    <cellStyle name="Normal 24 2" xfId="4" xr:uid="{B7B7BBEC-E27F-4611-A49D-5641D57C45E2}"/>
    <cellStyle name="Porcentagem" xfId="7" builtinId="5"/>
    <cellStyle name="Vírgula" xfId="6" builtinId="3"/>
    <cellStyle name="Vírgula 5" xfId="3" xr:uid="{8B2BD499-927E-4484-A769-9ED43C6ED769}"/>
    <cellStyle name="Vírgula 5 2" xfId="5" xr:uid="{228C880B-26AD-4B73-B20B-12A6E7985C4F}"/>
  </cellStyles>
  <dxfs count="136"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21" formatCode="dd/mmm"/>
    </dxf>
    <dxf>
      <alignment horizontal="center"/>
    </dxf>
    <dxf>
      <font>
        <b/>
        <i val="0"/>
      </font>
      <fill>
        <patternFill patternType="darkUp">
          <fgColor theme="5" tint="0.79998168889431442"/>
          <bgColor auto="1"/>
        </patternFill>
      </fill>
      <border>
        <top style="dashed">
          <color rgb="FFC00000"/>
        </top>
        <bottom style="dashed">
          <color rgb="FFC00000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21" formatCode="dd/mmm"/>
    </dxf>
    <dxf>
      <alignment horizontal="center"/>
    </dxf>
    <dxf>
      <font>
        <b/>
        <i val="0"/>
      </font>
      <fill>
        <patternFill patternType="darkUp">
          <fgColor theme="5" tint="0.79998168889431442"/>
          <bgColor auto="1"/>
        </patternFill>
      </fill>
      <border>
        <top style="dashed">
          <color rgb="FFC00000"/>
        </top>
        <bottom style="dashed">
          <color rgb="FFC00000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21" formatCode="dd/mmm"/>
    </dxf>
    <dxf>
      <alignment horizontal="center"/>
    </dxf>
    <dxf>
      <font>
        <b/>
        <i val="0"/>
      </font>
      <fill>
        <patternFill patternType="darkUp">
          <fgColor theme="5" tint="0.79998168889431442"/>
          <bgColor auto="1"/>
        </patternFill>
      </fill>
      <border>
        <top style="dashed">
          <color rgb="FFC00000"/>
        </top>
        <bottom style="dashed">
          <color rgb="FFC00000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21" formatCode="dd/mmm"/>
    </dxf>
    <dxf>
      <alignment horizontal="center"/>
    </dxf>
    <dxf>
      <font>
        <b/>
        <i val="0"/>
      </font>
      <fill>
        <patternFill patternType="darkUp">
          <fgColor theme="5" tint="0.79998168889431442"/>
          <bgColor auto="1"/>
        </patternFill>
      </fill>
      <border>
        <top style="dashed">
          <color rgb="FFC00000"/>
        </top>
        <bottom style="dashed">
          <color rgb="FFC00000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21" formatCode="dd/mmm"/>
    </dxf>
    <dxf>
      <alignment horizontal="center"/>
    </dxf>
    <dxf>
      <font>
        <b/>
        <i val="0"/>
      </font>
      <fill>
        <patternFill patternType="darkUp">
          <fgColor theme="5" tint="0.79998168889431442"/>
          <bgColor auto="1"/>
        </patternFill>
      </fill>
      <border>
        <top style="dashed">
          <color rgb="FFC00000"/>
        </top>
        <bottom style="dashed">
          <color rgb="FFC00000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</dxf>
    <dxf>
      <numFmt numFmtId="35" formatCode="_-* #,##0.00_-;\-* #,##0.00_-;_-* &quot;-&quot;??_-;_-@_-"/>
    </dxf>
    <dxf>
      <numFmt numFmtId="0" formatCode="General"/>
    </dxf>
    <dxf>
      <numFmt numFmtId="21" formatCode="dd/mmm"/>
    </dxf>
    <dxf>
      <alignment horizontal="center"/>
    </dxf>
    <dxf>
      <font>
        <b/>
        <i val="0"/>
      </font>
      <fill>
        <patternFill patternType="darkUp">
          <fgColor theme="5" tint="0.79998168889431442"/>
          <bgColor auto="1"/>
        </patternFill>
      </fill>
      <border>
        <top style="dashed">
          <color rgb="FFC00000"/>
        </top>
        <bottom style="dashed">
          <color rgb="FFC00000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</dxf>
    <dxf>
      <numFmt numFmtId="35" formatCode="_-* #,##0.00_-;\-* #,##0.00_-;_-* &quot;-&quot;??_-;_-@_-"/>
    </dxf>
    <dxf>
      <numFmt numFmtId="0" formatCode="General"/>
    </dxf>
    <dxf>
      <numFmt numFmtId="21" formatCode="dd/mmm"/>
    </dxf>
    <dxf>
      <alignment horizontal="center"/>
    </dxf>
    <dxf>
      <font>
        <b/>
        <i val="0"/>
      </font>
      <fill>
        <patternFill patternType="darkUp">
          <fgColor theme="5" tint="0.79998168889431442"/>
          <bgColor auto="1"/>
        </patternFill>
      </fill>
      <border>
        <top style="dashed">
          <color rgb="FFC00000"/>
        </top>
        <bottom style="dashed">
          <color rgb="FFC0000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numFmt numFmtId="4" formatCode="#,##0.00"/>
    </dxf>
    <dxf>
      <numFmt numFmtId="4" formatCode="#,##0.00"/>
    </dxf>
    <dxf>
      <font>
        <b/>
        <strike val="0"/>
        <outline val="0"/>
        <shadow val="0"/>
        <u val="none"/>
        <vertAlign val="baseline"/>
        <sz val="10"/>
        <color rgb="FF00B05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2424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2424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2424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2424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2424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2424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indent="0" justifyLastLine="0" shrinkToFit="0" readingOrder="0"/>
    </dxf>
    <dxf>
      <numFmt numFmtId="167" formatCode="_-[$R$-416]\ * #,##0_-;\-[$R$-416]\ * #,##0_-;_-[$R$-416]\ * &quot;-&quot;??_-;_-@_-"/>
      <alignment horizontal="left" vertical="center" textRotation="0" indent="0" justifyLastLine="0" shrinkToFit="0" readingOrder="0"/>
    </dxf>
    <dxf>
      <numFmt numFmtId="3" formatCode="#,##0"/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numFmt numFmtId="166" formatCode="dd/mm/yy;@"/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numFmt numFmtId="166" formatCode="dd/mm/yy;@"/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numFmt numFmtId="166" formatCode="dd/mm/yy;@"/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numFmt numFmtId="166" formatCode="dd/mm/yy;@"/>
      <alignment horizontal="left" vertical="center" textRotation="0" indent="0" justifyLastLine="0" shrinkToFit="0" readingOrder="0"/>
    </dxf>
    <dxf>
      <numFmt numFmtId="166" formatCode="dd/mm/yy;@"/>
      <alignment horizontal="left" vertical="center" textRotation="0" indent="0" justifyLastLine="0" shrinkToFit="0" readingOrder="0"/>
    </dxf>
    <dxf>
      <numFmt numFmtId="166" formatCode="dd/mm/yy;@"/>
      <alignment horizontal="left" vertical="center" textRotation="0" indent="0" justifyLastLine="0" shrinkToFit="0" readingOrder="0"/>
    </dxf>
    <dxf>
      <numFmt numFmtId="166" formatCode="dd/mm/yy;@"/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/>
    </dxf>
    <dxf>
      <alignment horizontal="center"/>
    </dxf>
    <dxf>
      <font>
        <b/>
        <i val="0"/>
      </font>
      <fill>
        <patternFill patternType="darkUp">
          <fgColor theme="5" tint="0.79998168889431442"/>
          <bgColor auto="1"/>
        </patternFill>
      </fill>
      <border>
        <top style="dashed">
          <color rgb="FFC00000"/>
        </top>
        <bottom style="dashed">
          <color rgb="FFC00000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</dxfs>
  <tableStyles count="1" defaultTableStyle="TableStyleMedium9" defaultPivotStyle="PivotStyleLight16">
    <tableStyle name="Invisible" pivot="0" table="0" count="0" xr9:uid="{794D47EB-77A5-4B6A-A49A-ECF66D4B1E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556781208800511E-2"/>
          <c:y val="9.6801971059677E-2"/>
          <c:w val="0.93140839653107876"/>
          <c:h val="0.70361072324291873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TOTAL!$G$1</c:f>
              <c:strCache>
                <c:ptCount val="1"/>
                <c:pt idx="0">
                  <c:v>Balizador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TOTAL!$B$11:$B$25</c15:sqref>
                  </c15:fullRef>
                </c:ext>
              </c:extLst>
              <c:f>TOTAL!$B$14:$B$25</c:f>
              <c:strCache>
                <c:ptCount val="12"/>
                <c:pt idx="0">
                  <c:v>janeiro_2022</c:v>
                </c:pt>
                <c:pt idx="1">
                  <c:v>fevereiro_2022</c:v>
                </c:pt>
                <c:pt idx="2">
                  <c:v>março_2022</c:v>
                </c:pt>
                <c:pt idx="3">
                  <c:v>abril_2022</c:v>
                </c:pt>
                <c:pt idx="4">
                  <c:v>maio_2022</c:v>
                </c:pt>
                <c:pt idx="5">
                  <c:v>junho_2022</c:v>
                </c:pt>
                <c:pt idx="6">
                  <c:v>julho_2022</c:v>
                </c:pt>
                <c:pt idx="7">
                  <c:v>agosto_2022</c:v>
                </c:pt>
                <c:pt idx="8">
                  <c:v>setembro_2022</c:v>
                </c:pt>
                <c:pt idx="9">
                  <c:v>outubro_2022</c:v>
                </c:pt>
                <c:pt idx="10">
                  <c:v>novembro_2022</c:v>
                </c:pt>
                <c:pt idx="11">
                  <c:v>dezembro_2022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TOTAL!$G$11:$G$25</c15:sqref>
                  </c15:fullRef>
                </c:ext>
              </c:extLst>
              <c:f>TOTAL!$G$14:$G$25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2479000</c:v>
                </c:pt>
                <c:pt idx="6">
                  <c:v>2141000</c:v>
                </c:pt>
                <c:pt idx="7">
                  <c:v>385625.00899999868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4C-4F5A-B275-51D9D6CC5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979093480"/>
        <c:axId val="979094792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1171105088"/>
        <c:axId val="13114368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TOTAL!$B$1</c15:sqref>
                        </c15:formulaRef>
                      </c:ext>
                    </c:extLst>
                    <c:strCache>
                      <c:ptCount val="1"/>
                      <c:pt idx="0">
                        <c:v>Semana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TOTAL!$B$11:$B$25</c15:sqref>
                        </c15:fullRef>
                        <c15:formulaRef>
                          <c15:sqref>TOTAL!$B$14:$B$25</c15:sqref>
                        </c15:formulaRef>
                      </c:ext>
                    </c:extLst>
                    <c:strCache>
                      <c:ptCount val="12"/>
                      <c:pt idx="0">
                        <c:v>janeiro_2022</c:v>
                      </c:pt>
                      <c:pt idx="1">
                        <c:v>fevereiro_2022</c:v>
                      </c:pt>
                      <c:pt idx="2">
                        <c:v>março_2022</c:v>
                      </c:pt>
                      <c:pt idx="3">
                        <c:v>abril_2022</c:v>
                      </c:pt>
                      <c:pt idx="4">
                        <c:v>maio_2022</c:v>
                      </c:pt>
                      <c:pt idx="5">
                        <c:v>junho_2022</c:v>
                      </c:pt>
                      <c:pt idx="6">
                        <c:v>julho_2022</c:v>
                      </c:pt>
                      <c:pt idx="7">
                        <c:v>agosto_2022</c:v>
                      </c:pt>
                      <c:pt idx="8">
                        <c:v>setembro_2022</c:v>
                      </c:pt>
                      <c:pt idx="9">
                        <c:v>outubro_2022</c:v>
                      </c:pt>
                      <c:pt idx="10">
                        <c:v>novembro_2022</c:v>
                      </c:pt>
                      <c:pt idx="11">
                        <c:v>dezembro_2022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TOTAL!$B$11:$B$25</c15:sqref>
                        </c15:fullRef>
                        <c15:formulaRef>
                          <c15:sqref>TOTAL!$B$14:$B$25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BD4C-4F5A-B275-51D9D6CC5725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TOTAL!$C$1</c:f>
              <c:strCache>
                <c:ptCount val="1"/>
                <c:pt idx="0">
                  <c:v> Ton limite 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janeiro_2022</c:v>
              </c:pt>
              <c:pt idx="1">
                <c:v>fevereiro_2022</c:v>
              </c:pt>
              <c:pt idx="2">
                <c:v>março_2022</c:v>
              </c:pt>
              <c:pt idx="3">
                <c:v>abril_2022</c:v>
              </c:pt>
              <c:pt idx="4">
                <c:v>maio_2022</c:v>
              </c:pt>
              <c:pt idx="5">
                <c:v>junho_2022</c:v>
              </c:pt>
              <c:pt idx="6">
                <c:v>julho_2022</c:v>
              </c:pt>
              <c:pt idx="7">
                <c:v>agosto_2022</c:v>
              </c:pt>
              <c:pt idx="8">
                <c:v>setembro_2022</c:v>
              </c:pt>
              <c:pt idx="9">
                <c:v>outubro_2022</c:v>
              </c:pt>
              <c:pt idx="10">
                <c:v>novembro_2022</c:v>
              </c:pt>
              <c:pt idx="11">
                <c:v>dezembro_2022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TOTAL!$C$11:$C$25</c15:sqref>
                  </c15:fullRef>
                </c:ext>
              </c:extLst>
              <c:f>TOTAL!$C$14:$C$25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2479000</c:v>
                </c:pt>
                <c:pt idx="6">
                  <c:v>2141000</c:v>
                </c:pt>
                <c:pt idx="7">
                  <c:v>2616000</c:v>
                </c:pt>
                <c:pt idx="8">
                  <c:v>2571000</c:v>
                </c:pt>
                <c:pt idx="9">
                  <c:v>2441000</c:v>
                </c:pt>
                <c:pt idx="10">
                  <c:v>2571000</c:v>
                </c:pt>
                <c:pt idx="11">
                  <c:v>2126000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4C-4F5A-B275-51D9D6CC5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9093480"/>
        <c:axId val="979094792"/>
      </c:lineChart>
      <c:catAx>
        <c:axId val="979093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094792"/>
        <c:crosses val="autoZero"/>
        <c:auto val="1"/>
        <c:lblAlgn val="ctr"/>
        <c:lblOffset val="100"/>
        <c:noMultiLvlLbl val="0"/>
      </c:catAx>
      <c:valAx>
        <c:axId val="97909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093480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</c:dispUnitsLbl>
        </c:dispUnits>
      </c:valAx>
      <c:valAx>
        <c:axId val="13114368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1105088"/>
        <c:crosses val="max"/>
        <c:crossBetween val="between"/>
      </c:valAx>
      <c:catAx>
        <c:axId val="1171105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1436832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3500"/>
              <a:t>Redistribuição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5399640093577075E-2"/>
          <c:y val="0.27972703412073491"/>
          <c:w val="0.94849925748962793"/>
          <c:h val="0.61379443569553804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OUTROS!$F$1</c:f>
              <c:strCache>
                <c:ptCount val="1"/>
                <c:pt idx="0">
                  <c:v>Balizador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OUTROS!$B$11:$B$25</c:f>
              <c:strCache>
                <c:ptCount val="15"/>
                <c:pt idx="0">
                  <c:v>outubro_2021</c:v>
                </c:pt>
                <c:pt idx="1">
                  <c:v>novembro_2021</c:v>
                </c:pt>
                <c:pt idx="2">
                  <c:v>dezembro_2021</c:v>
                </c:pt>
                <c:pt idx="3">
                  <c:v>janeiro_2022</c:v>
                </c:pt>
                <c:pt idx="4">
                  <c:v>fevereiro_2022</c:v>
                </c:pt>
                <c:pt idx="5">
                  <c:v>março_2022</c:v>
                </c:pt>
                <c:pt idx="6">
                  <c:v>abril_2022</c:v>
                </c:pt>
                <c:pt idx="7">
                  <c:v>maio_2022</c:v>
                </c:pt>
                <c:pt idx="8">
                  <c:v>junho_2022</c:v>
                </c:pt>
                <c:pt idx="9">
                  <c:v>julho_2022</c:v>
                </c:pt>
                <c:pt idx="10">
                  <c:v>agosto_2022</c:v>
                </c:pt>
                <c:pt idx="11">
                  <c:v>setembro_2022</c:v>
                </c:pt>
                <c:pt idx="12">
                  <c:v>outubro_2022</c:v>
                </c:pt>
                <c:pt idx="13">
                  <c:v>novembro_2022</c:v>
                </c:pt>
                <c:pt idx="14">
                  <c:v>dezembro_2022</c:v>
                </c:pt>
              </c:strCache>
            </c:strRef>
          </c:cat>
          <c:val>
            <c:numRef>
              <c:f>OUTROS!$F$11:$F$25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247900</c:v>
                </c:pt>
                <c:pt idx="9">
                  <c:v>214100</c:v>
                </c:pt>
                <c:pt idx="10">
                  <c:v>261600</c:v>
                </c:pt>
                <c:pt idx="11">
                  <c:v>257100</c:v>
                </c:pt>
                <c:pt idx="12">
                  <c:v>36692.524000000092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1A-4E53-B395-01B4D90C6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9093480"/>
        <c:axId val="979094792"/>
      </c:barChart>
      <c:barChart>
        <c:barDir val="col"/>
        <c:grouping val="clustered"/>
        <c:varyColors val="0"/>
        <c:ser>
          <c:idx val="0"/>
          <c:order val="0"/>
          <c:tx>
            <c:strRef>
              <c:f>OUTROS!$B$1</c:f>
              <c:strCache>
                <c:ptCount val="1"/>
                <c:pt idx="0">
                  <c:v>Semana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OUTROS!$B$11:$B$25</c:f>
              <c:strCache>
                <c:ptCount val="15"/>
                <c:pt idx="0">
                  <c:v>outubro_2021</c:v>
                </c:pt>
                <c:pt idx="1">
                  <c:v>novembro_2021</c:v>
                </c:pt>
                <c:pt idx="2">
                  <c:v>dezembro_2021</c:v>
                </c:pt>
                <c:pt idx="3">
                  <c:v>janeiro_2022</c:v>
                </c:pt>
                <c:pt idx="4">
                  <c:v>fevereiro_2022</c:v>
                </c:pt>
                <c:pt idx="5">
                  <c:v>março_2022</c:v>
                </c:pt>
                <c:pt idx="6">
                  <c:v>abril_2022</c:v>
                </c:pt>
                <c:pt idx="7">
                  <c:v>maio_2022</c:v>
                </c:pt>
                <c:pt idx="8">
                  <c:v>junho_2022</c:v>
                </c:pt>
                <c:pt idx="9">
                  <c:v>julho_2022</c:v>
                </c:pt>
                <c:pt idx="10">
                  <c:v>agosto_2022</c:v>
                </c:pt>
                <c:pt idx="11">
                  <c:v>setembro_2022</c:v>
                </c:pt>
                <c:pt idx="12">
                  <c:v>outubro_2022</c:v>
                </c:pt>
                <c:pt idx="13">
                  <c:v>novembro_2022</c:v>
                </c:pt>
                <c:pt idx="14">
                  <c:v>dezembro_2022</c:v>
                </c:pt>
              </c:strCache>
            </c:strRef>
          </c:cat>
          <c:val>
            <c:numRef>
              <c:f>OUTROS!$B$11:$B$25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1A-4E53-B395-01B4D90C6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71105088"/>
        <c:axId val="1311436832"/>
      </c:barChart>
      <c:lineChart>
        <c:grouping val="standard"/>
        <c:varyColors val="0"/>
        <c:ser>
          <c:idx val="1"/>
          <c:order val="1"/>
          <c:tx>
            <c:strRef>
              <c:f>OUTROS!$C$1</c:f>
              <c:strCache>
                <c:ptCount val="1"/>
                <c:pt idx="0">
                  <c:v> Ton limite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OUTROS!$C$11:$C$25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247900</c:v>
                </c:pt>
                <c:pt idx="9">
                  <c:v>214100</c:v>
                </c:pt>
                <c:pt idx="10">
                  <c:v>261600</c:v>
                </c:pt>
                <c:pt idx="11">
                  <c:v>257100</c:v>
                </c:pt>
                <c:pt idx="12">
                  <c:v>244100</c:v>
                </c:pt>
                <c:pt idx="13">
                  <c:v>257100</c:v>
                </c:pt>
                <c:pt idx="14">
                  <c:v>212600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1A-4E53-B395-01B4D90C6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9093480"/>
        <c:axId val="979094792"/>
      </c:lineChart>
      <c:catAx>
        <c:axId val="97909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094792"/>
        <c:crosses val="autoZero"/>
        <c:auto val="1"/>
        <c:lblAlgn val="ctr"/>
        <c:lblOffset val="100"/>
        <c:noMultiLvlLbl val="0"/>
      </c:catAx>
      <c:valAx>
        <c:axId val="97909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093480"/>
        <c:crosses val="autoZero"/>
        <c:crossBetween val="between"/>
      </c:valAx>
      <c:valAx>
        <c:axId val="1311436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1105088"/>
        <c:crosses val="max"/>
        <c:crossBetween val="between"/>
      </c:valAx>
      <c:catAx>
        <c:axId val="1171105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1436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3214629339522947"/>
          <c:y val="0.16701890279114537"/>
          <c:w val="0.13876160527854173"/>
          <c:h val="4.48232531280077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3500"/>
              <a:t>Redistribuição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5399640093577075E-2"/>
          <c:y val="0.27972703412073491"/>
          <c:w val="0.94849925748962793"/>
          <c:h val="0.61379443569553804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'PP1+PP2'!$F$1</c:f>
              <c:strCache>
                <c:ptCount val="1"/>
                <c:pt idx="0">
                  <c:v>Balizador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'PP1+PP2'!$B$11:$B$25</c:f>
              <c:strCache>
                <c:ptCount val="15"/>
                <c:pt idx="0">
                  <c:v>outubro_2021</c:v>
                </c:pt>
                <c:pt idx="1">
                  <c:v>novembro_2021</c:v>
                </c:pt>
                <c:pt idx="2">
                  <c:v>dezembro_2021</c:v>
                </c:pt>
                <c:pt idx="3">
                  <c:v>janeiro_2022</c:v>
                </c:pt>
                <c:pt idx="4">
                  <c:v>fevereiro_2022</c:v>
                </c:pt>
                <c:pt idx="5">
                  <c:v>março_2022</c:v>
                </c:pt>
                <c:pt idx="6">
                  <c:v>abril_2022</c:v>
                </c:pt>
                <c:pt idx="7">
                  <c:v>maio_2022</c:v>
                </c:pt>
                <c:pt idx="8">
                  <c:v>junho_2022</c:v>
                </c:pt>
                <c:pt idx="9">
                  <c:v>julho_2022</c:v>
                </c:pt>
                <c:pt idx="10">
                  <c:v>agosto_2022</c:v>
                </c:pt>
                <c:pt idx="11">
                  <c:v>setembro_2022</c:v>
                </c:pt>
                <c:pt idx="12">
                  <c:v>outubro_2022</c:v>
                </c:pt>
                <c:pt idx="13">
                  <c:v>novembro_2022</c:v>
                </c:pt>
                <c:pt idx="14">
                  <c:v>dezembro_2022</c:v>
                </c:pt>
              </c:strCache>
            </c:strRef>
          </c:cat>
          <c:val>
            <c:numRef>
              <c:f>'PP1+PP2'!$F$11:$F$25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1363450</c:v>
                </c:pt>
                <c:pt idx="9">
                  <c:v>994688.86900000041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42-4E80-BD3A-47B2D16A3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9093480"/>
        <c:axId val="979094792"/>
      </c:barChart>
      <c:barChart>
        <c:barDir val="col"/>
        <c:grouping val="clustered"/>
        <c:varyColors val="0"/>
        <c:ser>
          <c:idx val="0"/>
          <c:order val="0"/>
          <c:tx>
            <c:strRef>
              <c:f>'PP1+PP2'!$B$1</c:f>
              <c:strCache>
                <c:ptCount val="1"/>
                <c:pt idx="0">
                  <c:v>Semana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'PP1+PP2'!$B$11:$B$25</c:f>
              <c:strCache>
                <c:ptCount val="15"/>
                <c:pt idx="0">
                  <c:v>outubro_2021</c:v>
                </c:pt>
                <c:pt idx="1">
                  <c:v>novembro_2021</c:v>
                </c:pt>
                <c:pt idx="2">
                  <c:v>dezembro_2021</c:v>
                </c:pt>
                <c:pt idx="3">
                  <c:v>janeiro_2022</c:v>
                </c:pt>
                <c:pt idx="4">
                  <c:v>fevereiro_2022</c:v>
                </c:pt>
                <c:pt idx="5">
                  <c:v>março_2022</c:v>
                </c:pt>
                <c:pt idx="6">
                  <c:v>abril_2022</c:v>
                </c:pt>
                <c:pt idx="7">
                  <c:v>maio_2022</c:v>
                </c:pt>
                <c:pt idx="8">
                  <c:v>junho_2022</c:v>
                </c:pt>
                <c:pt idx="9">
                  <c:v>julho_2022</c:v>
                </c:pt>
                <c:pt idx="10">
                  <c:v>agosto_2022</c:v>
                </c:pt>
                <c:pt idx="11">
                  <c:v>setembro_2022</c:v>
                </c:pt>
                <c:pt idx="12">
                  <c:v>outubro_2022</c:v>
                </c:pt>
                <c:pt idx="13">
                  <c:v>novembro_2022</c:v>
                </c:pt>
                <c:pt idx="14">
                  <c:v>dezembro_2022</c:v>
                </c:pt>
              </c:strCache>
            </c:strRef>
          </c:cat>
          <c:val>
            <c:numRef>
              <c:f>'PP1+PP2'!$B$11:$B$25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42-4E80-BD3A-47B2D16A3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71105088"/>
        <c:axId val="1311436832"/>
      </c:barChart>
      <c:lineChart>
        <c:grouping val="standard"/>
        <c:varyColors val="0"/>
        <c:ser>
          <c:idx val="1"/>
          <c:order val="1"/>
          <c:tx>
            <c:strRef>
              <c:f>'PP1+PP2'!$C$1</c:f>
              <c:strCache>
                <c:ptCount val="1"/>
                <c:pt idx="0">
                  <c:v> Ton limite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'PP1+PP2'!$C$11:$C$25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1363450</c:v>
                </c:pt>
                <c:pt idx="9">
                  <c:v>1177550</c:v>
                </c:pt>
                <c:pt idx="10">
                  <c:v>1438800</c:v>
                </c:pt>
                <c:pt idx="11">
                  <c:v>1414050</c:v>
                </c:pt>
                <c:pt idx="12">
                  <c:v>1342550</c:v>
                </c:pt>
                <c:pt idx="13">
                  <c:v>1414050</c:v>
                </c:pt>
                <c:pt idx="14">
                  <c:v>1169300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42-4E80-BD3A-47B2D16A3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9093480"/>
        <c:axId val="979094792"/>
      </c:lineChart>
      <c:catAx>
        <c:axId val="97909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094792"/>
        <c:crosses val="autoZero"/>
        <c:auto val="1"/>
        <c:lblAlgn val="ctr"/>
        <c:lblOffset val="100"/>
        <c:noMultiLvlLbl val="0"/>
      </c:catAx>
      <c:valAx>
        <c:axId val="97909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093480"/>
        <c:crosses val="autoZero"/>
        <c:crossBetween val="between"/>
      </c:valAx>
      <c:valAx>
        <c:axId val="1311436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1105088"/>
        <c:crosses val="max"/>
        <c:crossBetween val="between"/>
      </c:valAx>
      <c:catAx>
        <c:axId val="1171105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1436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3214629339522947"/>
          <c:y val="0.16701890279114537"/>
          <c:w val="0.13876160527854173"/>
          <c:h val="4.48232531280077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3500"/>
              <a:t>Redistribuição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5399640093577075E-2"/>
          <c:y val="0.27972703412073491"/>
          <c:w val="0.94849925748962793"/>
          <c:h val="0.61379443569553804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'PP3'!$F$1</c:f>
              <c:strCache>
                <c:ptCount val="1"/>
                <c:pt idx="0">
                  <c:v>Balizador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'PP3'!$B$11:$B$25</c:f>
              <c:strCache>
                <c:ptCount val="15"/>
                <c:pt idx="0">
                  <c:v>outubro_2021</c:v>
                </c:pt>
                <c:pt idx="1">
                  <c:v>novembro_2021</c:v>
                </c:pt>
                <c:pt idx="2">
                  <c:v>dezembro_2021</c:v>
                </c:pt>
                <c:pt idx="3">
                  <c:v>janeiro_2022</c:v>
                </c:pt>
                <c:pt idx="4">
                  <c:v>fevereiro_2022</c:v>
                </c:pt>
                <c:pt idx="5">
                  <c:v>março_2022</c:v>
                </c:pt>
                <c:pt idx="6">
                  <c:v>abril_2022</c:v>
                </c:pt>
                <c:pt idx="7">
                  <c:v>maio_2022</c:v>
                </c:pt>
                <c:pt idx="8">
                  <c:v>junho_2022</c:v>
                </c:pt>
                <c:pt idx="9">
                  <c:v>julho_2022</c:v>
                </c:pt>
                <c:pt idx="10">
                  <c:v>agosto_2022</c:v>
                </c:pt>
                <c:pt idx="11">
                  <c:v>setembro_2022</c:v>
                </c:pt>
                <c:pt idx="12">
                  <c:v>outubro_2022</c:v>
                </c:pt>
                <c:pt idx="13">
                  <c:v>novembro_2022</c:v>
                </c:pt>
                <c:pt idx="14">
                  <c:v>dezembro_2022</c:v>
                </c:pt>
              </c:strCache>
            </c:strRef>
          </c:cat>
          <c:val>
            <c:numRef>
              <c:f>'PP3'!$F$11:$F$25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396640</c:v>
                </c:pt>
                <c:pt idx="9">
                  <c:v>342560</c:v>
                </c:pt>
                <c:pt idx="10">
                  <c:v>209195.53000000003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E-46AB-A7D0-1F800EDFB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9093480"/>
        <c:axId val="979094792"/>
      </c:barChart>
      <c:barChart>
        <c:barDir val="col"/>
        <c:grouping val="clustered"/>
        <c:varyColors val="0"/>
        <c:ser>
          <c:idx val="0"/>
          <c:order val="0"/>
          <c:tx>
            <c:strRef>
              <c:f>'PP3'!$B$1</c:f>
              <c:strCache>
                <c:ptCount val="1"/>
                <c:pt idx="0">
                  <c:v>Semana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'PP3'!$B$11:$B$25</c:f>
              <c:strCache>
                <c:ptCount val="15"/>
                <c:pt idx="0">
                  <c:v>outubro_2021</c:v>
                </c:pt>
                <c:pt idx="1">
                  <c:v>novembro_2021</c:v>
                </c:pt>
                <c:pt idx="2">
                  <c:v>dezembro_2021</c:v>
                </c:pt>
                <c:pt idx="3">
                  <c:v>janeiro_2022</c:v>
                </c:pt>
                <c:pt idx="4">
                  <c:v>fevereiro_2022</c:v>
                </c:pt>
                <c:pt idx="5">
                  <c:v>março_2022</c:v>
                </c:pt>
                <c:pt idx="6">
                  <c:v>abril_2022</c:v>
                </c:pt>
                <c:pt idx="7">
                  <c:v>maio_2022</c:v>
                </c:pt>
                <c:pt idx="8">
                  <c:v>junho_2022</c:v>
                </c:pt>
                <c:pt idx="9">
                  <c:v>julho_2022</c:v>
                </c:pt>
                <c:pt idx="10">
                  <c:v>agosto_2022</c:v>
                </c:pt>
                <c:pt idx="11">
                  <c:v>setembro_2022</c:v>
                </c:pt>
                <c:pt idx="12">
                  <c:v>outubro_2022</c:v>
                </c:pt>
                <c:pt idx="13">
                  <c:v>novembro_2022</c:v>
                </c:pt>
                <c:pt idx="14">
                  <c:v>dezembro_2022</c:v>
                </c:pt>
              </c:strCache>
            </c:strRef>
          </c:cat>
          <c:val>
            <c:numRef>
              <c:f>'PP3'!$B$11:$B$25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8E-46AB-A7D0-1F800EDFB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71105088"/>
        <c:axId val="1311436832"/>
      </c:barChart>
      <c:lineChart>
        <c:grouping val="standard"/>
        <c:varyColors val="0"/>
        <c:ser>
          <c:idx val="1"/>
          <c:order val="1"/>
          <c:tx>
            <c:strRef>
              <c:f>'PP3'!$C$1</c:f>
              <c:strCache>
                <c:ptCount val="1"/>
                <c:pt idx="0">
                  <c:v> Ton limite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'PP3'!$C$11:$C$25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396640</c:v>
                </c:pt>
                <c:pt idx="9">
                  <c:v>342560</c:v>
                </c:pt>
                <c:pt idx="10">
                  <c:v>418560</c:v>
                </c:pt>
                <c:pt idx="11">
                  <c:v>411360</c:v>
                </c:pt>
                <c:pt idx="12">
                  <c:v>390560</c:v>
                </c:pt>
                <c:pt idx="13">
                  <c:v>411360</c:v>
                </c:pt>
                <c:pt idx="14">
                  <c:v>340160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8E-46AB-A7D0-1F800EDFB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9093480"/>
        <c:axId val="979094792"/>
      </c:lineChart>
      <c:catAx>
        <c:axId val="97909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094792"/>
        <c:crosses val="autoZero"/>
        <c:auto val="1"/>
        <c:lblAlgn val="ctr"/>
        <c:lblOffset val="100"/>
        <c:noMultiLvlLbl val="0"/>
      </c:catAx>
      <c:valAx>
        <c:axId val="97909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093480"/>
        <c:crosses val="autoZero"/>
        <c:crossBetween val="between"/>
      </c:valAx>
      <c:valAx>
        <c:axId val="1311436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1105088"/>
        <c:crosses val="max"/>
        <c:crossBetween val="between"/>
      </c:valAx>
      <c:catAx>
        <c:axId val="1171105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1436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3214629339522947"/>
          <c:y val="0.16701890279114537"/>
          <c:w val="0.13876160527854173"/>
          <c:h val="4.48232531280077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3500"/>
              <a:t>Redistribuição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5399640093577075E-2"/>
          <c:y val="0.27972703412073491"/>
          <c:w val="0.94849925748962793"/>
          <c:h val="0.61379443569553804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DRI!$F$1</c:f>
              <c:strCache>
                <c:ptCount val="1"/>
                <c:pt idx="0">
                  <c:v>Balizador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DRI!$B$11:$B$25</c:f>
              <c:strCache>
                <c:ptCount val="15"/>
                <c:pt idx="0">
                  <c:v>outubro_2021</c:v>
                </c:pt>
                <c:pt idx="1">
                  <c:v>novembro_2021</c:v>
                </c:pt>
                <c:pt idx="2">
                  <c:v>dezembro_2021</c:v>
                </c:pt>
                <c:pt idx="3">
                  <c:v>janeiro_2022</c:v>
                </c:pt>
                <c:pt idx="4">
                  <c:v>fevereiro_2022</c:v>
                </c:pt>
                <c:pt idx="5">
                  <c:v>março_2022</c:v>
                </c:pt>
                <c:pt idx="6">
                  <c:v>abril_2022</c:v>
                </c:pt>
                <c:pt idx="7">
                  <c:v>maio_2022</c:v>
                </c:pt>
                <c:pt idx="8">
                  <c:v>junho_2022</c:v>
                </c:pt>
                <c:pt idx="9">
                  <c:v>julho_2022</c:v>
                </c:pt>
                <c:pt idx="10">
                  <c:v>agosto_2022</c:v>
                </c:pt>
                <c:pt idx="11">
                  <c:v>setembro_2022</c:v>
                </c:pt>
                <c:pt idx="12">
                  <c:v>outubro_2022</c:v>
                </c:pt>
                <c:pt idx="13">
                  <c:v>novembro_2022</c:v>
                </c:pt>
                <c:pt idx="14">
                  <c:v>dezembro_2022</c:v>
                </c:pt>
              </c:strCache>
            </c:strRef>
          </c:cat>
          <c:val>
            <c:numRef>
              <c:f>DRI!$F$11:$F$25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396640</c:v>
                </c:pt>
                <c:pt idx="9">
                  <c:v>78218.866000000038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1B-412B-A44E-FB8311067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9093480"/>
        <c:axId val="979094792"/>
      </c:barChart>
      <c:barChart>
        <c:barDir val="col"/>
        <c:grouping val="clustered"/>
        <c:varyColors val="0"/>
        <c:ser>
          <c:idx val="0"/>
          <c:order val="0"/>
          <c:tx>
            <c:strRef>
              <c:f>DRI!$B$1</c:f>
              <c:strCache>
                <c:ptCount val="1"/>
                <c:pt idx="0">
                  <c:v>Semana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DRI!$B$11:$B$25</c:f>
              <c:strCache>
                <c:ptCount val="15"/>
                <c:pt idx="0">
                  <c:v>outubro_2021</c:v>
                </c:pt>
                <c:pt idx="1">
                  <c:v>novembro_2021</c:v>
                </c:pt>
                <c:pt idx="2">
                  <c:v>dezembro_2021</c:v>
                </c:pt>
                <c:pt idx="3">
                  <c:v>janeiro_2022</c:v>
                </c:pt>
                <c:pt idx="4">
                  <c:v>fevereiro_2022</c:v>
                </c:pt>
                <c:pt idx="5">
                  <c:v>março_2022</c:v>
                </c:pt>
                <c:pt idx="6">
                  <c:v>abril_2022</c:v>
                </c:pt>
                <c:pt idx="7">
                  <c:v>maio_2022</c:v>
                </c:pt>
                <c:pt idx="8">
                  <c:v>junho_2022</c:v>
                </c:pt>
                <c:pt idx="9">
                  <c:v>julho_2022</c:v>
                </c:pt>
                <c:pt idx="10">
                  <c:v>agosto_2022</c:v>
                </c:pt>
                <c:pt idx="11">
                  <c:v>setembro_2022</c:v>
                </c:pt>
                <c:pt idx="12">
                  <c:v>outubro_2022</c:v>
                </c:pt>
                <c:pt idx="13">
                  <c:v>novembro_2022</c:v>
                </c:pt>
                <c:pt idx="14">
                  <c:v>dezembro_2022</c:v>
                </c:pt>
              </c:strCache>
            </c:strRef>
          </c:cat>
          <c:val>
            <c:numRef>
              <c:f>DRI!$B$11:$B$25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1B-412B-A44E-FB8311067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71105088"/>
        <c:axId val="1311436832"/>
      </c:barChart>
      <c:lineChart>
        <c:grouping val="standard"/>
        <c:varyColors val="0"/>
        <c:ser>
          <c:idx val="1"/>
          <c:order val="1"/>
          <c:tx>
            <c:strRef>
              <c:f>DRI!$C$1</c:f>
              <c:strCache>
                <c:ptCount val="1"/>
                <c:pt idx="0">
                  <c:v> Ton limite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DRI!$C$11:$C$25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396640</c:v>
                </c:pt>
                <c:pt idx="9">
                  <c:v>342560</c:v>
                </c:pt>
                <c:pt idx="10">
                  <c:v>418560</c:v>
                </c:pt>
                <c:pt idx="11">
                  <c:v>411360</c:v>
                </c:pt>
                <c:pt idx="12">
                  <c:v>390560</c:v>
                </c:pt>
                <c:pt idx="13">
                  <c:v>411360</c:v>
                </c:pt>
                <c:pt idx="14">
                  <c:v>340160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1B-412B-A44E-FB8311067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9093480"/>
        <c:axId val="979094792"/>
      </c:lineChart>
      <c:catAx>
        <c:axId val="97909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094792"/>
        <c:crosses val="autoZero"/>
        <c:auto val="1"/>
        <c:lblAlgn val="ctr"/>
        <c:lblOffset val="100"/>
        <c:noMultiLvlLbl val="0"/>
      </c:catAx>
      <c:valAx>
        <c:axId val="97909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093480"/>
        <c:crosses val="autoZero"/>
        <c:crossBetween val="between"/>
      </c:valAx>
      <c:valAx>
        <c:axId val="1311436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1105088"/>
        <c:crosses val="max"/>
        <c:crossBetween val="between"/>
      </c:valAx>
      <c:catAx>
        <c:axId val="1171105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1436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3214629339522947"/>
          <c:y val="0.16701890279114537"/>
          <c:w val="0.13876160527854173"/>
          <c:h val="4.48232531280077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3500"/>
              <a:t>Redistribuição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5399640093577075E-2"/>
          <c:y val="0.27972703412073491"/>
          <c:w val="0.94849925748962793"/>
          <c:h val="0.61379443569553804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'FLOW RACK'!$F$1</c:f>
              <c:strCache>
                <c:ptCount val="1"/>
                <c:pt idx="0">
                  <c:v>Balizador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'FLOW RACK'!$B$11:$B$25</c:f>
              <c:strCache>
                <c:ptCount val="15"/>
                <c:pt idx="0">
                  <c:v>outubro_2021</c:v>
                </c:pt>
                <c:pt idx="1">
                  <c:v>novembro_2021</c:v>
                </c:pt>
                <c:pt idx="2">
                  <c:v>dezembro_2021</c:v>
                </c:pt>
                <c:pt idx="3">
                  <c:v>janeiro_2022</c:v>
                </c:pt>
                <c:pt idx="4">
                  <c:v>fevereiro_2022</c:v>
                </c:pt>
                <c:pt idx="5">
                  <c:v>março_2022</c:v>
                </c:pt>
                <c:pt idx="6">
                  <c:v>abril_2022</c:v>
                </c:pt>
                <c:pt idx="7">
                  <c:v>maio_2022</c:v>
                </c:pt>
                <c:pt idx="8">
                  <c:v>junho_2022</c:v>
                </c:pt>
                <c:pt idx="9">
                  <c:v>julho_2022</c:v>
                </c:pt>
                <c:pt idx="10">
                  <c:v>agosto_2022</c:v>
                </c:pt>
                <c:pt idx="11">
                  <c:v>setembro_2022</c:v>
                </c:pt>
                <c:pt idx="12">
                  <c:v>outubro_2022</c:v>
                </c:pt>
                <c:pt idx="13">
                  <c:v>novembro_2022</c:v>
                </c:pt>
                <c:pt idx="14">
                  <c:v>dezembro_2022</c:v>
                </c:pt>
              </c:strCache>
            </c:strRef>
          </c:cat>
          <c:val>
            <c:numRef>
              <c:f>'FLOW RACK'!$F$11:$F$25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24790</c:v>
                </c:pt>
                <c:pt idx="9">
                  <c:v>21410</c:v>
                </c:pt>
                <c:pt idx="10">
                  <c:v>14701.130000000005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47-4EE3-85C9-4D323F73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9093480"/>
        <c:axId val="979094792"/>
      </c:barChart>
      <c:barChart>
        <c:barDir val="col"/>
        <c:grouping val="clustered"/>
        <c:varyColors val="0"/>
        <c:ser>
          <c:idx val="0"/>
          <c:order val="0"/>
          <c:tx>
            <c:strRef>
              <c:f>'FLOW RACK'!$B$1</c:f>
              <c:strCache>
                <c:ptCount val="1"/>
                <c:pt idx="0">
                  <c:v>Semana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'FLOW RACK'!$B$11:$B$25</c:f>
              <c:strCache>
                <c:ptCount val="15"/>
                <c:pt idx="0">
                  <c:v>outubro_2021</c:v>
                </c:pt>
                <c:pt idx="1">
                  <c:v>novembro_2021</c:v>
                </c:pt>
                <c:pt idx="2">
                  <c:v>dezembro_2021</c:v>
                </c:pt>
                <c:pt idx="3">
                  <c:v>janeiro_2022</c:v>
                </c:pt>
                <c:pt idx="4">
                  <c:v>fevereiro_2022</c:v>
                </c:pt>
                <c:pt idx="5">
                  <c:v>março_2022</c:v>
                </c:pt>
                <c:pt idx="6">
                  <c:v>abril_2022</c:v>
                </c:pt>
                <c:pt idx="7">
                  <c:v>maio_2022</c:v>
                </c:pt>
                <c:pt idx="8">
                  <c:v>junho_2022</c:v>
                </c:pt>
                <c:pt idx="9">
                  <c:v>julho_2022</c:v>
                </c:pt>
                <c:pt idx="10">
                  <c:v>agosto_2022</c:v>
                </c:pt>
                <c:pt idx="11">
                  <c:v>setembro_2022</c:v>
                </c:pt>
                <c:pt idx="12">
                  <c:v>outubro_2022</c:v>
                </c:pt>
                <c:pt idx="13">
                  <c:v>novembro_2022</c:v>
                </c:pt>
                <c:pt idx="14">
                  <c:v>dezembro_2022</c:v>
                </c:pt>
              </c:strCache>
            </c:strRef>
          </c:cat>
          <c:val>
            <c:numRef>
              <c:f>'FLOW RACK'!$B$11:$B$25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47-4EE3-85C9-4D323F73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71105088"/>
        <c:axId val="1311436832"/>
      </c:barChart>
      <c:lineChart>
        <c:grouping val="standard"/>
        <c:varyColors val="0"/>
        <c:ser>
          <c:idx val="1"/>
          <c:order val="1"/>
          <c:tx>
            <c:strRef>
              <c:f>'FLOW RACK'!$C$1</c:f>
              <c:strCache>
                <c:ptCount val="1"/>
                <c:pt idx="0">
                  <c:v> Ton limite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'FLOW RACK'!$C$11:$C$25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24790</c:v>
                </c:pt>
                <c:pt idx="9">
                  <c:v>21410</c:v>
                </c:pt>
                <c:pt idx="10">
                  <c:v>26160</c:v>
                </c:pt>
                <c:pt idx="11">
                  <c:v>25710</c:v>
                </c:pt>
                <c:pt idx="12">
                  <c:v>24410</c:v>
                </c:pt>
                <c:pt idx="13">
                  <c:v>25710</c:v>
                </c:pt>
                <c:pt idx="14">
                  <c:v>21260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47-4EE3-85C9-4D323F73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9093480"/>
        <c:axId val="979094792"/>
      </c:lineChart>
      <c:catAx>
        <c:axId val="97909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094792"/>
        <c:crosses val="autoZero"/>
        <c:auto val="1"/>
        <c:lblAlgn val="ctr"/>
        <c:lblOffset val="100"/>
        <c:noMultiLvlLbl val="0"/>
      </c:catAx>
      <c:valAx>
        <c:axId val="97909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093480"/>
        <c:crosses val="autoZero"/>
        <c:crossBetween val="between"/>
      </c:valAx>
      <c:valAx>
        <c:axId val="1311436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1105088"/>
        <c:crosses val="max"/>
        <c:crossBetween val="between"/>
      </c:valAx>
      <c:catAx>
        <c:axId val="1171105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1436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3214629339522947"/>
          <c:y val="0.16701890279114537"/>
          <c:w val="0.13876160527854173"/>
          <c:h val="4.48232531280077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3500"/>
              <a:t>Redistribuição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5399640093577075E-2"/>
          <c:y val="0.27972703412073491"/>
          <c:w val="0.94849925748962793"/>
          <c:h val="0.61379443569553804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'DIN + PUSH'!$F$1</c:f>
              <c:strCache>
                <c:ptCount val="1"/>
                <c:pt idx="0">
                  <c:v>Balizador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'DIN + PUSH'!$B$11:$B$25</c:f>
              <c:strCache>
                <c:ptCount val="15"/>
                <c:pt idx="0">
                  <c:v>outubro_2021</c:v>
                </c:pt>
                <c:pt idx="1">
                  <c:v>novembro_2021</c:v>
                </c:pt>
                <c:pt idx="2">
                  <c:v>dezembro_2021</c:v>
                </c:pt>
                <c:pt idx="3">
                  <c:v>janeiro_2022</c:v>
                </c:pt>
                <c:pt idx="4">
                  <c:v>fevereiro_2022</c:v>
                </c:pt>
                <c:pt idx="5">
                  <c:v>março_2022</c:v>
                </c:pt>
                <c:pt idx="6">
                  <c:v>abril_2022</c:v>
                </c:pt>
                <c:pt idx="7">
                  <c:v>maio_2022</c:v>
                </c:pt>
                <c:pt idx="8">
                  <c:v>junho_2022</c:v>
                </c:pt>
                <c:pt idx="9">
                  <c:v>julho_2022</c:v>
                </c:pt>
                <c:pt idx="10">
                  <c:v>agosto_2022</c:v>
                </c:pt>
                <c:pt idx="11">
                  <c:v>setembro_2022</c:v>
                </c:pt>
                <c:pt idx="12">
                  <c:v>outubro_2022</c:v>
                </c:pt>
                <c:pt idx="13">
                  <c:v>novembro_2022</c:v>
                </c:pt>
                <c:pt idx="14">
                  <c:v>dezembro_2022</c:v>
                </c:pt>
              </c:strCache>
            </c:strRef>
          </c:cat>
          <c:val>
            <c:numRef>
              <c:f>'DIN + PUSH'!$F$11:$F$25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49580</c:v>
                </c:pt>
                <c:pt idx="9">
                  <c:v>42820</c:v>
                </c:pt>
                <c:pt idx="10">
                  <c:v>52320</c:v>
                </c:pt>
                <c:pt idx="11">
                  <c:v>1218.0900000000256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CE-43F0-8C02-DB990710D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9093480"/>
        <c:axId val="979094792"/>
      </c:barChart>
      <c:barChart>
        <c:barDir val="col"/>
        <c:grouping val="clustered"/>
        <c:varyColors val="0"/>
        <c:ser>
          <c:idx val="0"/>
          <c:order val="0"/>
          <c:tx>
            <c:strRef>
              <c:f>'DIN + PUSH'!$B$1</c:f>
              <c:strCache>
                <c:ptCount val="1"/>
                <c:pt idx="0">
                  <c:v>Semana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'DIN + PUSH'!$B$11:$B$25</c:f>
              <c:strCache>
                <c:ptCount val="15"/>
                <c:pt idx="0">
                  <c:v>outubro_2021</c:v>
                </c:pt>
                <c:pt idx="1">
                  <c:v>novembro_2021</c:v>
                </c:pt>
                <c:pt idx="2">
                  <c:v>dezembro_2021</c:v>
                </c:pt>
                <c:pt idx="3">
                  <c:v>janeiro_2022</c:v>
                </c:pt>
                <c:pt idx="4">
                  <c:v>fevereiro_2022</c:v>
                </c:pt>
                <c:pt idx="5">
                  <c:v>março_2022</c:v>
                </c:pt>
                <c:pt idx="6">
                  <c:v>abril_2022</c:v>
                </c:pt>
                <c:pt idx="7">
                  <c:v>maio_2022</c:v>
                </c:pt>
                <c:pt idx="8">
                  <c:v>junho_2022</c:v>
                </c:pt>
                <c:pt idx="9">
                  <c:v>julho_2022</c:v>
                </c:pt>
                <c:pt idx="10">
                  <c:v>agosto_2022</c:v>
                </c:pt>
                <c:pt idx="11">
                  <c:v>setembro_2022</c:v>
                </c:pt>
                <c:pt idx="12">
                  <c:v>outubro_2022</c:v>
                </c:pt>
                <c:pt idx="13">
                  <c:v>novembro_2022</c:v>
                </c:pt>
                <c:pt idx="14">
                  <c:v>dezembro_2022</c:v>
                </c:pt>
              </c:strCache>
            </c:strRef>
          </c:cat>
          <c:val>
            <c:numRef>
              <c:f>'DIN + PUSH'!$B$11:$B$25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CE-43F0-8C02-DB990710D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71105088"/>
        <c:axId val="1311436832"/>
      </c:barChart>
      <c:lineChart>
        <c:grouping val="standard"/>
        <c:varyColors val="0"/>
        <c:ser>
          <c:idx val="1"/>
          <c:order val="1"/>
          <c:tx>
            <c:strRef>
              <c:f>'DIN + PUSH'!$C$1</c:f>
              <c:strCache>
                <c:ptCount val="1"/>
                <c:pt idx="0">
                  <c:v> Ton limite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'DIN + PUSH'!$C$11:$C$25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49580</c:v>
                </c:pt>
                <c:pt idx="9">
                  <c:v>42820</c:v>
                </c:pt>
                <c:pt idx="10">
                  <c:v>52320</c:v>
                </c:pt>
                <c:pt idx="11">
                  <c:v>51420</c:v>
                </c:pt>
                <c:pt idx="12">
                  <c:v>48820</c:v>
                </c:pt>
                <c:pt idx="13">
                  <c:v>51420</c:v>
                </c:pt>
                <c:pt idx="14">
                  <c:v>42520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CE-43F0-8C02-DB990710D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9093480"/>
        <c:axId val="979094792"/>
      </c:lineChart>
      <c:catAx>
        <c:axId val="97909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094792"/>
        <c:crosses val="autoZero"/>
        <c:auto val="1"/>
        <c:lblAlgn val="ctr"/>
        <c:lblOffset val="100"/>
        <c:noMultiLvlLbl val="0"/>
      </c:catAx>
      <c:valAx>
        <c:axId val="97909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9093480"/>
        <c:crosses val="autoZero"/>
        <c:crossBetween val="between"/>
      </c:valAx>
      <c:valAx>
        <c:axId val="1311436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71105088"/>
        <c:crosses val="max"/>
        <c:crossBetween val="between"/>
      </c:valAx>
      <c:catAx>
        <c:axId val="1171105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1436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3214629339522947"/>
          <c:y val="0.16701890279114537"/>
          <c:w val="0.13876160527854173"/>
          <c:h val="4.48232531280077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[2. PRAZOS PARA VENDA (Capacidade produtiva de 2022).xlsm]Experiência!Tabela dinâmica20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3.3232638373033559E-3"/>
              <c:y val="-8.185959230758451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3.9800921111276186E-3"/>
              <c:y val="7.97900169904706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7</xdr:row>
      <xdr:rowOff>180975</xdr:rowOff>
    </xdr:from>
    <xdr:to>
      <xdr:col>2</xdr:col>
      <xdr:colOff>838200</xdr:colOff>
      <xdr:row>9</xdr:row>
      <xdr:rowOff>9525</xdr:rowOff>
    </xdr:to>
    <xdr:sp macro="[0]!AtualizarTodasTabelasDinamicas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314575" y="1514475"/>
          <a:ext cx="742950" cy="20955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</a:rPr>
            <a:t>Atualizar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152400</xdr:colOff>
          <xdr:row>0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1524000</xdr:colOff>
          <xdr:row>0</xdr:row>
          <xdr:rowOff>0</xdr:rowOff>
        </xdr:from>
        <xdr:to>
          <xdr:col>2</xdr:col>
          <xdr:colOff>355600</xdr:colOff>
          <xdr:row>0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0</xdr:rowOff>
        </xdr:from>
        <xdr:to>
          <xdr:col>1</xdr:col>
          <xdr:colOff>1384300</xdr:colOff>
          <xdr:row>0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152400</xdr:colOff>
          <xdr:row>0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1524000</xdr:colOff>
          <xdr:row>0</xdr:row>
          <xdr:rowOff>0</xdr:rowOff>
        </xdr:from>
        <xdr:to>
          <xdr:col>2</xdr:col>
          <xdr:colOff>355600</xdr:colOff>
          <xdr:row>0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0</xdr:rowOff>
        </xdr:from>
        <xdr:to>
          <xdr:col>1</xdr:col>
          <xdr:colOff>1384300</xdr:colOff>
          <xdr:row>0</xdr:row>
          <xdr:rowOff>228600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117517</xdr:colOff>
      <xdr:row>2</xdr:row>
      <xdr:rowOff>150916</xdr:rowOff>
    </xdr:from>
    <xdr:to>
      <xdr:col>8</xdr:col>
      <xdr:colOff>1039710</xdr:colOff>
      <xdr:row>4</xdr:row>
      <xdr:rowOff>168234</xdr:rowOff>
    </xdr:to>
    <xdr:sp macro="[0]!ExportarDados_BC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411196" y="531916"/>
          <a:ext cx="922193" cy="398318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</a:rPr>
            <a:t>EXPORTAR DADOS</a:t>
          </a:r>
        </a:p>
      </xdr:txBody>
    </xdr:sp>
    <xdr:clientData/>
  </xdr:twoCellAnchor>
  <xdr:twoCellAnchor>
    <xdr:from>
      <xdr:col>9</xdr:col>
      <xdr:colOff>244929</xdr:colOff>
      <xdr:row>0</xdr:row>
      <xdr:rowOff>176893</xdr:rowOff>
    </xdr:from>
    <xdr:to>
      <xdr:col>27</xdr:col>
      <xdr:colOff>0</xdr:colOff>
      <xdr:row>24</xdr:row>
      <xdr:rowOff>117231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1303812</xdr:colOff>
      <xdr:row>0</xdr:row>
      <xdr:rowOff>0</xdr:rowOff>
    </xdr:from>
    <xdr:to>
      <xdr:col>41</xdr:col>
      <xdr:colOff>449036</xdr:colOff>
      <xdr:row>25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1303812</xdr:colOff>
      <xdr:row>0</xdr:row>
      <xdr:rowOff>0</xdr:rowOff>
    </xdr:from>
    <xdr:to>
      <xdr:col>41</xdr:col>
      <xdr:colOff>449036</xdr:colOff>
      <xdr:row>25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1303812</xdr:colOff>
      <xdr:row>0</xdr:row>
      <xdr:rowOff>0</xdr:rowOff>
    </xdr:from>
    <xdr:to>
      <xdr:col>41</xdr:col>
      <xdr:colOff>449036</xdr:colOff>
      <xdr:row>25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1303812</xdr:colOff>
      <xdr:row>0</xdr:row>
      <xdr:rowOff>0</xdr:rowOff>
    </xdr:from>
    <xdr:to>
      <xdr:col>41</xdr:col>
      <xdr:colOff>449036</xdr:colOff>
      <xdr:row>25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1303812</xdr:colOff>
      <xdr:row>0</xdr:row>
      <xdr:rowOff>0</xdr:rowOff>
    </xdr:from>
    <xdr:to>
      <xdr:col>41</xdr:col>
      <xdr:colOff>449036</xdr:colOff>
      <xdr:row>25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1303812</xdr:colOff>
      <xdr:row>0</xdr:row>
      <xdr:rowOff>0</xdr:rowOff>
    </xdr:from>
    <xdr:to>
      <xdr:col>41</xdr:col>
      <xdr:colOff>449036</xdr:colOff>
      <xdr:row>25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276225</xdr:colOff>
      <xdr:row>22</xdr:row>
      <xdr:rowOff>119063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rupos/PCP/OBRAS/OBRAS%202015/Porta%20Pallets%20B80%20B90%20SEM%20FICHA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Grupos/SA2%20-%20Detalhamento/PLANILHAS%20DE%20DETALHAMENTO/PPP%20-%20BL80,%20BL90,%20BM80,%20BM90/Porta%20Pallets%20B80%20B90%20SEM%20FICHAS%20-%20R0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rupos/SA2%20-%20C&#225;lculo/Desenvolvimento%20de%20Processos%20Internos%20e%20Produtos/%23Exportar-Importar%20XML/Drive%20In%20-%20Bloco%20&#218;nico%20ou%20Blocos%20Id&#234;nticos%20-%20R10.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"/>
      <sheetName val="CÁLCULO"/>
      <sheetName val="Montante 1"/>
      <sheetName val="Montante 2"/>
      <sheetName val="PFS"/>
      <sheetName val="MANIFESTO"/>
      <sheetName val="GERAL"/>
      <sheetName val="EXPORTAPFS"/>
    </sheetNames>
    <sheetDataSet>
      <sheetData sheetId="0"/>
      <sheetData sheetId="1">
        <row r="21">
          <cell r="Y21">
            <v>0.92100000000000004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"/>
      <sheetName val="CÁLCULO"/>
      <sheetName val="CHECKLIST"/>
      <sheetName val="MANIFESTO"/>
      <sheetName val="MFT M"/>
      <sheetName val="PFS"/>
      <sheetName val="Montante 1"/>
      <sheetName val="Montante 2"/>
      <sheetName val="Montante 3"/>
      <sheetName val="Mont. Tirante Comp."/>
      <sheetName val="GERAL"/>
      <sheetName val="EXPORTAPFS"/>
      <sheetName val="Checklist (manual)"/>
      <sheetName val="BD_IMG"/>
    </sheetNames>
    <sheetDataSet>
      <sheetData sheetId="0"/>
      <sheetData sheetId="1"/>
      <sheetData sheetId="2"/>
      <sheetData sheetId="3"/>
      <sheetData sheetId="4"/>
      <sheetData sheetId="5"/>
      <sheetData sheetId="6">
        <row r="78">
          <cell r="AL78" t="e">
            <v>#DIV/0!</v>
          </cell>
        </row>
      </sheetData>
      <sheetData sheetId="7">
        <row r="78">
          <cell r="AL78">
            <v>2</v>
          </cell>
        </row>
      </sheetData>
      <sheetData sheetId="8">
        <row r="78">
          <cell r="AL78">
            <v>2</v>
          </cell>
        </row>
      </sheetData>
      <sheetData sheetId="9"/>
      <sheetData sheetId="10"/>
      <sheetData sheetId="11"/>
      <sheetData sheetId="12"/>
      <sheetData sheetId="13">
        <row r="4">
          <cell r="A4">
            <v>1</v>
          </cell>
          <cell r="D4">
            <v>6</v>
          </cell>
        </row>
        <row r="5">
          <cell r="A5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"/>
      <sheetName val="CÁLCULO"/>
      <sheetName val="MANIFESTO"/>
      <sheetName val="MFT M"/>
      <sheetName val="PFS"/>
      <sheetName val="Montante 1"/>
      <sheetName val="MONTAGEM"/>
      <sheetName val="MONTAGEM 2"/>
      <sheetName val="MONTAGEM 3"/>
      <sheetName val="GP"/>
      <sheetName val="TG1"/>
      <sheetName val="TG2"/>
      <sheetName val="TG3"/>
      <sheetName val="PT"/>
      <sheetName val="CL"/>
      <sheetName val="DG"/>
      <sheetName val="DD"/>
      <sheetName val="BD 1"/>
      <sheetName val="BD 2"/>
      <sheetName val="BD 3"/>
      <sheetName val="LG"/>
      <sheetName val="LG T"/>
      <sheetName val="BT"/>
      <sheetName val="TU &amp; TB 1"/>
      <sheetName val="TU &amp; TB 2"/>
      <sheetName val="RQ"/>
      <sheetName val="LGE"/>
      <sheetName val="RF"/>
      <sheetName val="GERAL"/>
      <sheetName val="EXPORTAPFS"/>
      <sheetName val="Plan1"/>
      <sheetName val="Drive In - Bloco Único ou Bloco"/>
    </sheetNames>
    <sheetDataSet>
      <sheetData sheetId="0"/>
      <sheetData sheetId="1">
        <row r="14">
          <cell r="J14">
            <v>0</v>
          </cell>
        </row>
      </sheetData>
      <sheetData sheetId="2">
        <row r="1">
          <cell r="A1">
            <v>1</v>
          </cell>
        </row>
      </sheetData>
      <sheetData sheetId="3">
        <row r="1">
          <cell r="A1">
            <v>0</v>
          </cell>
        </row>
      </sheetData>
      <sheetData sheetId="4">
        <row r="1">
          <cell r="A1">
            <v>1</v>
          </cell>
        </row>
      </sheetData>
      <sheetData sheetId="5">
        <row r="1">
          <cell r="A1">
            <v>1</v>
          </cell>
        </row>
        <row r="60">
          <cell r="BX60" t="e">
            <v>#N/A</v>
          </cell>
        </row>
        <row r="61">
          <cell r="BX61">
            <v>0</v>
          </cell>
        </row>
      </sheetData>
      <sheetData sheetId="6">
        <row r="1">
          <cell r="A1">
            <v>1</v>
          </cell>
        </row>
      </sheetData>
      <sheetData sheetId="7">
        <row r="1">
          <cell r="A1">
            <v>0</v>
          </cell>
        </row>
      </sheetData>
      <sheetData sheetId="8">
        <row r="1">
          <cell r="A1">
            <v>0</v>
          </cell>
        </row>
      </sheetData>
      <sheetData sheetId="9">
        <row r="1">
          <cell r="A1">
            <v>0</v>
          </cell>
        </row>
      </sheetData>
      <sheetData sheetId="10">
        <row r="1">
          <cell r="A1">
            <v>0</v>
          </cell>
        </row>
      </sheetData>
      <sheetData sheetId="11">
        <row r="1">
          <cell r="A1">
            <v>0</v>
          </cell>
        </row>
      </sheetData>
      <sheetData sheetId="12">
        <row r="1">
          <cell r="A1">
            <v>0</v>
          </cell>
        </row>
      </sheetData>
      <sheetData sheetId="13">
        <row r="1">
          <cell r="A1">
            <v>0</v>
          </cell>
        </row>
      </sheetData>
      <sheetData sheetId="14">
        <row r="1">
          <cell r="A1">
            <v>0</v>
          </cell>
        </row>
      </sheetData>
      <sheetData sheetId="15">
        <row r="1">
          <cell r="A1">
            <v>0</v>
          </cell>
        </row>
      </sheetData>
      <sheetData sheetId="16">
        <row r="1">
          <cell r="A1">
            <v>0</v>
          </cell>
        </row>
      </sheetData>
      <sheetData sheetId="17">
        <row r="1">
          <cell r="A1">
            <v>0</v>
          </cell>
        </row>
      </sheetData>
      <sheetData sheetId="18">
        <row r="1">
          <cell r="A1">
            <v>0</v>
          </cell>
        </row>
      </sheetData>
      <sheetData sheetId="19">
        <row r="1">
          <cell r="A1">
            <v>0</v>
          </cell>
        </row>
      </sheetData>
      <sheetData sheetId="20">
        <row r="1">
          <cell r="A1">
            <v>0</v>
          </cell>
        </row>
      </sheetData>
      <sheetData sheetId="21">
        <row r="1">
          <cell r="A1">
            <v>0</v>
          </cell>
        </row>
      </sheetData>
      <sheetData sheetId="22">
        <row r="1">
          <cell r="A1">
            <v>0</v>
          </cell>
        </row>
      </sheetData>
      <sheetData sheetId="23">
        <row r="1">
          <cell r="A1">
            <v>0</v>
          </cell>
        </row>
      </sheetData>
      <sheetData sheetId="24">
        <row r="1">
          <cell r="A1">
            <v>0</v>
          </cell>
        </row>
      </sheetData>
      <sheetData sheetId="25">
        <row r="1">
          <cell r="A1">
            <v>0</v>
          </cell>
        </row>
      </sheetData>
      <sheetData sheetId="26">
        <row r="1">
          <cell r="A1" t="e">
            <v>#DIV/0!</v>
          </cell>
        </row>
      </sheetData>
      <sheetData sheetId="27">
        <row r="1">
          <cell r="A1">
            <v>0</v>
          </cell>
        </row>
      </sheetData>
      <sheetData sheetId="28">
        <row r="1">
          <cell r="A1">
            <v>0</v>
          </cell>
        </row>
      </sheetData>
      <sheetData sheetId="29"/>
      <sheetData sheetId="30"/>
      <sheetData sheetId="3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de Oliveira Matos Borges" refreshedDate="44733.474506365739" createdVersion="6" refreshedVersion="7" minRefreshableVersion="3" recordCount="485" xr:uid="{00000000-000A-0000-FFFF-FFFF81000000}">
  <cacheSource type="worksheet">
    <worksheetSource name="Tabela1"/>
  </cacheSource>
  <cacheFields count="37">
    <cacheField name="Cod. representante" numFmtId="0">
      <sharedItems containsSemiMixedTypes="0" containsString="0" containsNumber="1" containsInteger="1" minValue="0" maxValue="850000"/>
    </cacheField>
    <cacheField name="Representante" numFmtId="0">
      <sharedItems containsBlank="1" count="59">
        <s v="Casagranda Representações Com Ltda"/>
        <s v="Homelog Representações Ltda - Epp"/>
        <s v="Belmiro Campbell Campos - Me"/>
        <s v="Riber Representações Comercial Ltda"/>
        <s v="Movilog Representacoes Ltda"/>
        <s v="2p Representações Comercial Ltda"/>
        <s v="Borba Representações de Equipamento Ltd"/>
        <s v="Vbc Comex Representações Ltda. Me"/>
        <s v="Gerencia Região Norte/nordeste - Diretos"/>
        <s v="Gilson de Sousa Henriques"/>
        <s v="Gerencia Região Sul - Diretos"/>
        <s v="Gerencia Região Sudeste - Diretos"/>
        <s v="Direto Aço - Matriz"/>
        <s v="Pelizzari Repres. Comerciais Ltda"/>
        <s v="Porta Pallet Representações Ltda"/>
        <s v="Key Account Manager - Diretos"/>
        <s v="Francisco Carlos Carnevale Servicos Me"/>
        <s v="Brasconsult Serviços. Adm Eirelli -me"/>
        <s v="Tfs Representações Eireli - Me"/>
        <s v="Target Representações Comercial Ltda"/>
        <s v="Stockage Representacoes Ltda"/>
        <s v="Sologis Soluções Em Logística Ltda"/>
        <s v="Outros Bsa - Diretos"/>
        <s v="Marcelo Cristiano Pereira de Oliveira"/>
        <s v="Claudinei Jose da Silva"/>
        <s v="Mov-arm Representações Ltda - Epp"/>
        <s v="Bsa - Diretos Mi"/>
        <s v="Master Serviços e Locações Ltda.,"/>
        <s v="Mm Logistica e Armazenagem Ltda"/>
        <s v="Marcos V. Ricci"/>
        <s v="Caetano S Representaçoes Comercial Ltda"/>
        <s v="R. Valente Soares"/>
        <s v="Grupo Bertolini"/>
        <m/>
        <s v="Bma - Diretos Mi" u="1"/>
        <s v="777 Representacoes de Prod Indus Ltda" u="1"/>
        <s v="Ponto Futuro Representacoes Ltda - Me" u="1"/>
        <s v="Bsa - Diretos" u="1"/>
        <s v="Gerencia Região Norte/nordeste" u="1"/>
        <s v="Dir Armazenagem" u="1"/>
        <s v="Gerencia Região Centroeste - Diretos" u="1"/>
        <s v="Flavio Oliveira Milazzo" u="1"/>
        <s v="Borba Representações de Equipmaneto Ltda" u="1"/>
        <s v="Tremma Representacoes Comerciais Ltda" u="1"/>
        <s v="Gerencia Região Sul" u="1"/>
        <s v="Condusa Ltda" u="1"/>
        <s v="Sol Representações e Engenharia Eireli" u="1"/>
        <s v="Evviva - Diretos Mi" u="1"/>
        <s v="Diretos Armazenagem" u="1"/>
        <s v="Exportação Armazenagem" u="1"/>
        <s v="Sergio Lacerda Barreto" u="1"/>
        <s v="R G S Representacoes Ltda" u="1"/>
        <s v="Key Account Manager" u="1"/>
        <s v="Diego Andreis - Diretos" u="1"/>
        <s v="Diego Andreis" u="1"/>
        <s v="Israel Schimitz dos Santos" u="1"/>
        <s v="Somarket Represent de Maq e Equip Ltda" u="1"/>
        <s v="Luiz Gustavo Danielides de Oliveira - Me" u="1"/>
        <s v="R. L . da Silva - Represe. Comerc. Me" u="1"/>
      </sharedItems>
    </cacheField>
    <cacheField name="CNPJ" numFmtId="0">
      <sharedItems containsSemiMixedTypes="0" containsString="0" containsNumber="1" containsInteger="1" minValue="0" maxValue="97837181003910"/>
    </cacheField>
    <cacheField name="Cliente" numFmtId="0">
      <sharedItems/>
    </cacheField>
    <cacheField name="Cidade" numFmtId="0">
      <sharedItems/>
    </cacheField>
    <cacheField name="UF" numFmtId="0">
      <sharedItems/>
    </cacheField>
    <cacheField name="Pedido" numFmtId="0">
      <sharedItems containsSemiMixedTypes="0" containsString="0" containsNumber="1" containsInteger="1" minValue="302" maxValue="800815"/>
    </cacheField>
    <cacheField name="Produto" numFmtId="0">
      <sharedItems containsBlank="1" containsMixedTypes="1" containsNumber="1" containsInteger="1" minValue="99100" maxValue="99100" count="27">
        <s v="SERVIÇO"/>
        <s v="ANÁLISE TÉCNICA"/>
        <s v="MANUTENÇÃO AUTOMAÇÃO"/>
        <s v="MANUTENCAO AUTOMACAO"/>
        <s v="PBB1"/>
        <s v="AUT"/>
        <s v="DRI2"/>
        <s v="PP2"/>
        <s v="PP3"/>
        <s v="AUTOMAÇÃO"/>
        <s v="DRI1"/>
        <m/>
        <s v="PP1"/>
        <s v="PSH1"/>
        <s v="DIN1"/>
        <s v="MEZ1"/>
        <s v="CST1"/>
        <s v="FLR1"/>
        <s v="PSL1"/>
        <s v="TRANSELEVADOR"/>
        <s v="psl3"/>
        <s v="APT2"/>
        <s v="CTL1"/>
        <s v="DIN2"/>
        <s v="AUT1"/>
        <s v="APT1"/>
        <n v="99100" u="1"/>
      </sharedItems>
    </cacheField>
    <cacheField name="Tipo" numFmtId="0">
      <sharedItems/>
    </cacheField>
    <cacheField name="Situação" numFmtId="0">
      <sharedItems/>
    </cacheField>
    <cacheField name="Tipo de situação" numFmtId="0">
      <sharedItems/>
    </cacheField>
    <cacheField name="Ped. vendedor" numFmtId="0">
      <sharedItems containsBlank="1" containsMixedTypes="1" containsNumber="1" containsInteger="1" minValue="29149" maxValue="29149"/>
    </cacheField>
    <cacheField name="Ordem de compra" numFmtId="0">
      <sharedItems containsBlank="1" containsMixedTypes="1" containsNumber="1" containsInteger="1" minValue="1" maxValue="64858525010299"/>
    </cacheField>
    <cacheField name="Data emissão" numFmtId="166">
      <sharedItems containsSemiMixedTypes="0" containsNonDate="0" containsDate="1" containsString="0" minDate="2020-01-10T00:00:00" maxDate="2022-06-10T00:00:00"/>
    </cacheField>
    <cacheField name="Data entrega" numFmtId="166">
      <sharedItems containsSemiMixedTypes="0" containsNonDate="0" containsDate="1" containsString="0" minDate="2020-01-20T00:00:00" maxDate="2022-11-19T00:00:00"/>
    </cacheField>
    <cacheField name="Data liberação" numFmtId="166">
      <sharedItems containsSemiMixedTypes="0" containsNonDate="0" containsDate="1" containsString="0" minDate="2020-09-01T00:00:00" maxDate="2022-06-10T00:00:00"/>
    </cacheField>
    <cacheField name="Primeiro faturamento" numFmtId="166">
      <sharedItems containsDate="1" containsMixedTypes="1" minDate="2020-09-28T00:00:00" maxDate="2022-06-10T00:00:00"/>
    </cacheField>
    <cacheField name="Primeira nota" numFmtId="0">
      <sharedItems containsSemiMixedTypes="0" containsString="0" containsNumber="1" containsInteger="1" minValue="0" maxValue="7110"/>
    </cacheField>
    <cacheField name="Data último fat." numFmtId="166">
      <sharedItems containsDate="1" containsMixedTypes="1" minDate="2020-09-28T00:00:00" maxDate="2022-06-10T00:00:00"/>
    </cacheField>
    <cacheField name="Última nota" numFmtId="0">
      <sharedItems containsSemiMixedTypes="0" containsString="0" containsNumber="1" containsInteger="1" minValue="0" maxValue="7110"/>
    </cacheField>
    <cacheField name="Status" numFmtId="0">
      <sharedItems/>
    </cacheField>
    <cacheField name="Data de entrega da ocorrência" numFmtId="166">
      <sharedItems/>
    </cacheField>
    <cacheField name="Programa" numFmtId="0">
      <sharedItems containsBlank="1"/>
    </cacheField>
    <cacheField name="Data programa" numFmtId="166">
      <sharedItems containsDate="1" containsMixedTypes="1" minDate="2020-09-05T00:00:00" maxDate="2022-06-10T00:00:00"/>
    </cacheField>
    <cacheField name="Rota" numFmtId="0">
      <sharedItems/>
    </cacheField>
    <cacheField name="Pgto" numFmtId="0">
      <sharedItems containsSemiMixedTypes="0" containsString="0" containsNumber="1" containsInteger="1" minValue="0" maxValue="3012"/>
    </cacheField>
    <cacheField name="Descrição" numFmtId="0">
      <sharedItems containsBlank="1"/>
    </cacheField>
    <cacheField name="Cod. Desconto" numFmtId="0">
      <sharedItems containsSemiMixedTypes="0" containsString="0" containsNumber="1" containsInteger="1" minValue="0" maxValue="0"/>
    </cacheField>
    <cacheField name="Descrição2" numFmtId="0">
      <sharedItems containsNonDate="0" containsString="0" containsBlank="1"/>
    </cacheField>
    <cacheField name="Percentual" numFmtId="0">
      <sharedItems containsSemiMixedTypes="0" containsString="0" containsNumber="1" containsInteger="1" minValue="0" maxValue="0"/>
    </cacheField>
    <cacheField name="Transportador" numFmtId="0">
      <sharedItems containsBlank="1"/>
    </cacheField>
    <cacheField name="Frete" numFmtId="0">
      <sharedItems containsBlank="1"/>
    </cacheField>
    <cacheField name="Peso bruto" numFmtId="3">
      <sharedItems containsMixedTypes="1" containsNumber="1" minValue="0" maxValue="172341.33000000002"/>
    </cacheField>
    <cacheField name="Valor" numFmtId="167">
      <sharedItems containsSemiMixedTypes="0" containsString="0" containsNumber="1" minValue="-1844.29" maxValue="4683000"/>
    </cacheField>
    <cacheField name="semana" numFmtId="14">
      <sharedItems containsDate="1" containsBlank="1" containsMixedTypes="1" minDate="1899-12-31T00:00:00" maxDate="2022-01-19T00:00:00" count="356">
        <s v="janeiro_2020"/>
        <s v="março_2020"/>
        <s v="agosto_2020"/>
        <s v="outubro_2020"/>
        <s v="fevereiro_2021"/>
        <s v="maio_2021"/>
        <s v="junho_2021"/>
        <s v="julho_2021"/>
        <s v="agosto_2021"/>
        <s v="setembro_2021"/>
        <s v="outubro_2021"/>
        <s v="novembro_2021"/>
        <s v="dezembro_2021"/>
        <s v="janeiro_2022"/>
        <s v="março_2022"/>
        <s v="abril_2022"/>
        <s v="maio_2022"/>
        <s v="junho_2022"/>
        <s v="julho_2022"/>
        <s v="agosto_2022"/>
        <s v="setembro_2022"/>
        <s v="outubro_2022"/>
        <s v="novembro_2022"/>
        <s v="março_2021"/>
        <n v="0" u="1"/>
        <n v="44630" u="1"/>
        <s v="33-2021" u="1"/>
        <d v="2021-12-23T00:00:00" u="1"/>
        <d v="2022-04-14T00:00:00" u="1"/>
        <d v="2022-11-18T00:00:00" u="1"/>
        <m u="1"/>
        <n v="44437" u="1"/>
        <s v="31-2022" u="1"/>
        <d v="2021-10-06T00:00:00" u="1"/>
        <d v="2022-03-28T00:00:00" u="1"/>
        <d v="2022-05-19T00:00:00" u="1"/>
        <d v="2022-09-01T00:00:00" u="1"/>
        <n v="34" u="1"/>
        <s v="48-2021" u="1"/>
        <d v="2022-01-11T00:00:00" u="1"/>
        <d v="2022-06-24T00:00:00" u="1"/>
        <s v="35-2021" u="1"/>
        <d v="2022-07-29T00:00:00" u="1"/>
        <n v="13" u="1"/>
        <d v="2021-11-30T00:00:00" u="1"/>
        <d v="2022-01-30T00:00:00" u="1"/>
        <d v="2022-03-21T00:00:00" u="1"/>
        <d v="2022-05-12T00:00:00" u="1"/>
        <n v="36" u="1"/>
        <d v="2022-01-04T00:00:00" u="1"/>
        <d v="2022-06-17T00:00:00" u="1"/>
        <s v="37-2021" u="1"/>
        <d v="2021-05-05T00:00:00" u="1"/>
        <d v="2021-08-27T00:00:00" u="1"/>
        <d v="2022-05-31T00:00:00" u="1"/>
        <d v="2022-07-22T00:00:00" u="1"/>
        <d v="2022-11-04T00:00:00" u="1"/>
        <s v="35-2022" u="1"/>
        <d v="2022-03-14T00:00:00" u="1"/>
        <n v="38" u="1"/>
        <s v="22-2022" u="1"/>
        <d v="2021-07-15T00:00:00" u="1"/>
        <d v="2021-12-28T00:00:00" u="1"/>
        <d v="2022-02-28T00:00:00" u="1"/>
        <d v="2022-04-19T00:00:00" u="1"/>
        <d v="2022-06-10T00:00:00" u="1"/>
        <d v="2022-11-23T00:00:00" u="1"/>
        <n v="5" u="1"/>
        <s v="3-2022" u="1"/>
        <s v="39-2021" u="1"/>
        <d v="2021-08-20T00:00:00" u="1"/>
        <d v="2021-12-02T00:00:00" u="1"/>
        <d v="2022-05-24T00:00:00" u="1"/>
        <d v="2022-07-15T00:00:00" u="1"/>
        <n v="14" u="1"/>
        <s v="26-2021" u="1"/>
        <d v="2021-09-25T00:00:00" u="1"/>
        <d v="2022-03-07T00:00:00" u="1"/>
        <n v="40" u="1"/>
        <s v="24-2022" u="1"/>
        <d v="2021-12-21T00:00:00" u="1"/>
        <d v="2022-02-21T00:00:00" u="1"/>
        <d v="2022-04-12T00:00:00" u="1"/>
        <d v="2022-06-03T00:00:00" u="1"/>
        <s v="11-2022" u="1"/>
        <d v="2021-10-04T00:00:00" u="1"/>
        <d v="2022-05-17T00:00:00" u="1"/>
        <d v="2022-07-08T00:00:00" u="1"/>
        <s v="janeiro_2019" u="1"/>
        <n v="42" u="1"/>
        <s v="8-2021" u="1"/>
        <s v="26-2022" u="1"/>
        <d v="2022-02-14T00:00:00" u="1"/>
        <s v="13-2022" u="1"/>
        <d v="2020-09-11T00:00:00" u="1"/>
        <d v="2020-11-02T00:00:00" u="1"/>
        <d v="2021-08-06T00:00:00" u="1"/>
        <d v="2022-01-28T00:00:00" u="1"/>
        <d v="2022-05-10T00:00:00" u="1"/>
        <d v="2022-07-01T00:00:00" u="1"/>
        <d v="2022-10-23T00:00:00" u="1"/>
        <n v="15" u="1"/>
        <n v="44382" u="1"/>
        <s v="fevereiro_2022" u="1"/>
        <d v="2022-06-15T00:00:00" u="1"/>
        <n v="44" u="1"/>
        <n v="44402" u="1"/>
        <s v="8-2022" u="1"/>
        <d v="2020-09-30T00:00:00" u="1"/>
        <d v="2022-02-07T00:00:00" u="1"/>
        <d v="2022-05-29T00:00:00" u="1"/>
        <d v="2022-07-20T00:00:00" u="1"/>
        <s v="15-2022" u="1"/>
        <d v="2021-02-26T00:00:00" u="1"/>
        <d v="2021-09-30T00:00:00" u="1"/>
        <d v="2022-01-21T00:00:00" u="1"/>
        <d v="2022-10-16T00:00:00" u="1"/>
        <d v="2022-06-08T00:00:00" u="1"/>
        <d v="2022-09-30T00:00:00" u="1"/>
        <n v="2" u="1"/>
        <n v="46" u="1"/>
        <s v="19-2021" u="1"/>
        <s v="50-2021" u="1"/>
        <d v="2022-03-31T00:00:00" u="1"/>
        <n v="6" u="1"/>
        <s v="17-2022" u="1"/>
        <d v="2022-01-14T00:00:00" u="1"/>
        <n v="16" u="1"/>
        <d v="2020-10-02T00:00:00" u="1"/>
        <d v="2022-04-10T00:00:00" u="1"/>
        <d v="2022-06-01T00:00:00" u="1"/>
        <d v="2022-09-23T00:00:00" u="1"/>
        <n v="48" u="1"/>
        <s v="52-2021" u="1"/>
        <d v="2021-10-02T00:00:00" u="1"/>
        <d v="2022-05-15T00:00:00" u="1"/>
        <s v="19-2022" u="1"/>
        <d v="2021-07-25T00:00:00" u="1"/>
        <d v="2022-01-07T00:00:00" u="1"/>
        <d v="2022-04-29T00:00:00" u="1"/>
        <n v="17" u="1"/>
        <d v="2022-04-03T00:00:00" u="1"/>
        <d v="2022-09-16T00:00:00" u="1"/>
        <n v="50" u="1"/>
        <n v="44085" u="1"/>
        <d v="2021-08-04T00:00:00" u="1"/>
        <d v="2021-11-26T00:00:00" u="1"/>
        <d v="2022-01-26T00:00:00" u="1"/>
        <d v="2022-03-17T00:00:00" u="1"/>
        <s v="41-2021" u="1"/>
        <s v="novembro_2019" u="1"/>
        <d v="2022-04-22T00:00:00" u="1"/>
        <d v="2022-06-13T00:00:00" u="1"/>
        <n v="18" u="1"/>
        <s v="6-2022" u="1"/>
        <d v="2021-03-10T00:00:00" u="1"/>
        <d v="2021-08-23T00:00:00" u="1"/>
        <d v="2021-10-14T00:00:00" u="1"/>
        <d v="2022-02-05T00:00:00" u="1"/>
        <d v="2022-05-27T00:00:00" u="1"/>
        <d v="2022-09-09T00:00:00" u="1"/>
        <n v="52" u="1"/>
        <d v="2021-11-19T00:00:00" u="1"/>
        <d v="2022-03-10T00:00:00" u="1"/>
        <d v="2022-05-01T00:00:00" u="1"/>
        <d v="2022-10-14T00:00:00" u="1"/>
        <s v="32-2020" u="1"/>
        <s v="43-2021" u="1"/>
        <d v="2021-12-24T00:00:00" u="1"/>
        <d v="2022-02-24T00:00:00" u="1"/>
        <d v="2022-04-15T00:00:00" u="1"/>
        <n v="19" u="1"/>
        <s v="48-2019" u="1"/>
        <d v="2022-03-29T00:00:00" u="1"/>
        <d v="2022-05-20T00:00:00" u="1"/>
        <d v="2022-09-02T00:00:00" u="1"/>
        <d v="2021-11-12T00:00:00" u="1"/>
        <d v="2022-03-03T00:00:00" u="1"/>
        <d v="2022-10-07T00:00:00" u="1"/>
        <n v="7" u="1"/>
        <s v="4-2020" u="1"/>
        <s v="45-2021" u="1"/>
        <d v="2021-10-26T00:00:00" u="1"/>
        <d v="2021-12-17T00:00:00" u="1"/>
        <d v="2022-04-08T00:00:00" u="1"/>
        <n v="20" u="1"/>
        <s v="32-2021" u="1"/>
        <d v="2022-01-31T00:00:00" u="1"/>
        <d v="2022-05-13T00:00:00" u="1"/>
        <s v="30-2022" u="1"/>
        <d v="2021-11-05T00:00:00" u="1"/>
        <d v="2022-04-27T00:00:00" u="1"/>
        <d v="2022-06-18T00:00:00" u="1"/>
        <n v="33" u="1"/>
        <s v="47-2021" u="1"/>
        <d v="2021-12-10T00:00:00" u="1"/>
        <d v="2022-02-10T00:00:00" u="1"/>
        <d v="2022-04-01T00:00:00" u="1"/>
        <d v="2022-09-14T00:00:00" u="1"/>
        <n v="21" u="1"/>
        <s v="34-2021" u="1"/>
        <d v="2021-06-11T00:00:00" u="1"/>
        <d v="2021-08-02T00:00:00" u="1"/>
        <d v="2022-01-24T00:00:00" u="1"/>
        <d v="2022-03-15T00:00:00" u="1"/>
        <d v="2022-05-06T00:00:00" u="1"/>
        <s v="21-2021" u="1"/>
        <d v="2021-12-29T00:00:00" u="1"/>
        <d v="2022-04-20T00:00:00" u="1"/>
        <n v="35" u="1"/>
        <s v="4-2022" u="1"/>
        <s v="49-2021" u="1"/>
        <d v="2021-06-30T00:00:00" u="1"/>
        <d v="2021-12-03T00:00:00" u="1"/>
        <d v="2022-05-25T00:00:00" u="1"/>
        <n v="22" u="1"/>
        <s v="36-2021" u="1"/>
        <d v="2022-06-30T00:00:00" u="1"/>
        <s v="12-2020" u="1"/>
        <d v="2021-12-22T00:00:00" u="1"/>
        <d v="2022-02-22T00:00:00" u="1"/>
        <d v="2022-04-13T00:00:00" u="1"/>
        <n v="37" u="1"/>
        <s v="10-2021" u="1"/>
        <s v="21-2022" u="1"/>
        <d v="2022-05-18T00:00:00" u="1"/>
        <n v="1" u="1"/>
        <n v="23" u="1"/>
        <s v="38-2021" u="1"/>
        <d v="2022-01-10T00:00:00" u="1"/>
        <n v="3" u="1"/>
        <s v="25-2021" u="1"/>
        <d v="2021-12-15T00:00:00" u="1"/>
        <d v="2022-02-15T00:00:00" u="1"/>
        <d v="2022-04-06T00:00:00" u="1"/>
        <d v="2022-09-19T00:00:00" u="1"/>
        <n v="8" u="1"/>
        <n v="39" u="1"/>
        <d v="2022-03-20T00:00:00" u="1"/>
        <d v="2022-05-11T00:00:00" u="1"/>
        <d v="2022-07-02T00:00:00" u="1"/>
        <n v="24" u="1"/>
        <n v="44414" u="1"/>
        <s v="10-2022" u="1"/>
        <d v="2021-09-12T00:00:00" u="1"/>
        <d v="2022-04-25T00:00:00" u="1"/>
        <s v="9-2022" u="1"/>
        <d v="2022-05-30T00:00:00" u="1"/>
        <n v="41" u="1"/>
        <s v="25-2022" u="1"/>
        <d v="2022-05-04T00:00:00" u="1"/>
        <d v="2022-08-26T00:00:00" u="1"/>
        <d v="2022-10-17T00:00:00" u="1"/>
        <n v="25" u="1"/>
        <s v="12-2022" u="1"/>
        <s v="janeiro_1900" u="1"/>
        <d v="2022-04-18T00:00:00" u="1"/>
        <d v="2022-06-09T00:00:00" u="1"/>
        <s v="2-2022" u="1"/>
        <s v="29-2021" u="1"/>
        <d v="2021-12-01T00:00:00" u="1"/>
        <d v="2022-05-23T00:00:00" u="1"/>
        <n v="9" u="1"/>
        <n v="43" u="1"/>
        <d v="2021-09-24T00:00:00" u="1"/>
        <d v="2021-11-15T00:00:00" u="1"/>
        <d v="2022-08-19T00:00:00" u="1"/>
        <n v="26" u="1"/>
        <n v="44321" u="1"/>
        <s v="1-2019" u="1"/>
        <s v="14-2022" u="1"/>
        <d v="2021-10-29T00:00:00" u="1"/>
        <d v="2021-12-20T00:00:00" u="1"/>
        <d v="2022-02-20T00:00:00" u="1"/>
        <d v="2022-04-11T00:00:00" u="1"/>
        <n v="44412" u="1"/>
        <d v="2022-03-25T00:00:00" u="1"/>
        <d v="2022-07-07T00:00:00" u="1"/>
        <n v="45" u="1"/>
        <d v="2022-04-30T00:00:00" u="1"/>
        <d v="2022-08-12T00:00:00" u="1"/>
        <n v="27" u="1"/>
        <d v="2021-03-18T00:00:00" u="1"/>
        <d v="2021-08-31T00:00:00" u="1"/>
        <d v="2021-10-22T00:00:00" u="1"/>
        <d v="2021-12-13T00:00:00" u="1"/>
        <d v="2022-04-04T00:00:00" u="1"/>
        <n v="44046" u="1"/>
        <d v="2021-08-05T00:00:00" u="1"/>
        <d v="2022-01-27T00:00:00" u="1"/>
        <d v="2022-03-18T00:00:00" u="1"/>
        <d v="2022-05-09T00:00:00" u="1"/>
        <d v="2022-10-22T00:00:00" u="1"/>
        <n v="10" u="1"/>
        <n v="47" u="1"/>
        <n v="44137" u="1"/>
        <s v="51-2021" u="1"/>
        <d v="2021-09-10T00:00:00" u="1"/>
        <d v="2022-04-23T00:00:00" u="1"/>
        <d v="2022-08-05T00:00:00" u="1"/>
        <n v="28" u="1"/>
        <s v="7-2022" u="1"/>
        <s v="18-2022" u="1"/>
        <d v="2021-10-15T00:00:00" u="1"/>
        <d v="2021-11-20T00:00:00" u="1"/>
        <d v="2022-01-20T00:00:00" u="1"/>
        <d v="2022-03-11T00:00:00" u="1"/>
        <d v="2022-05-02T00:00:00" u="1"/>
        <n v="49" u="1"/>
        <s v="42-2020" u="1"/>
        <s v="53-2021" u="1"/>
        <d v="2021-05-21T00:00:00" u="1"/>
        <d v="2022-02-25T00:00:00" u="1"/>
        <d v="2022-04-16T00:00:00" u="1"/>
        <n v="29" u="1"/>
        <s v="40-2021" u="1"/>
        <d v="2020-07-31T00:00:00" u="1"/>
        <d v="2021-10-08T00:00:00" u="1"/>
        <d v="2022-03-30T00:00:00" u="1"/>
        <d v="2022-03-04T00:00:00" u="1"/>
        <n v="11" u="1"/>
        <n v="51" u="1"/>
        <s v="44-2020" u="1"/>
        <d v="2021-05-14T00:00:00" u="1"/>
        <d v="2021-07-05T00:00:00" u="1"/>
        <d v="2022-02-18T00:00:00" u="1"/>
        <d v="2022-09-22T00:00:00" u="1"/>
        <n v="30" u="1"/>
        <s v="42-2021" u="1"/>
        <d v="2021-10-01T00:00:00" u="1"/>
        <d v="2022-05-14T00:00:00" u="1"/>
        <d v="2021-11-06T00:00:00" u="1"/>
        <d v="2022-04-28T00:00:00" u="1"/>
        <d v="2022-08-10T00:00:00" u="1"/>
        <n v="53" u="1"/>
        <d v="2020-08-03T00:00:00" u="1"/>
        <d v="2021-08-29T00:00:00" u="1"/>
        <d v="2022-02-11T00:00:00" u="1"/>
        <d v="2022-04-02T00:00:00" u="1"/>
        <d v="2022-07-24T00:00:00" u="1"/>
        <n v="31" u="1"/>
        <s v="44-2021" u="1"/>
        <d v="2022-01-25T00:00:00" u="1"/>
        <d v="2022-03-16T00:00:00" u="1"/>
        <n v="4" u="1"/>
        <n v="44428" u="1"/>
        <s v="31-2021" u="1"/>
        <d v="2021-12-30T00:00:00" u="1"/>
        <d v="2022-04-21T00:00:00" u="1"/>
        <n v="12" u="1"/>
        <s v="5-2022" u="1"/>
        <d v="2022-02-04T00:00:00" u="1"/>
        <d v="2022-05-26T00:00:00" u="1"/>
        <n v="32" u="1"/>
        <s v="46-2021" u="1"/>
        <d v="2022-01-18T00:00:00" u="1"/>
      </sharedItems>
    </cacheField>
    <cacheField name="PBR a produzir" numFmtId="4">
      <sharedItems containsMixedTypes="1" containsNumber="1" minValue="0" maxValue="172341.33000000002"/>
    </cacheField>
    <cacheField name="Campo1" numFmtId="0" formula=" 500000-'Peso bruto'" databaseField="0"/>
  </cacheFields>
  <extLst>
    <ext xmlns:x14="http://schemas.microsoft.com/office/spreadsheetml/2009/9/main" uri="{725AE2AE-9491-48be-B2B4-4EB974FC3084}">
      <x14:pivotCacheDefinition pivotCacheId="1945193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de Oliveira Matos Borges" refreshedDate="44733.474508101855" createdVersion="6" refreshedVersion="7" minRefreshableVersion="3" recordCount="485" xr:uid="{00000000-000A-0000-FFFF-FFFF9E000000}">
  <cacheSource type="worksheet">
    <worksheetSource name="Tabela1"/>
  </cacheSource>
  <cacheFields count="36">
    <cacheField name="Cod. representante" numFmtId="0">
      <sharedItems containsSemiMixedTypes="0" containsString="0" containsNumber="1" containsInteger="1" minValue="0" maxValue="850000"/>
    </cacheField>
    <cacheField name="Representante" numFmtId="0">
      <sharedItems containsBlank="1" containsMixedTypes="1" containsNumber="1" containsInteger="1" minValue="0" maxValue="0" count="35">
        <s v="Casagranda Representações Com Ltda"/>
        <s v="Homelog Representações Ltda - Epp"/>
        <s v="Belmiro Campbell Campos - Me"/>
        <s v="Riber Representações Comercial Ltda"/>
        <s v="Movilog Representacoes Ltda"/>
        <s v="2p Representações Comercial Ltda"/>
        <s v="Borba Representações de Equipamento Ltd"/>
        <s v="Vbc Comex Representações Ltda. Me"/>
        <s v="Gerencia Região Norte/nordeste - Diretos"/>
        <s v="Gilson de Sousa Henriques"/>
        <s v="Gerencia Região Sul - Diretos"/>
        <s v="Gerencia Região Sudeste - Diretos"/>
        <s v="Direto Aço - Matriz"/>
        <s v="Pelizzari Repres. Comerciais Ltda"/>
        <s v="Porta Pallet Representações Ltda"/>
        <s v="Key Account Manager - Diretos"/>
        <s v="Francisco Carlos Carnevale Servicos Me"/>
        <s v="Brasconsult Serviços. Adm Eirelli -me"/>
        <s v="Tfs Representações Eireli - Me"/>
        <s v="Target Representações Comercial Ltda"/>
        <s v="Stockage Representacoes Ltda"/>
        <s v="Sologis Soluções Em Logística Ltda"/>
        <s v="Outros Bsa - Diretos"/>
        <s v="Marcelo Cristiano Pereira de Oliveira"/>
        <s v="Claudinei Jose da Silva"/>
        <s v="Mov-arm Representações Ltda - Epp"/>
        <s v="Bsa - Diretos Mi"/>
        <s v="Master Serviços e Locações Ltda.,"/>
        <s v="Mm Logistica e Armazenagem Ltda"/>
        <s v="Marcos V. Ricci"/>
        <s v="Caetano S Representaçoes Comercial Ltda"/>
        <s v="R. Valente Soares"/>
        <s v="Grupo Bertolini"/>
        <m/>
        <n v="0" u="1"/>
      </sharedItems>
    </cacheField>
    <cacheField name="CNPJ" numFmtId="0">
      <sharedItems containsSemiMixedTypes="0" containsString="0" containsNumber="1" containsInteger="1" minValue="0" maxValue="97837181003910"/>
    </cacheField>
    <cacheField name="Cliente" numFmtId="0">
      <sharedItems/>
    </cacheField>
    <cacheField name="Cidade" numFmtId="0">
      <sharedItems/>
    </cacheField>
    <cacheField name="UF" numFmtId="0">
      <sharedItems/>
    </cacheField>
    <cacheField name="Pedido" numFmtId="0">
      <sharedItems containsSemiMixedTypes="0" containsString="0" containsNumber="1" containsInteger="1" minValue="302" maxValue="800815"/>
    </cacheField>
    <cacheField name="Produto" numFmtId="0">
      <sharedItems containsBlank="1"/>
    </cacheField>
    <cacheField name="Tipo" numFmtId="0">
      <sharedItems/>
    </cacheField>
    <cacheField name="Situação" numFmtId="0">
      <sharedItems/>
    </cacheField>
    <cacheField name="Tipo de situação" numFmtId="0">
      <sharedItems/>
    </cacheField>
    <cacheField name="Ped. vendedor" numFmtId="0">
      <sharedItems containsBlank="1" containsMixedTypes="1" containsNumber="1" containsInteger="1" minValue="29149" maxValue="29149"/>
    </cacheField>
    <cacheField name="Ordem de compra" numFmtId="0">
      <sharedItems containsBlank="1" containsMixedTypes="1" containsNumber="1" containsInteger="1" minValue="1" maxValue="64858525010299"/>
    </cacheField>
    <cacheField name="Data emissão" numFmtId="166">
      <sharedItems containsSemiMixedTypes="0" containsNonDate="0" containsDate="1" containsString="0" minDate="2020-01-10T00:00:00" maxDate="2022-06-10T00:00:00"/>
    </cacheField>
    <cacheField name="Data entrega" numFmtId="166">
      <sharedItems containsSemiMixedTypes="0" containsNonDate="0" containsDate="1" containsString="0" minDate="2020-01-20T00:00:00" maxDate="2022-11-19T00:00:00"/>
    </cacheField>
    <cacheField name="Data liberação" numFmtId="166">
      <sharedItems containsSemiMixedTypes="0" containsNonDate="0" containsDate="1" containsString="0" minDate="2020-09-01T00:00:00" maxDate="2022-06-10T00:00:00"/>
    </cacheField>
    <cacheField name="Primeiro faturamento" numFmtId="166">
      <sharedItems containsDate="1" containsMixedTypes="1" minDate="2020-09-28T00:00:00" maxDate="2022-06-10T00:00:00"/>
    </cacheField>
    <cacheField name="Primeira nota" numFmtId="0">
      <sharedItems containsSemiMixedTypes="0" containsString="0" containsNumber="1" containsInteger="1" minValue="0" maxValue="7110"/>
    </cacheField>
    <cacheField name="Data último fat." numFmtId="166">
      <sharedItems containsDate="1" containsMixedTypes="1" minDate="2020-09-28T00:00:00" maxDate="2022-06-10T00:00:00"/>
    </cacheField>
    <cacheField name="Última nota" numFmtId="0">
      <sharedItems containsSemiMixedTypes="0" containsString="0" containsNumber="1" containsInteger="1" minValue="0" maxValue="7110"/>
    </cacheField>
    <cacheField name="Status" numFmtId="0">
      <sharedItems/>
    </cacheField>
    <cacheField name="Data de entrega da ocorrência" numFmtId="166">
      <sharedItems/>
    </cacheField>
    <cacheField name="Programa" numFmtId="0">
      <sharedItems containsBlank="1"/>
    </cacheField>
    <cacheField name="Data programa" numFmtId="166">
      <sharedItems containsDate="1" containsMixedTypes="1" minDate="2020-09-05T00:00:00" maxDate="2022-06-10T00:00:00"/>
    </cacheField>
    <cacheField name="Rota" numFmtId="0">
      <sharedItems/>
    </cacheField>
    <cacheField name="Pgto" numFmtId="0">
      <sharedItems containsSemiMixedTypes="0" containsString="0" containsNumber="1" containsInteger="1" minValue="0" maxValue="3012"/>
    </cacheField>
    <cacheField name="Descrição" numFmtId="0">
      <sharedItems containsBlank="1"/>
    </cacheField>
    <cacheField name="Cod. Desconto" numFmtId="0">
      <sharedItems containsSemiMixedTypes="0" containsString="0" containsNumber="1" containsInteger="1" minValue="0" maxValue="0"/>
    </cacheField>
    <cacheField name="Descrição2" numFmtId="0">
      <sharedItems containsNonDate="0" containsString="0" containsBlank="1"/>
    </cacheField>
    <cacheField name="Percentual" numFmtId="0">
      <sharedItems containsSemiMixedTypes="0" containsString="0" containsNumber="1" containsInteger="1" minValue="0" maxValue="0"/>
    </cacheField>
    <cacheField name="Transportador" numFmtId="0">
      <sharedItems containsBlank="1"/>
    </cacheField>
    <cacheField name="Frete" numFmtId="0">
      <sharedItems containsBlank="1"/>
    </cacheField>
    <cacheField name="Peso bruto" numFmtId="3">
      <sharedItems containsMixedTypes="1" containsNumber="1" minValue="0" maxValue="172341.33000000002"/>
    </cacheField>
    <cacheField name="Valor" numFmtId="167">
      <sharedItems containsSemiMixedTypes="0" containsString="0" containsNumber="1" minValue="-1844.29" maxValue="4683000"/>
    </cacheField>
    <cacheField name="semana" numFmtId="14">
      <sharedItems/>
    </cacheField>
    <cacheField name="PBR a produzir" numFmtId="4">
      <sharedItems containsMixedTypes="1" containsNumber="1" minValue="0" maxValue="172341.33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5">
  <r>
    <n v="15057"/>
    <x v="0"/>
    <n v="1453846000140"/>
    <s v="Cassioli Brasil Ltda"/>
    <s v="Jundiai"/>
    <s v="SP"/>
    <n v="19036"/>
    <x v="0"/>
    <s v="V"/>
    <s v="PE"/>
    <s v="Normal"/>
    <s v="18562 00 A"/>
    <n v="48954"/>
    <d v="2020-01-10T00:00:00"/>
    <d v="2020-01-20T00:00:00"/>
    <d v="2021-11-09T00:00:00"/>
    <s v="  /  /  "/>
    <n v="0"/>
    <s v="  /  /  "/>
    <n v="0"/>
    <s v="                                        "/>
    <s v="  /  /  "/>
    <m/>
    <s v="/  /"/>
    <s v="Sem rota"/>
    <n v="208"/>
    <s v="14 Ddf  S/juros"/>
    <n v="0"/>
    <m/>
    <n v="0"/>
    <m/>
    <s v="CIF"/>
    <n v="0"/>
    <n v="9000"/>
    <x v="0"/>
    <n v="0"/>
  </r>
  <r>
    <n v="15062"/>
    <x v="1"/>
    <n v="4954351000605"/>
    <s v="Subsea 7 do Brasil Servicos Ltda"/>
    <s v="Rio das Ostras"/>
    <s v="RJ"/>
    <n v="19623"/>
    <x v="1"/>
    <s v="V"/>
    <s v="PE"/>
    <s v="Normal"/>
    <m/>
    <n v="4300278137"/>
    <d v="2020-03-16T00:00:00"/>
    <d v="2020-03-16T00:00:00"/>
    <d v="2020-09-01T00:00:00"/>
    <s v="  /  /  "/>
    <n v="0"/>
    <s v="  /  /  "/>
    <n v="0"/>
    <s v="                                        "/>
    <s v="  /  /  "/>
    <m/>
    <s v="/  /"/>
    <s v="Sem rota"/>
    <n v="44"/>
    <s v="30 DDF S/juros"/>
    <n v="0"/>
    <m/>
    <n v="0"/>
    <m/>
    <s v="CIF"/>
    <n v="0"/>
    <n v="13346"/>
    <x v="1"/>
    <n v="0"/>
  </r>
  <r>
    <n v="15054"/>
    <x v="2"/>
    <n v="1838723030891"/>
    <s v="Brf S.A"/>
    <s v="Aparecida de Goiania"/>
    <s v="GO"/>
    <n v="20955"/>
    <x v="1"/>
    <s v="V"/>
    <s v="FP"/>
    <s v="Normal"/>
    <s v="20650 00 B"/>
    <n v="103490019"/>
    <d v="2020-08-03T00:00:00"/>
    <d v="2020-08-03T00:00:00"/>
    <d v="2020-09-01T00:00:00"/>
    <d v="2021-08-18T00:00:00"/>
    <n v="125"/>
    <d v="2021-08-18T00:00:00"/>
    <n v="125"/>
    <s v="                                        "/>
    <s v="  /  /  "/>
    <m/>
    <s v="/  /"/>
    <s v="Sem rota"/>
    <n v="0"/>
    <m/>
    <n v="0"/>
    <m/>
    <n v="0"/>
    <m/>
    <s v="CIF"/>
    <n v="0"/>
    <n v="87"/>
    <x v="2"/>
    <n v="0"/>
  </r>
  <r>
    <n v="15067"/>
    <x v="3"/>
    <n v="42150391000170"/>
    <s v="Braskem S/A"/>
    <s v="Camacari"/>
    <s v="BA"/>
    <n v="22470"/>
    <x v="1"/>
    <s v="V"/>
    <s v="PE"/>
    <s v="Normal"/>
    <s v="18544 00 B"/>
    <m/>
    <d v="2020-10-15T00:00:00"/>
    <d v="2020-10-16T00:00:00"/>
    <d v="2021-11-24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m/>
    <s v="CIF"/>
    <n v="0"/>
    <n v="68941"/>
    <x v="3"/>
    <n v="0"/>
  </r>
  <r>
    <n v="15055"/>
    <x v="4"/>
    <n v="2290277002507"/>
    <s v="Kimberly-clark Brasil Ind Com P Hig Ltda"/>
    <s v="Camacari"/>
    <s v="BA"/>
    <n v="23256"/>
    <x v="0"/>
    <s v="V"/>
    <s v="PE"/>
    <s v="Normal"/>
    <s v="23424 00 A"/>
    <n v="6200155242"/>
    <d v="2021-02-10T00:00:00"/>
    <d v="2021-02-17T00:00:00"/>
    <d v="2021-03-02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s v="Termaco Recife"/>
    <s v="CIF"/>
    <n v="0"/>
    <n v="6505"/>
    <x v="4"/>
    <n v="0"/>
  </r>
  <r>
    <n v="15075"/>
    <x v="5"/>
    <n v="1808103000307"/>
    <s v="Ticona Polymers Ltda"/>
    <s v="Campo Bom"/>
    <s v="RS"/>
    <n v="23804"/>
    <x v="1"/>
    <s v="V"/>
    <s v="FP"/>
    <s v="Normal"/>
    <s v="24449 00 B"/>
    <n v="4502293964"/>
    <d v="2021-05-11T00:00:00"/>
    <d v="2021-05-17T00:00:00"/>
    <d v="2021-05-11T00:00:00"/>
    <d v="2021-09-15T00:00:00"/>
    <n v="138"/>
    <d v="2021-09-15T00:00:00"/>
    <n v="138"/>
    <s v="                                        "/>
    <s v="  /  /  "/>
    <m/>
    <s v="/  /"/>
    <s v="Sem rota"/>
    <n v="2000"/>
    <s v="28 DDF S/juros"/>
    <n v="0"/>
    <m/>
    <n v="0"/>
    <m/>
    <s v="CIF"/>
    <n v="0"/>
    <n v="8000"/>
    <x v="5"/>
    <n v="0"/>
  </r>
  <r>
    <n v="15069"/>
    <x v="6"/>
    <n v="1615814008005"/>
    <s v="Unilever Brasil Industrial Ltda"/>
    <s v="Igarassu"/>
    <s v="PE"/>
    <n v="23906"/>
    <x v="0"/>
    <s v="V"/>
    <s v="PE"/>
    <s v="Normal"/>
    <s v="25234 00 A"/>
    <s v="PO12403105"/>
    <d v="2021-06-01T00:00:00"/>
    <d v="2021-06-15T00:00:00"/>
    <d v="2021-06-01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m/>
    <s v="CIF"/>
    <n v="0"/>
    <n v="40000"/>
    <x v="6"/>
    <n v="0"/>
  </r>
  <r>
    <n v="15057"/>
    <x v="0"/>
    <n v="88587357003001"/>
    <s v="Cooperativa Santa Clara Ltda"/>
    <s v="Caxias do Sul"/>
    <s v="RS"/>
    <n v="23964"/>
    <x v="0"/>
    <s v="V"/>
    <s v="PE"/>
    <s v="Normal"/>
    <s v="25258 00 C"/>
    <m/>
    <d v="2021-06-16T00:00:00"/>
    <d v="2021-06-16T00:00:00"/>
    <d v="2021-06-16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m/>
    <s v="CIF"/>
    <n v="0"/>
    <n v="5040"/>
    <x v="6"/>
    <n v="0"/>
  </r>
  <r>
    <n v="15055"/>
    <x v="4"/>
    <n v="2290277002507"/>
    <s v="Kimberly-clark Brasil Ind Com P Hig Ltda"/>
    <s v="Camacari"/>
    <s v="BA"/>
    <n v="23973"/>
    <x v="0"/>
    <s v="V"/>
    <s v="PE"/>
    <s v="Normal"/>
    <s v="25435 00 A"/>
    <n v="6200170591"/>
    <d v="2021-06-21T00:00:00"/>
    <d v="2021-06-25T00:00:00"/>
    <d v="2021-06-22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s v="Termaco Recife"/>
    <s v="CIF"/>
    <n v="0"/>
    <n v="11925"/>
    <x v="6"/>
    <n v="0"/>
  </r>
  <r>
    <n v="15020"/>
    <x v="7"/>
    <n v="671"/>
    <s v="Paraguay Refrescos S.a"/>
    <s v="Asuncion"/>
    <s v="EX"/>
    <n v="24053"/>
    <x v="1"/>
    <s v="V"/>
    <s v="FP"/>
    <s v="Normal"/>
    <s v="25458 00 C"/>
    <n v="4500492668"/>
    <d v="2021-07-08T00:00:00"/>
    <d v="2021-07-15T00:00:00"/>
    <d v="2022-06-02T00:00:00"/>
    <d v="2022-02-02T00:00:00"/>
    <n v="5306"/>
    <d v="2022-06-02T00:00:00"/>
    <n v="7017"/>
    <s v="                                        "/>
    <s v="  /  /  "/>
    <m/>
    <s v="/  /"/>
    <s v="Sem rota"/>
    <n v="0"/>
    <m/>
    <n v="0"/>
    <m/>
    <n v="0"/>
    <m/>
    <s v="CIF"/>
    <n v="0"/>
    <n v="62351.33"/>
    <x v="7"/>
    <n v="0"/>
  </r>
  <r>
    <n v="15907"/>
    <x v="8"/>
    <n v="8380701000105"/>
    <s v="Unimed Natal Sociedade Coop de Trab Medi"/>
    <s v="Natal"/>
    <s v="RN"/>
    <n v="24140"/>
    <x v="2"/>
    <s v="V"/>
    <s v="PE"/>
    <s v="Normal"/>
    <s v="26110 00 A"/>
    <m/>
    <d v="2021-07-28T00:00:00"/>
    <d v="2021-08-02T00:00:00"/>
    <d v="2021-07-28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586800"/>
    <x v="8"/>
    <n v="0"/>
  </r>
  <r>
    <n v="15061"/>
    <x v="9"/>
    <n v="8334818001043"/>
    <s v="Nestle Nordeste Alimentos e Bebidas Ltda"/>
    <s v="Montes Claros"/>
    <s v="MG"/>
    <n v="24169"/>
    <x v="1"/>
    <s v="V"/>
    <s v="FP"/>
    <s v="Normal"/>
    <s v="25556 00 A"/>
    <n v="4566782408"/>
    <d v="2021-08-03T00:00:00"/>
    <d v="2021-08-16T00:00:00"/>
    <d v="2022-03-07T00:00:00"/>
    <d v="2022-03-07T00:00:00"/>
    <n v="214"/>
    <d v="2022-03-07T00:00:00"/>
    <n v="214"/>
    <s v="                                        "/>
    <s v="  /  /  "/>
    <m/>
    <s v="/  /"/>
    <s v="Sem rota"/>
    <n v="944"/>
    <s v="90 DDF Sem Juros"/>
    <n v="0"/>
    <m/>
    <n v="0"/>
    <m/>
    <s v="CIF"/>
    <n v="0"/>
    <n v="10465"/>
    <x v="8"/>
    <n v="0"/>
  </r>
  <r>
    <n v="15020"/>
    <x v="7"/>
    <n v="140"/>
    <s v="Granja Avicola Integral Sofia Ltda"/>
    <s v="Santa Cruz de La Siera"/>
    <s v="EX"/>
    <n v="24307"/>
    <x v="1"/>
    <s v="V"/>
    <s v="PE"/>
    <s v="Normal"/>
    <s v="26037 00 B"/>
    <m/>
    <d v="2021-08-24T00:00:00"/>
    <d v="2021-08-31T00:00:00"/>
    <d v="2021-08-24T00:00:00"/>
    <s v="  /  /  "/>
    <n v="0"/>
    <s v="  /  /  "/>
    <n v="0"/>
    <s v="                                        "/>
    <s v="  /  /  "/>
    <m/>
    <s v="/  /"/>
    <s v="Nit 1028779020"/>
    <n v="0"/>
    <m/>
    <n v="0"/>
    <m/>
    <n v="0"/>
    <m/>
    <s v="CIF"/>
    <n v="0"/>
    <n v="29341.8"/>
    <x v="8"/>
    <n v="0"/>
  </r>
  <r>
    <n v="15908"/>
    <x v="10"/>
    <n v="577604000448"/>
    <s v="Medchap Distr de Medicamentos Chapeco Lt"/>
    <s v="Sao Jose dos Pinhais"/>
    <s v="PR"/>
    <n v="24389"/>
    <x v="2"/>
    <s v="V"/>
    <s v="PE"/>
    <s v="Normal"/>
    <s v="26698 00 A"/>
    <m/>
    <d v="2021-09-03T00:00:00"/>
    <d v="2021-09-15T00:00:00"/>
    <d v="2021-09-03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162000"/>
    <x v="9"/>
    <n v="0"/>
  </r>
  <r>
    <n v="15910"/>
    <x v="11"/>
    <n v="4416849003036"/>
    <s v="Id do Brasil Logistica Ltda"/>
    <s v="Serra"/>
    <s v="ES"/>
    <n v="24066"/>
    <x v="3"/>
    <s v="V"/>
    <s v="FP"/>
    <s v="Normal"/>
    <s v="23670 00 A"/>
    <n v="1539"/>
    <d v="2021-07-12T00:00:00"/>
    <d v="2021-09-17T00:00:00"/>
    <d v="2021-09-15T00:00:00"/>
    <d v="2021-08-25T00:00:00"/>
    <n v="130"/>
    <d v="2022-05-18T00:00:00"/>
    <n v="245"/>
    <s v="                                        "/>
    <s v="  /  /  "/>
    <m/>
    <s v="/  /"/>
    <s v="Sem rota"/>
    <n v="2"/>
    <s v="15 DDF"/>
    <n v="0"/>
    <m/>
    <n v="0"/>
    <m/>
    <s v="CIF"/>
    <n v="0"/>
    <n v="259350"/>
    <x v="9"/>
    <n v="0"/>
  </r>
  <r>
    <n v="15908"/>
    <x v="10"/>
    <n v="92754738047983"/>
    <s v="Lojas Renner S.A"/>
    <s v="Cabreuva"/>
    <s v="SP"/>
    <n v="24482"/>
    <x v="0"/>
    <s v="V"/>
    <s v="PE"/>
    <s v="Normal"/>
    <s v="26506 00 B"/>
    <m/>
    <d v="2021-09-17T00:00:00"/>
    <d v="2021-09-21T00:00:00"/>
    <d v="2022-06-08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m/>
    <s v="CIF"/>
    <n v="0"/>
    <n v="470880"/>
    <x v="9"/>
    <n v="0"/>
  </r>
  <r>
    <n v="1"/>
    <x v="12"/>
    <n v="87556650001682"/>
    <s v="Bertolini S.A"/>
    <s v="Colatina"/>
    <s v="ES"/>
    <n v="23850"/>
    <x v="4"/>
    <s v="O"/>
    <s v="PE"/>
    <s v="Normal"/>
    <m/>
    <m/>
    <d v="2021-05-20T00:00:00"/>
    <d v="2021-10-04T00:00:00"/>
    <d v="2022-05-09T00:00:00"/>
    <s v="  /  /  "/>
    <n v="0"/>
    <s v="  /  /  "/>
    <n v="0"/>
    <s v="                                        "/>
    <s v="  /  /  "/>
    <s v="sa466"/>
    <d v="2021-09-08T00:00:00"/>
    <s v="Sem rota"/>
    <n v="0"/>
    <m/>
    <n v="0"/>
    <m/>
    <n v="0"/>
    <s v="Logber - Colatina Es"/>
    <s v="CIF"/>
    <n v="0"/>
    <n v="1.03"/>
    <x v="10"/>
    <n v="0"/>
  </r>
  <r>
    <n v="15051"/>
    <x v="13"/>
    <n v="577604000448"/>
    <s v="Medchap Distr de Medicamentos Chapeco Lt"/>
    <s v="Sao Jose dos Pinhais"/>
    <s v="PR"/>
    <n v="23776"/>
    <x v="5"/>
    <s v="V"/>
    <s v="FP"/>
    <s v="Normal"/>
    <s v="24294 04 D"/>
    <m/>
    <d v="2021-05-05T00:00:00"/>
    <d v="2021-10-08T00:00:00"/>
    <d v="2022-04-29T00:00:00"/>
    <d v="2021-10-30T00:00:00"/>
    <n v="4318"/>
    <d v="2021-12-09T00:00:00"/>
    <n v="4771"/>
    <s v="                                        "/>
    <s v="  /  /  "/>
    <s v="sa407"/>
    <d v="2021-08-11T00:00:00"/>
    <s v="Sem rota"/>
    <n v="0"/>
    <m/>
    <n v="0"/>
    <m/>
    <n v="0"/>
    <s v="Logber - Colatina Es"/>
    <s v="CIF"/>
    <n v="0"/>
    <n v="245900"/>
    <x v="10"/>
    <n v="0"/>
  </r>
  <r>
    <n v="15067"/>
    <x v="3"/>
    <n v="1838723005358"/>
    <s v="Brf S/A"/>
    <s v="Nova Santa Rita"/>
    <s v="RS"/>
    <n v="24111"/>
    <x v="0"/>
    <s v="V"/>
    <s v="PE"/>
    <s v="Normal"/>
    <s v="21720 01 H"/>
    <n v="103985243"/>
    <d v="2021-07-22T00:00:00"/>
    <d v="2021-11-05T00:00:00"/>
    <d v="2021-07-22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590000"/>
    <x v="11"/>
    <n v="0"/>
  </r>
  <r>
    <n v="15908"/>
    <x v="10"/>
    <n v="92754738047983"/>
    <s v="Lojas Renner S.A"/>
    <s v="Cabreuva"/>
    <s v="SP"/>
    <n v="24956"/>
    <x v="0"/>
    <s v="V"/>
    <s v="PE"/>
    <s v="Normal"/>
    <s v="27511 00 A"/>
    <m/>
    <d v="2021-11-22T00:00:00"/>
    <d v="2021-12-02T00:00:00"/>
    <d v="2021-11-22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25200"/>
    <x v="12"/>
    <n v="0"/>
  </r>
  <r>
    <n v="15067"/>
    <x v="3"/>
    <n v="7358761000754"/>
    <s v="Gerdau Acos Longos S/A"/>
    <s v="Sapucaia do Sul"/>
    <s v="RS"/>
    <n v="24290"/>
    <x v="0"/>
    <s v="V"/>
    <s v="PE"/>
    <s v="Normal"/>
    <s v="26066 00 B"/>
    <n v="3007369286"/>
    <d v="2021-08-23T00:00:00"/>
    <d v="2021-12-17T00:00:00"/>
    <d v="2022-03-23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m/>
    <s v="CIF"/>
    <n v="0"/>
    <n v="15277.56"/>
    <x v="12"/>
    <n v="0"/>
  </r>
  <r>
    <n v="15069"/>
    <x v="6"/>
    <n v="1615814008005"/>
    <s v="Unilever Brasil Industrial Ltda"/>
    <s v="Igarassu"/>
    <s v="PE"/>
    <n v="23928"/>
    <x v="0"/>
    <s v="V"/>
    <s v="PE"/>
    <s v="Normal"/>
    <s v="23561 00 D"/>
    <s v="PO13268260"/>
    <d v="2021-06-08T00:00:00"/>
    <d v="2021-12-17T00:00:00"/>
    <d v="2022-04-08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62000"/>
    <x v="12"/>
    <n v="0"/>
  </r>
  <r>
    <n v="15070"/>
    <x v="14"/>
    <n v="77595395000228"/>
    <s v="Frimesa Cooperativa Central"/>
    <s v="Medianeira"/>
    <s v="PR"/>
    <n v="24279"/>
    <x v="0"/>
    <s v="V"/>
    <s v="PE"/>
    <s v="Normal"/>
    <s v="24150 00 D"/>
    <n v="2372747"/>
    <d v="2021-08-19T00:00:00"/>
    <d v="2022-01-07T00:00:00"/>
    <d v="2022-04-06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187500"/>
    <x v="13"/>
    <n v="0"/>
  </r>
  <r>
    <n v="15908"/>
    <x v="10"/>
    <n v="3853896006776"/>
    <s v="Marfrig Global Foods S.A"/>
    <s v="Varzea Grande"/>
    <s v="MT"/>
    <n v="24514"/>
    <x v="0"/>
    <s v="V"/>
    <s v="PE"/>
    <s v="Normal"/>
    <s v="24491 04 F"/>
    <m/>
    <d v="2021-09-23T00:00:00"/>
    <d v="2022-01-07T00:00:00"/>
    <d v="2021-11-10T00:00:00"/>
    <s v="  /  /  "/>
    <n v="0"/>
    <s v="  /  /  "/>
    <n v="0"/>
    <s v="                                        "/>
    <s v="  /  /  "/>
    <m/>
    <s v="/  /"/>
    <s v="Sem rota"/>
    <n v="44"/>
    <s v="30 DDF S/juros"/>
    <n v="0"/>
    <m/>
    <n v="0"/>
    <m/>
    <s v="CIF"/>
    <n v="0"/>
    <n v="54000"/>
    <x v="13"/>
    <n v="0"/>
  </r>
  <r>
    <n v="15057"/>
    <x v="0"/>
    <n v="3853896000220"/>
    <s v="Marfrig Global Foods S.A"/>
    <s v="Bataguassu"/>
    <s v="MS"/>
    <n v="24516"/>
    <x v="0"/>
    <s v="V"/>
    <s v="PE"/>
    <s v="Normal"/>
    <s v="24492 08 I"/>
    <m/>
    <d v="2021-09-23T00:00:00"/>
    <d v="2022-01-07T00:00:00"/>
    <d v="2022-05-31T00:00:00"/>
    <s v="  /  /  "/>
    <n v="0"/>
    <s v="  /  /  "/>
    <n v="0"/>
    <s v="                                        "/>
    <s v="  /  /  "/>
    <m/>
    <s v="/  /"/>
    <s v="Sem rota"/>
    <n v="44"/>
    <s v="30 DDF S/juros"/>
    <n v="0"/>
    <m/>
    <n v="0"/>
    <s v="Transportes Mobiline"/>
    <s v="CIF"/>
    <n v="0"/>
    <n v="32000"/>
    <x v="13"/>
    <n v="0"/>
  </r>
  <r>
    <n v="15909"/>
    <x v="15"/>
    <n v="6147451000132"/>
    <s v="Calamo Dist de Produtos de Beleza S.A"/>
    <s v="Curitiba"/>
    <s v="PR"/>
    <n v="25272"/>
    <x v="0"/>
    <s v="V"/>
    <s v="PE"/>
    <s v="Normal"/>
    <s v="28106 00 A"/>
    <n v="4501264282"/>
    <d v="2022-01-12T00:00:00"/>
    <d v="2022-01-20T00:00:00"/>
    <d v="2022-02-08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m/>
    <s v="CIF"/>
    <n v="0"/>
    <n v="95680"/>
    <x v="13"/>
    <n v="0"/>
  </r>
  <r>
    <n v="15073"/>
    <x v="16"/>
    <n v="1154956000534"/>
    <s v="Bela Tintas Ltda"/>
    <s v="Maua"/>
    <s v="SP"/>
    <n v="24430"/>
    <x v="0"/>
    <s v="V"/>
    <s v="PE"/>
    <s v="Normal"/>
    <s v="24692 09 I"/>
    <m/>
    <d v="2021-09-13T00:00:00"/>
    <d v="2022-01-21T00:00:00"/>
    <d v="2022-03-11T00:00:00"/>
    <s v="  /  /  "/>
    <n v="0"/>
    <s v="  /  /  "/>
    <n v="0"/>
    <s v="                                        "/>
    <s v="  /  /  "/>
    <m/>
    <s v="/  /"/>
    <s v="Sem rota"/>
    <n v="2203"/>
    <s v="50% Conf e 50% 14ddf"/>
    <n v="0"/>
    <m/>
    <n v="0"/>
    <m/>
    <s v="CIF"/>
    <n v="0"/>
    <n v="3780"/>
    <x v="13"/>
    <n v="0"/>
  </r>
  <r>
    <n v="15910"/>
    <x v="11"/>
    <n v="7814284000107"/>
    <s v="Castelo Alimentos S.A"/>
    <s v="Jundiai"/>
    <s v="SP"/>
    <n v="25145"/>
    <x v="0"/>
    <s v="V"/>
    <s v="PE"/>
    <s v="Normal"/>
    <s v="25353 00 B"/>
    <m/>
    <d v="2021-12-15T00:00:00"/>
    <d v="2022-01-31T00:00:00"/>
    <d v="2022-02-07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664726"/>
    <x v="13"/>
    <n v="0"/>
  </r>
  <r>
    <n v="15910"/>
    <x v="11"/>
    <n v="7814284000107"/>
    <s v="Castelo Alimentos S.A"/>
    <s v="Jundiai"/>
    <s v="SP"/>
    <n v="25144"/>
    <x v="6"/>
    <s v="V"/>
    <s v="PE"/>
    <s v="Normal"/>
    <s v="25353 00 B"/>
    <m/>
    <d v="2021-12-15T00:00:00"/>
    <d v="2022-03-16T00:00:00"/>
    <d v="2022-01-24T00:00:00"/>
    <s v="  /  /  "/>
    <n v="0"/>
    <s v="  /  /  "/>
    <n v="0"/>
    <s v="                                        "/>
    <s v="  /  /  "/>
    <s v="sa601"/>
    <d v="2022-01-27T00:00:00"/>
    <s v="Sem rota"/>
    <n v="0"/>
    <m/>
    <n v="0"/>
    <m/>
    <n v="0"/>
    <s v="Logber - Colatina Es"/>
    <s v="CIF"/>
    <n v="0"/>
    <n v="40076.49"/>
    <x v="14"/>
    <n v="0"/>
  </r>
  <r>
    <n v="15020"/>
    <x v="7"/>
    <n v="0"/>
    <s v="Corin S.a."/>
    <s v="Montevideo"/>
    <s v="EX"/>
    <n v="24803"/>
    <x v="7"/>
    <s v="V"/>
    <s v="PE"/>
    <s v="Normal"/>
    <s v="26839 01 A"/>
    <m/>
    <d v="2021-10-29T00:00:00"/>
    <d v="2022-03-18T00:00:00"/>
    <d v="2021-11-12T00:00:00"/>
    <s v="  /  /  "/>
    <n v="0"/>
    <s v="  /  /  "/>
    <n v="0"/>
    <s v="                                        "/>
    <s v="  /  /  "/>
    <s v="sa585"/>
    <d v="2021-12-23T00:00:00"/>
    <s v="Sem rota"/>
    <n v="0"/>
    <m/>
    <n v="0"/>
    <m/>
    <n v="0"/>
    <m/>
    <s v="CIF"/>
    <n v="814.39"/>
    <n v="67755.11"/>
    <x v="14"/>
    <n v="814.39"/>
  </r>
  <r>
    <n v="15908"/>
    <x v="10"/>
    <n v="577604000448"/>
    <s v="Medchap Distr de Medicamentos Chapeco Lt"/>
    <s v="Sao Jose dos Pinhais"/>
    <s v="PR"/>
    <n v="25477"/>
    <x v="8"/>
    <s v="O"/>
    <s v="FP"/>
    <s v="Detalhamento"/>
    <m/>
    <m/>
    <d v="2022-03-03T00:00:00"/>
    <d v="2022-03-18T00:00:00"/>
    <d v="2022-03-03T00:00:00"/>
    <d v="2022-04-01T00:00:00"/>
    <n v="6118"/>
    <d v="2022-04-01T00:00:00"/>
    <n v="6118"/>
    <s v="                                        "/>
    <s v="  /  /  "/>
    <s v="sat221"/>
    <d v="2022-03-03T00:00:00"/>
    <s v="Sem rota"/>
    <n v="0"/>
    <m/>
    <n v="0"/>
    <m/>
    <n v="0"/>
    <s v="Logber - Colatina Es"/>
    <s v="CIF"/>
    <n v="0"/>
    <n v="12487.06"/>
    <x v="14"/>
    <n v="0"/>
  </r>
  <r>
    <n v="15907"/>
    <x v="8"/>
    <n v="8380701000105"/>
    <s v="Unimed Natal Sociedade Coop de Trab Medi"/>
    <s v="Natal"/>
    <s v="RN"/>
    <n v="24166"/>
    <x v="9"/>
    <s v="O"/>
    <s v="PE"/>
    <s v="Normal"/>
    <s v="21634 05 G"/>
    <m/>
    <d v="2021-08-03T00:00:00"/>
    <d v="2022-03-31T00:00:00"/>
    <d v="2022-04-14T00:00:00"/>
    <s v="  /  /  "/>
    <n v="0"/>
    <s v="  /  /  "/>
    <n v="0"/>
    <s v="                                        "/>
    <s v="  /  /  "/>
    <s v="sa574"/>
    <d v="2022-01-24T00:00:00"/>
    <s v="Sem rota"/>
    <n v="2011"/>
    <s v="Leasing"/>
    <n v="0"/>
    <m/>
    <n v="0"/>
    <s v="Logber - Colatina Es"/>
    <s v="CIF"/>
    <n v="0"/>
    <n v="2052312"/>
    <x v="14"/>
    <n v="0"/>
  </r>
  <r>
    <n v="15064"/>
    <x v="17"/>
    <n v="45495694000890"/>
    <s v="Super Mercados São Roque Ltda"/>
    <s v="Sao Roque"/>
    <s v="SP"/>
    <n v="24420"/>
    <x v="7"/>
    <s v="V"/>
    <s v="FP"/>
    <s v="Normal"/>
    <s v="17742 07 H"/>
    <m/>
    <d v="2021-09-10T00:00:00"/>
    <d v="2022-04-11T00:00:00"/>
    <d v="2022-05-30T00:00:00"/>
    <d v="2022-05-30T00:00:00"/>
    <n v="6949"/>
    <d v="2022-05-31T00:00:00"/>
    <n v="6988"/>
    <s v="                                        "/>
    <s v="  /  /  "/>
    <s v="sa508"/>
    <d v="2021-10-01T00:00:00"/>
    <s v="Sem rota"/>
    <n v="0"/>
    <m/>
    <n v="0"/>
    <m/>
    <n v="0"/>
    <s v="Logber - Colatina Es"/>
    <s v="CIF"/>
    <n v="5664.87"/>
    <n v="150079.18"/>
    <x v="15"/>
    <n v="5664.87"/>
  </r>
  <r>
    <n v="15020"/>
    <x v="7"/>
    <n v="0"/>
    <s v="Tata S.a"/>
    <s v="Canelones"/>
    <s v="EX"/>
    <n v="23434"/>
    <x v="8"/>
    <s v="V"/>
    <s v="PE"/>
    <s v="Normal"/>
    <s v="22984 00 C"/>
    <m/>
    <d v="2021-03-15T00:00:00"/>
    <d v="2022-04-14T00:00:00"/>
    <d v="2022-04-29T00:00:00"/>
    <s v="  /  /  "/>
    <n v="0"/>
    <s v="  /  /  "/>
    <n v="0"/>
    <s v="                                        "/>
    <s v="  /  /  "/>
    <s v="sa240"/>
    <d v="2021-03-18T00:00:00"/>
    <s v="Sem rota"/>
    <n v="0"/>
    <m/>
    <n v="0"/>
    <m/>
    <n v="0"/>
    <m/>
    <s v="CIF"/>
    <n v="0"/>
    <n v="75706.73"/>
    <x v="15"/>
    <n v="0"/>
  </r>
  <r>
    <n v="15909"/>
    <x v="15"/>
    <n v="7526557004601"/>
    <s v="Ambev S.A"/>
    <s v="Rio de Janeiro"/>
    <s v="RJ"/>
    <n v="25833"/>
    <x v="1"/>
    <s v="V"/>
    <s v="PE"/>
    <s v="Normal"/>
    <s v="29329 00 A"/>
    <m/>
    <d v="2022-03-31T00:00:00"/>
    <d v="2022-04-18T00:00:00"/>
    <d v="2022-04-06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m/>
    <s v="CIF"/>
    <n v="0"/>
    <n v="13000"/>
    <x v="15"/>
    <n v="0"/>
  </r>
  <r>
    <n v="15909"/>
    <x v="15"/>
    <n v="56228356004048"/>
    <s v="Crbs S.A"/>
    <s v="Feira de Santana"/>
    <s v="BA"/>
    <n v="25828"/>
    <x v="1"/>
    <s v="V"/>
    <s v="PE"/>
    <s v="Normal"/>
    <s v="29328 00 A"/>
    <m/>
    <d v="2022-03-31T00:00:00"/>
    <d v="2022-04-18T00:00:00"/>
    <d v="2022-04-01T00:00:00"/>
    <s v="  /  /  "/>
    <n v="0"/>
    <s v="  /  /  "/>
    <n v="0"/>
    <s v="                                        "/>
    <s v="  /  /  "/>
    <m/>
    <s v="/  /"/>
    <s v="Sem rota"/>
    <n v="1300"/>
    <s v="95 Dias S/ Juros"/>
    <n v="0"/>
    <m/>
    <n v="0"/>
    <m/>
    <s v="CIF"/>
    <n v="0"/>
    <n v="13000"/>
    <x v="15"/>
    <n v="0"/>
  </r>
  <r>
    <n v="15066"/>
    <x v="18"/>
    <n v="64858525006771"/>
    <s v="Monsanto do Brasil Ltda"/>
    <s v="Uberlandia"/>
    <s v="MG"/>
    <n v="25776"/>
    <x v="10"/>
    <s v="V"/>
    <s v="PE"/>
    <s v="Normal"/>
    <s v="28765 00 D"/>
    <n v="6500508283"/>
    <d v="2022-03-30T00:00:00"/>
    <d v="2022-04-18T00:00:00"/>
    <d v="2022-03-30T00:00:00"/>
    <s v="  /  /  "/>
    <n v="0"/>
    <s v="  /  /  "/>
    <n v="0"/>
    <s v="                                        "/>
    <s v="  /  /  "/>
    <s v="sa681"/>
    <d v="2022-04-04T00:00:00"/>
    <s v="Sem rota"/>
    <n v="44"/>
    <s v="30 DDF S/juros"/>
    <n v="0"/>
    <m/>
    <n v="0"/>
    <s v="Logber - Colatina Es"/>
    <s v="CIF"/>
    <n v="0"/>
    <n v="189978.01"/>
    <x v="15"/>
    <n v="0"/>
  </r>
  <r>
    <n v="15066"/>
    <x v="18"/>
    <n v="64858525010299"/>
    <s v="Monsanto do Brasil Ltda"/>
    <s v="Paracatu"/>
    <s v="MG"/>
    <n v="25777"/>
    <x v="10"/>
    <s v="V"/>
    <s v="PE"/>
    <s v="Normal"/>
    <s v="28715 02 E"/>
    <n v="6500508282"/>
    <d v="2022-03-30T00:00:00"/>
    <d v="2022-04-18T00:00:00"/>
    <d v="2022-03-30T00:00:00"/>
    <s v="  /  /  "/>
    <n v="0"/>
    <s v="  /  /  "/>
    <n v="0"/>
    <s v="                                        "/>
    <s v="  /  /  "/>
    <s v="sa681"/>
    <d v="2022-04-04T00:00:00"/>
    <s v="Sem rota"/>
    <n v="44"/>
    <s v="30 DDF S/juros"/>
    <n v="0"/>
    <m/>
    <n v="0"/>
    <s v="Logber - Colatina Es"/>
    <s v="CIF"/>
    <n v="0"/>
    <n v="140276.53"/>
    <x v="15"/>
    <n v="0"/>
  </r>
  <r>
    <n v="15066"/>
    <x v="18"/>
    <n v="64858525013638"/>
    <s v="Monsanto do Brasil Ltda"/>
    <s v="Campo Verde"/>
    <s v="MT"/>
    <n v="25778"/>
    <x v="10"/>
    <s v="V"/>
    <s v="PE"/>
    <s v="Normal"/>
    <s v="28768 00 D"/>
    <n v="6500507889"/>
    <d v="2022-03-30T00:00:00"/>
    <d v="2022-04-18T00:00:00"/>
    <d v="2022-03-30T00:00:00"/>
    <s v="  /  /  "/>
    <n v="0"/>
    <s v="  /  /  "/>
    <n v="0"/>
    <s v="                                        "/>
    <s v="  /  /  "/>
    <s v="sa681"/>
    <d v="2022-04-04T00:00:00"/>
    <s v="Sem rota"/>
    <n v="44"/>
    <s v="30 DDF S/juros"/>
    <n v="0"/>
    <m/>
    <n v="0"/>
    <s v="Logber - Colatina Es"/>
    <s v="CIF"/>
    <n v="0"/>
    <n v="178737.17"/>
    <x v="15"/>
    <n v="0"/>
  </r>
  <r>
    <n v="15908"/>
    <x v="10"/>
    <n v="2060862002421"/>
    <s v="Superfrio Armazens Gerais S.A"/>
    <s v="Manaus"/>
    <s v="AM"/>
    <n v="24703"/>
    <x v="0"/>
    <s v="V"/>
    <s v="PE"/>
    <s v="Normal"/>
    <s v="26107 00 C"/>
    <n v="128440"/>
    <d v="2021-10-18T00:00:00"/>
    <d v="2022-04-18T00:00:00"/>
    <d v="2021-11-04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m/>
    <s v="CIF"/>
    <n v="0"/>
    <n v="35000"/>
    <x v="15"/>
    <n v="0"/>
  </r>
  <r>
    <n v="15908"/>
    <x v="10"/>
    <n v="2060862002421"/>
    <s v="Superfrio Armazens Gerais S.A"/>
    <s v="Manaus"/>
    <s v="AM"/>
    <n v="24705"/>
    <x v="0"/>
    <s v="V"/>
    <s v="PE"/>
    <s v="Normal"/>
    <s v="26107 00 C"/>
    <n v="128440"/>
    <d v="2021-10-18T00:00:00"/>
    <d v="2022-04-18T00:00:00"/>
    <d v="2021-11-04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m/>
    <s v="CIF"/>
    <n v="0"/>
    <n v="8000"/>
    <x v="15"/>
    <n v="0"/>
  </r>
  <r>
    <n v="15078"/>
    <x v="19"/>
    <n v="84046101024700"/>
    <s v="Bunge Alimentos S/A"/>
    <s v="Rondonopolis"/>
    <s v="MT"/>
    <n v="24938"/>
    <x v="0"/>
    <s v="V"/>
    <s v="PE"/>
    <s v="Normal"/>
    <s v="26075 00 D"/>
    <n v="4102657813"/>
    <d v="2021-11-18T00:00:00"/>
    <d v="2022-04-22T00:00:00"/>
    <d v="2021-11-18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m/>
    <s v="CIF"/>
    <n v="0"/>
    <n v="160650"/>
    <x v="15"/>
    <n v="0"/>
  </r>
  <r>
    <n v="15073"/>
    <x v="16"/>
    <n v="382468003375"/>
    <s v="Colgate Palmolive Comercial Ltda"/>
    <s v="Sao Bernardo do Campo"/>
    <s v="SP"/>
    <n v="25909"/>
    <x v="0"/>
    <s v="V"/>
    <s v="PE"/>
    <s v="Normal"/>
    <s v="26542 00 D"/>
    <n v="7503744187"/>
    <d v="2022-04-14T00:00:00"/>
    <d v="2022-04-25T00:00:00"/>
    <d v="2022-04-14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163800"/>
    <x v="15"/>
    <n v="0"/>
  </r>
  <r>
    <n v="15067"/>
    <x v="3"/>
    <n v="3961151000447"/>
    <s v="Imd Comercio de Moveis Ltda"/>
    <s v="Navegantes"/>
    <s v="SC"/>
    <n v="26022"/>
    <x v="11"/>
    <s v="V"/>
    <s v="PE"/>
    <s v="Refaturamento"/>
    <s v="27586 03 C"/>
    <m/>
    <d v="2022-04-29T00:00:00"/>
    <d v="2022-04-29T00:00:00"/>
    <d v="2022-04-29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65262.671000000002"/>
    <n v="1185124.3400000001"/>
    <x v="15"/>
    <n v="65262.671000000002"/>
  </r>
  <r>
    <n v="15066"/>
    <x v="18"/>
    <n v="60409075006002"/>
    <s v="Nestle Brasil Ltda"/>
    <s v="Ibia"/>
    <s v="MG"/>
    <n v="25969"/>
    <x v="1"/>
    <s v="V"/>
    <s v="PE"/>
    <s v="Normal"/>
    <s v="29565 00 A"/>
    <n v="4569470243"/>
    <d v="2022-04-25T00:00:00"/>
    <d v="2022-05-02T00:00:00"/>
    <d v="2022-04-25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m/>
    <s v="CIF"/>
    <n v="0"/>
    <n v="21486"/>
    <x v="16"/>
    <n v="0"/>
  </r>
  <r>
    <n v="15064"/>
    <x v="17"/>
    <n v="776574003171"/>
    <s v="Americanas S.A"/>
    <s v="Simoes Filho"/>
    <s v="BA"/>
    <n v="25849"/>
    <x v="12"/>
    <s v="V"/>
    <s v="FP"/>
    <s v="Normal"/>
    <s v="29184 01 C"/>
    <s v="P2202"/>
    <d v="2022-03-31T00:00:00"/>
    <d v="2022-05-06T00:00:00"/>
    <d v="2022-04-04T00:00:00"/>
    <d v="2022-04-28T00:00:00"/>
    <n v="6485"/>
    <d v="2022-06-08T00:00:00"/>
    <n v="7095"/>
    <s v="                                        "/>
    <s v="  /  /  "/>
    <s v="sa683"/>
    <d v="2022-04-06T00:00:00"/>
    <s v="Sem rota"/>
    <n v="0"/>
    <m/>
    <n v="0"/>
    <m/>
    <n v="0"/>
    <s v="Logber - Colatina Es"/>
    <s v="CIF"/>
    <n v="3266.11"/>
    <n v="26794.5"/>
    <x v="16"/>
    <n v="3266.11"/>
  </r>
  <r>
    <n v="15064"/>
    <x v="17"/>
    <n v="776574003171"/>
    <s v="Americanas S.A"/>
    <s v="Simoes Filho"/>
    <s v="BA"/>
    <n v="25850"/>
    <x v="12"/>
    <s v="V"/>
    <s v="FP"/>
    <s v="Normal"/>
    <s v="29184 01 C"/>
    <s v="P2202"/>
    <d v="2022-03-31T00:00:00"/>
    <d v="2022-05-06T00:00:00"/>
    <d v="2022-04-04T00:00:00"/>
    <d v="2022-04-28T00:00:00"/>
    <n v="6487"/>
    <d v="2022-06-08T00:00:00"/>
    <n v="7096"/>
    <s v="                                        "/>
    <s v="  /  /  "/>
    <s v="sa683"/>
    <d v="2022-04-06T00:00:00"/>
    <s v="Sem rota"/>
    <n v="0"/>
    <m/>
    <n v="0"/>
    <m/>
    <n v="0"/>
    <s v="Logber - Colatina Es"/>
    <s v="CIF"/>
    <n v="3732.7"/>
    <n v="611964.79"/>
    <x v="16"/>
    <n v="3732.7"/>
  </r>
  <r>
    <n v="15064"/>
    <x v="17"/>
    <n v="776574002523"/>
    <s v="Americanas S.A"/>
    <s v="Benevides"/>
    <s v="PA"/>
    <n v="25865"/>
    <x v="12"/>
    <s v="V"/>
    <s v="FP"/>
    <s v="Normal"/>
    <s v="29185 01 C"/>
    <s v="P2201"/>
    <d v="2022-03-31T00:00:00"/>
    <d v="2022-05-06T00:00:00"/>
    <d v="2022-04-05T00:00:00"/>
    <d v="2022-04-28T00:00:00"/>
    <n v="6491"/>
    <d v="2022-05-27T00:00:00"/>
    <n v="6923"/>
    <s v="                                        "/>
    <s v="  /  /  "/>
    <s v="sa684"/>
    <d v="2022-04-06T00:00:00"/>
    <s v="Sem rota"/>
    <n v="0"/>
    <m/>
    <n v="0"/>
    <m/>
    <n v="0"/>
    <s v="Logber - Colatina Es"/>
    <s v="CIF"/>
    <n v="2641.36"/>
    <n v="44095.5"/>
    <x v="16"/>
    <n v="2641.36"/>
  </r>
  <r>
    <n v="15051"/>
    <x v="13"/>
    <n v="11283356000287"/>
    <s v="Philco Eletronicos S/A"/>
    <s v="Manaus"/>
    <s v="AM"/>
    <n v="24575"/>
    <x v="12"/>
    <s v="V"/>
    <s v="PE"/>
    <s v="Normal"/>
    <s v="24591 02 E"/>
    <m/>
    <d v="2021-09-30T00:00:00"/>
    <d v="2022-05-13T00:00:00"/>
    <d v="2022-03-09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FOB"/>
    <n v="26206.954000000002"/>
    <n v="380000"/>
    <x v="16"/>
    <n v="26206.954000000002"/>
  </r>
  <r>
    <n v="15059"/>
    <x v="20"/>
    <n v="1333984000276"/>
    <s v="Segala's Alimentos Ltda"/>
    <s v="Gaspar"/>
    <s v="SC"/>
    <n v="26055"/>
    <x v="13"/>
    <s v="O"/>
    <s v="PE"/>
    <s v="Detalhamento"/>
    <m/>
    <m/>
    <d v="2022-05-03T00:00:00"/>
    <d v="2022-05-17T00:00:00"/>
    <d v="2022-05-04T00:00:00"/>
    <s v="  /  /  "/>
    <n v="0"/>
    <s v="  /  /  "/>
    <n v="0"/>
    <s v="                                        "/>
    <s v="  /  /  "/>
    <s v="sat267"/>
    <d v="2022-05-04T00:00:00"/>
    <s v="Sem rota"/>
    <n v="0"/>
    <m/>
    <n v="0"/>
    <m/>
    <n v="0"/>
    <s v="Logber - Colatina Es"/>
    <s v="CIF"/>
    <n v="0"/>
    <n v="1"/>
    <x v="16"/>
    <n v="0"/>
  </r>
  <r>
    <n v="15064"/>
    <x v="17"/>
    <n v="776574003171"/>
    <s v="Americanas S.A"/>
    <s v="Simoes Filho"/>
    <s v="BA"/>
    <n v="25848"/>
    <x v="12"/>
    <s v="V"/>
    <s v="FP"/>
    <s v="Normal"/>
    <s v="29184 01 C"/>
    <s v="P2202"/>
    <d v="2022-03-31T00:00:00"/>
    <d v="2022-05-19T00:00:00"/>
    <d v="2022-04-04T00:00:00"/>
    <d v="2022-04-28T00:00:00"/>
    <n v="6481"/>
    <d v="2022-05-05T00:00:00"/>
    <n v="6604"/>
    <s v="                                        "/>
    <s v="  /  /  "/>
    <s v="sa683"/>
    <d v="2022-04-06T00:00:00"/>
    <s v="Sem rota"/>
    <n v="0"/>
    <m/>
    <n v="0"/>
    <m/>
    <n v="0"/>
    <s v="Logber - Colatina Es"/>
    <s v="CIF"/>
    <n v="3196.99"/>
    <n v="15148.49"/>
    <x v="16"/>
    <n v="3196.99"/>
  </r>
  <r>
    <n v="15064"/>
    <x v="17"/>
    <n v="776574002523"/>
    <s v="Americanas S.A"/>
    <s v="Benevides"/>
    <s v="PA"/>
    <n v="25852"/>
    <x v="12"/>
    <s v="V"/>
    <s v="FP"/>
    <s v="Normal"/>
    <s v="29185 01 C"/>
    <s v="P2201"/>
    <d v="2022-03-31T00:00:00"/>
    <d v="2022-05-19T00:00:00"/>
    <d v="2022-04-04T00:00:00"/>
    <d v="2022-04-28T00:00:00"/>
    <n v="6478"/>
    <d v="2022-06-08T00:00:00"/>
    <n v="7083"/>
    <s v="                                        "/>
    <s v="  /  /  "/>
    <s v="sa684"/>
    <d v="2022-04-06T00:00:00"/>
    <s v="Sem rota"/>
    <n v="0"/>
    <m/>
    <n v="0"/>
    <m/>
    <n v="0"/>
    <s v="Logber - Colatina Es"/>
    <s v="CIF"/>
    <n v="2626.71"/>
    <n v="21358.39"/>
    <x v="16"/>
    <n v="2626.71"/>
  </r>
  <r>
    <n v="15908"/>
    <x v="10"/>
    <n v="92754738047983"/>
    <s v="Lojas Renner S.A"/>
    <s v="Cabreuva"/>
    <s v="SP"/>
    <n v="26071"/>
    <x v="14"/>
    <s v="O"/>
    <s v="FP"/>
    <s v="Montagem"/>
    <m/>
    <m/>
    <d v="2022-05-05T00:00:00"/>
    <d v="2022-05-19T00:00:00"/>
    <d v="2022-05-06T00:00:00"/>
    <d v="2022-05-06T00:00:00"/>
    <n v="6628"/>
    <d v="2022-05-13T00:00:00"/>
    <n v="6719"/>
    <s v="                                        "/>
    <s v="  /  /  "/>
    <s v="sat271"/>
    <d v="2022-05-06T00:00:00"/>
    <s v="Sem rota"/>
    <n v="0"/>
    <m/>
    <n v="0"/>
    <m/>
    <n v="0"/>
    <s v="Logber - Colatina Es"/>
    <s v="CIF"/>
    <n v="0"/>
    <n v="1032.8699999999999"/>
    <x v="16"/>
    <n v="0"/>
  </r>
  <r>
    <n v="15070"/>
    <x v="14"/>
    <n v="3147206000137"/>
    <s v="Segura Transportes e Logistica Ltda"/>
    <s v="Barueri"/>
    <s v="SP"/>
    <n v="25048"/>
    <x v="7"/>
    <s v="V"/>
    <s v="PE"/>
    <s v="Normal"/>
    <s v="27415 04 E"/>
    <m/>
    <d v="2021-12-02T00:00:00"/>
    <d v="2022-05-19T00:00:00"/>
    <d v="2022-04-29T00:00:00"/>
    <s v="  /  /  "/>
    <n v="0"/>
    <s v="  /  /  "/>
    <n v="0"/>
    <s v="                                        "/>
    <s v="  /  /  "/>
    <s v="sa614"/>
    <d v="2022-02-04T00:00:00"/>
    <s v="Sem rota"/>
    <n v="0"/>
    <m/>
    <n v="0"/>
    <m/>
    <n v="0"/>
    <s v="Logber - Colatina Es"/>
    <s v="CIF"/>
    <n v="1647.76"/>
    <n v="551250"/>
    <x v="16"/>
    <n v="1647.76"/>
  </r>
  <r>
    <n v="15061"/>
    <x v="9"/>
    <n v="85740000178"/>
    <s v="Trigo &amp; Cia Ltda"/>
    <s v="Santa Luzia"/>
    <s v="MG"/>
    <n v="24995"/>
    <x v="7"/>
    <s v="V"/>
    <s v="PE"/>
    <s v="Normal"/>
    <s v="20085 10 N"/>
    <m/>
    <d v="2021-11-25T00:00:00"/>
    <d v="2022-05-19T00:00:00"/>
    <d v="2022-05-11T00:00:00"/>
    <s v="  /  /  "/>
    <n v="0"/>
    <s v="  /  /  "/>
    <n v="0"/>
    <s v="                                        "/>
    <s v="  /  /  "/>
    <s v="sa620"/>
    <d v="2022-02-07T00:00:00"/>
    <s v="Sem rota"/>
    <n v="0"/>
    <m/>
    <n v="0"/>
    <m/>
    <n v="0"/>
    <s v="Logber - Colatina Es"/>
    <s v="CIF"/>
    <n v="985.02"/>
    <n v="144550"/>
    <x v="16"/>
    <n v="985.02"/>
  </r>
  <r>
    <n v="15057"/>
    <x v="0"/>
    <n v="2290510000419"/>
    <s v="Adama Brasil S.A"/>
    <s v="Taquari"/>
    <s v="RS"/>
    <n v="26114"/>
    <x v="1"/>
    <s v="V"/>
    <s v="PE"/>
    <s v="Normal"/>
    <s v="29597 00 A"/>
    <n v="4500340149"/>
    <d v="2022-05-12T00:00:00"/>
    <d v="2022-05-20T00:00:00"/>
    <d v="2022-05-12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m/>
    <s v="CIF"/>
    <n v="0"/>
    <n v="8500"/>
    <x v="16"/>
    <n v="0"/>
  </r>
  <r>
    <n v="15074"/>
    <x v="21"/>
    <n v="48539407000207"/>
    <s v="Basf S/A"/>
    <s v="Guaratingueta"/>
    <s v="SP"/>
    <n v="25283"/>
    <x v="0"/>
    <s v="V"/>
    <s v="PE"/>
    <s v="Normal"/>
    <s v="27700 00 B"/>
    <n v="4969531368"/>
    <d v="2022-01-13T00:00:00"/>
    <d v="2022-05-20T00:00:00"/>
    <d v="2022-01-13T00:00:00"/>
    <s v="  /  /  "/>
    <n v="0"/>
    <s v="  /  /  "/>
    <n v="0"/>
    <s v="                                        "/>
    <s v="  /  /  "/>
    <m/>
    <s v="/  /"/>
    <s v="Sem rota"/>
    <n v="44"/>
    <s v="30 DDF S/juros"/>
    <n v="0"/>
    <m/>
    <n v="0"/>
    <m/>
    <s v="CIF"/>
    <n v="0"/>
    <n v="2550"/>
    <x v="16"/>
    <n v="0"/>
  </r>
  <r>
    <n v="15064"/>
    <x v="17"/>
    <n v="1838723032592"/>
    <s v="Brf S/A"/>
    <s v="Jundiai"/>
    <s v="SP"/>
    <n v="25526"/>
    <x v="0"/>
    <s v="V"/>
    <s v="PE"/>
    <s v="Normal"/>
    <s v="24207 03 G"/>
    <n v="105059059"/>
    <d v="2022-02-25T00:00:00"/>
    <d v="2022-05-20T00:00:00"/>
    <d v="2022-02-25T00:00:00"/>
    <s v="  /  /  "/>
    <n v="0"/>
    <s v="  /  /  "/>
    <n v="0"/>
    <s v="                                        "/>
    <s v="  /  /  "/>
    <m/>
    <s v="/  /"/>
    <s v="Sem rota"/>
    <n v="482"/>
    <s v="150 DDF S/juros"/>
    <n v="0"/>
    <m/>
    <n v="0"/>
    <m/>
    <s v="CIF"/>
    <n v="0"/>
    <n v="109530"/>
    <x v="16"/>
    <n v="0"/>
  </r>
  <r>
    <n v="15054"/>
    <x v="2"/>
    <n v="60498706037077"/>
    <s v="Cargill Agricola S.A"/>
    <s v="Goiania"/>
    <s v="GO"/>
    <n v="29163"/>
    <x v="1"/>
    <s v="V"/>
    <s v="PE"/>
    <s v="Normal"/>
    <s v="29671 00 A"/>
    <n v="4511867464"/>
    <d v="2022-05-13T00:00:00"/>
    <d v="2022-05-20T00:00:00"/>
    <d v="2022-05-16T00:00:00"/>
    <s v="  /  /  "/>
    <n v="0"/>
    <s v="  /  /  "/>
    <n v="0"/>
    <s v="                                        "/>
    <s v="  /  /  "/>
    <m/>
    <s v="/  /"/>
    <s v="Sem rota"/>
    <n v="879"/>
    <s v="60 Ddf S/j"/>
    <n v="0"/>
    <m/>
    <n v="0"/>
    <m/>
    <s v="CIF"/>
    <n v="0"/>
    <n v="22186"/>
    <x v="16"/>
    <n v="0"/>
  </r>
  <r>
    <n v="15909"/>
    <x v="15"/>
    <n v="92754738047983"/>
    <s v="Lojas Renner S.A"/>
    <s v="Cabreuva"/>
    <s v="SP"/>
    <n v="26116"/>
    <x v="0"/>
    <s v="V"/>
    <s v="PE"/>
    <s v="Normal"/>
    <s v="26780 00 C"/>
    <n v="2462863"/>
    <d v="2022-05-12T00:00:00"/>
    <d v="2022-05-20T00:00:00"/>
    <d v="2022-05-12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m/>
    <s v="CIF"/>
    <n v="0"/>
    <n v="439100"/>
    <x v="16"/>
    <n v="0"/>
  </r>
  <r>
    <n v="15073"/>
    <x v="16"/>
    <n v="60409075010034"/>
    <s v="Nestle Brasil Ltda"/>
    <s v="Sao Bernardo do Campo"/>
    <s v="SP"/>
    <n v="26101"/>
    <x v="1"/>
    <s v="V"/>
    <s v="PE"/>
    <s v="Normal"/>
    <s v="29462 00 A"/>
    <n v="4569692053"/>
    <d v="2022-05-11T00:00:00"/>
    <d v="2022-05-20T00:00:00"/>
    <d v="2022-05-11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m/>
    <s v="CIF"/>
    <n v="0"/>
    <n v="18600"/>
    <x v="16"/>
    <n v="0"/>
  </r>
  <r>
    <n v="15064"/>
    <x v="17"/>
    <n v="776574003171"/>
    <s v="Americanas S.A"/>
    <s v="Simoes Filho"/>
    <s v="BA"/>
    <n v="25863"/>
    <x v="12"/>
    <s v="V"/>
    <s v="FP"/>
    <s v="Normal"/>
    <s v="29184 01 C"/>
    <s v="P2202"/>
    <d v="2022-03-31T00:00:00"/>
    <d v="2022-05-23T00:00:00"/>
    <d v="2022-04-05T00:00:00"/>
    <d v="2022-05-10T00:00:00"/>
    <n v="6648"/>
    <d v="2022-05-10T00:00:00"/>
    <n v="6653"/>
    <s v="                                        "/>
    <s v="  /  /  "/>
    <s v="sa683"/>
    <d v="2022-04-06T00:00:00"/>
    <s v="Sem rota"/>
    <n v="0"/>
    <m/>
    <n v="0"/>
    <m/>
    <n v="0"/>
    <s v="Logber - Colatina Es"/>
    <s v="CIF"/>
    <n v="36952.129999999997"/>
    <n v="803179.22"/>
    <x v="16"/>
    <n v="36952.129999999997"/>
  </r>
  <r>
    <n v="15064"/>
    <x v="17"/>
    <n v="776574003171"/>
    <s v="Americanas S.A"/>
    <s v="Simoes Filho"/>
    <s v="BA"/>
    <n v="25864"/>
    <x v="12"/>
    <s v="V"/>
    <s v="FP"/>
    <s v="Normal"/>
    <s v="29184 01 C"/>
    <s v="P2202"/>
    <d v="2022-03-31T00:00:00"/>
    <d v="2022-05-23T00:00:00"/>
    <d v="2022-04-05T00:00:00"/>
    <d v="2022-04-28T00:00:00"/>
    <n v="6490"/>
    <d v="2022-06-02T00:00:00"/>
    <n v="7038"/>
    <s v="                                        "/>
    <s v="  /  /  "/>
    <s v="sa683"/>
    <d v="2022-04-06T00:00:00"/>
    <s v="Sem rota"/>
    <n v="0"/>
    <m/>
    <n v="0"/>
    <m/>
    <n v="0"/>
    <s v="Logber - Colatina Es"/>
    <s v="CIF"/>
    <n v="23946.57"/>
    <n v="420447.93"/>
    <x v="16"/>
    <n v="23946.57"/>
  </r>
  <r>
    <n v="15064"/>
    <x v="17"/>
    <n v="776574002523"/>
    <s v="Americanas S.A"/>
    <s v="Benevides"/>
    <s v="PA"/>
    <n v="25866"/>
    <x v="12"/>
    <s v="V"/>
    <s v="FP"/>
    <s v="Normal"/>
    <s v="29185 01 C"/>
    <s v="P2201"/>
    <d v="2022-03-31T00:00:00"/>
    <d v="2022-05-24T00:00:00"/>
    <d v="2022-04-05T00:00:00"/>
    <d v="2022-04-28T00:00:00"/>
    <n v="6497"/>
    <d v="2022-05-27T00:00:00"/>
    <n v="6924"/>
    <s v="                                        "/>
    <s v="  /  /  "/>
    <s v="sa684"/>
    <d v="2022-04-06T00:00:00"/>
    <s v="Sem rota"/>
    <n v="0"/>
    <m/>
    <n v="0"/>
    <m/>
    <n v="0"/>
    <s v="Logber - Colatina Es"/>
    <s v="CIF"/>
    <n v="20409.810000000001"/>
    <n v="676770.11"/>
    <x v="16"/>
    <n v="20409.810000000001"/>
  </r>
  <r>
    <n v="15917"/>
    <x v="22"/>
    <n v="4103609000147"/>
    <s v="Trg Comercio de Metais Ltda"/>
    <s v="Bento Goncalves"/>
    <s v="RS"/>
    <n v="24989"/>
    <x v="11"/>
    <s v="V"/>
    <s v="PE"/>
    <s v="Normal"/>
    <m/>
    <m/>
    <d v="2021-11-25T00:00:00"/>
    <d v="2022-05-24T00:00:00"/>
    <d v="2021-11-25T00:00:00"/>
    <s v="  /  /  "/>
    <n v="0"/>
    <s v="  /  /  "/>
    <n v="0"/>
    <s v="                                        "/>
    <s v="  /  /  "/>
    <m/>
    <s v="/  /"/>
    <s v="Sem rota"/>
    <n v="168"/>
    <s v="28 DDF S/juros"/>
    <n v="0"/>
    <m/>
    <n v="0"/>
    <m/>
    <s v="FOB"/>
    <n v="0"/>
    <n v="3045"/>
    <x v="16"/>
    <n v="0"/>
  </r>
  <r>
    <n v="15064"/>
    <x v="17"/>
    <n v="776574002523"/>
    <s v="Americanas S.A"/>
    <s v="Benevides"/>
    <s v="PA"/>
    <n v="25853"/>
    <x v="12"/>
    <s v="V"/>
    <s v="FP"/>
    <s v="Normal"/>
    <s v="29185 01 C"/>
    <s v="P2201"/>
    <d v="2022-03-31T00:00:00"/>
    <d v="2022-05-25T00:00:00"/>
    <d v="2022-04-04T00:00:00"/>
    <d v="2022-04-28T00:00:00"/>
    <n v="6489"/>
    <d v="2022-06-08T00:00:00"/>
    <n v="7082"/>
    <s v="                                        "/>
    <s v="  /  /  "/>
    <s v="sa684"/>
    <d v="2022-04-06T00:00:00"/>
    <s v="Sem rota"/>
    <n v="0"/>
    <m/>
    <n v="0"/>
    <m/>
    <n v="0"/>
    <s v="Logber - Colatina Es"/>
    <s v="CIF"/>
    <n v="2503.11"/>
    <n v="15292.69"/>
    <x v="16"/>
    <n v="2503.11"/>
  </r>
  <r>
    <n v="15064"/>
    <x v="17"/>
    <n v="776574002523"/>
    <s v="Americanas S.A"/>
    <s v="Benevides"/>
    <s v="PA"/>
    <n v="25854"/>
    <x v="12"/>
    <s v="V"/>
    <s v="FP"/>
    <s v="Normal"/>
    <s v="29185 01 C"/>
    <s v="P2201"/>
    <d v="2022-03-31T00:00:00"/>
    <d v="2022-05-25T00:00:00"/>
    <d v="2022-04-04T00:00:00"/>
    <d v="2022-04-28T00:00:00"/>
    <n v="6492"/>
    <d v="2022-05-13T00:00:00"/>
    <n v="6715"/>
    <s v="                                        "/>
    <s v="  /  /  "/>
    <s v="sa684"/>
    <d v="2022-04-06T00:00:00"/>
    <s v="Sem rota"/>
    <n v="0"/>
    <m/>
    <n v="0"/>
    <m/>
    <n v="0"/>
    <s v="Logber - Colatina Es"/>
    <s v="CIF"/>
    <n v="2641.36"/>
    <n v="74451.100000000006"/>
    <x v="16"/>
    <n v="2641.36"/>
  </r>
  <r>
    <n v="15057"/>
    <x v="0"/>
    <n v="1838723021639"/>
    <s v="Brf S.A"/>
    <s v="Videira"/>
    <s v="SC"/>
    <n v="26162"/>
    <x v="1"/>
    <s v="V"/>
    <s v="PE"/>
    <s v="Normal"/>
    <s v="29897 00 A"/>
    <n v="105547546"/>
    <d v="2022-05-18T00:00:00"/>
    <d v="2022-05-25T00:00:00"/>
    <d v="2022-05-18T00:00:00"/>
    <s v="  /  /  "/>
    <n v="0"/>
    <s v="  /  /  "/>
    <n v="0"/>
    <s v="                                        "/>
    <s v="  /  /  "/>
    <m/>
    <s v="/  /"/>
    <s v="Sem rota"/>
    <n v="482"/>
    <s v="150 DDF S/juros"/>
    <n v="0"/>
    <m/>
    <n v="0"/>
    <m/>
    <s v="CIF"/>
    <n v="0"/>
    <n v="16350"/>
    <x v="16"/>
    <n v="0"/>
  </r>
  <r>
    <n v="15067"/>
    <x v="3"/>
    <n v="92038108000353"/>
    <s v="Brinox Metalurgica S.A"/>
    <s v="Linhares"/>
    <s v="ES"/>
    <n v="26171"/>
    <x v="1"/>
    <s v="V"/>
    <s v="PE"/>
    <s v="Normal"/>
    <s v="28732 00 A"/>
    <n v="4500407563"/>
    <d v="2022-05-19T00:00:00"/>
    <d v="2022-05-25T00:00:00"/>
    <d v="2022-05-19T00:00:00"/>
    <s v="  /  /  "/>
    <n v="0"/>
    <s v="  /  /  "/>
    <n v="0"/>
    <s v="                                        "/>
    <s v="  /  /  "/>
    <m/>
    <s v="/  /"/>
    <s v="Sem rota"/>
    <n v="44"/>
    <s v="30 DDF S/juros"/>
    <n v="0"/>
    <m/>
    <n v="0"/>
    <m/>
    <s v="CIF"/>
    <n v="0"/>
    <n v="11000"/>
    <x v="16"/>
    <n v="0"/>
  </r>
  <r>
    <n v="15064"/>
    <x v="17"/>
    <n v="776574002523"/>
    <s v="Americanas S.A"/>
    <s v="Benevides"/>
    <s v="PA"/>
    <n v="25867"/>
    <x v="12"/>
    <s v="V"/>
    <s v="FP"/>
    <s v="Normal"/>
    <s v="29185 01 C"/>
    <s v="P2201"/>
    <d v="2022-03-31T00:00:00"/>
    <d v="2022-05-27T00:00:00"/>
    <d v="2022-04-05T00:00:00"/>
    <d v="2022-04-28T00:00:00"/>
    <n v="6493"/>
    <d v="2022-05-27T00:00:00"/>
    <n v="6927"/>
    <s v="                                        "/>
    <s v="  /  /  "/>
    <s v="sa684"/>
    <d v="2022-04-06T00:00:00"/>
    <s v="Sem rota"/>
    <n v="0"/>
    <m/>
    <n v="0"/>
    <m/>
    <n v="0"/>
    <s v="Logber - Colatina Es"/>
    <s v="CIF"/>
    <n v="33736.14"/>
    <n v="666225.53"/>
    <x v="16"/>
    <n v="33736.14"/>
  </r>
  <r>
    <n v="15910"/>
    <x v="11"/>
    <n v="7814284000107"/>
    <s v="Castelo Alimentos S.A"/>
    <s v="Jundiai"/>
    <s v="SP"/>
    <n v="24978"/>
    <x v="6"/>
    <s v="V"/>
    <s v="PE"/>
    <s v="Normal"/>
    <s v="26508 06 B"/>
    <m/>
    <d v="2021-11-24T00:00:00"/>
    <d v="2022-05-27T00:00:00"/>
    <d v="2021-12-09T00:00:00"/>
    <s v="  /  /  "/>
    <n v="0"/>
    <s v="  /  /  "/>
    <n v="0"/>
    <s v="                                        "/>
    <s v="  /  /  "/>
    <s v="sa568"/>
    <d v="2021-12-09T00:00:00"/>
    <s v="Sem rota"/>
    <n v="0"/>
    <m/>
    <n v="0"/>
    <m/>
    <n v="0"/>
    <s v="Logber - Colatina Es"/>
    <s v="CIF"/>
    <n v="0"/>
    <n v="211908.34"/>
    <x v="16"/>
    <n v="0"/>
  </r>
  <r>
    <n v="15069"/>
    <x v="6"/>
    <n v="10230480002427"/>
    <s v="Ferreira Costa &amp; Cia Ltda"/>
    <s v="Joao Pessoa"/>
    <s v="PB"/>
    <n v="26032"/>
    <x v="7"/>
    <s v="V"/>
    <s v="FP"/>
    <s v="Normal"/>
    <s v="29165 01 E"/>
    <m/>
    <d v="2022-04-29T00:00:00"/>
    <d v="2022-05-27T00:00:00"/>
    <d v="2022-04-29T00:00:00"/>
    <d v="2022-05-26T00:00:00"/>
    <n v="6891"/>
    <d v="2022-06-03T00:00:00"/>
    <n v="7056"/>
    <s v="                                        "/>
    <s v="  /  /  "/>
    <s v="sa722"/>
    <d v="2022-05-10T00:00:00"/>
    <s v="Sem rota"/>
    <n v="0"/>
    <m/>
    <n v="0"/>
    <m/>
    <n v="0"/>
    <s v="Fontanella Logística"/>
    <s v="FOB"/>
    <n v="2530.2999999999997"/>
    <n v="135493.09"/>
    <x v="16"/>
    <n v="2530.2999999999997"/>
  </r>
  <r>
    <n v="15069"/>
    <x v="6"/>
    <n v="10230480002427"/>
    <s v="Ferreira Costa &amp; Cia Ltda"/>
    <s v="Joao Pessoa"/>
    <s v="PB"/>
    <n v="26068"/>
    <x v="7"/>
    <s v="V"/>
    <s v="FP"/>
    <s v="Normal"/>
    <s v="29165 01 E"/>
    <m/>
    <d v="2022-04-29T00:00:00"/>
    <d v="2022-05-27T00:00:00"/>
    <d v="2022-05-05T00:00:00"/>
    <d v="2022-05-26T00:00:00"/>
    <n v="6895"/>
    <d v="2022-06-03T00:00:00"/>
    <n v="7054"/>
    <s v="                                        "/>
    <s v="  /  /  "/>
    <s v="sa722"/>
    <d v="2022-05-10T00:00:00"/>
    <s v="Sem rota"/>
    <n v="0"/>
    <m/>
    <n v="0"/>
    <m/>
    <n v="0"/>
    <s v="Fontanella Logística"/>
    <s v="FOB"/>
    <n v="26584.25"/>
    <n v="479506.58"/>
    <x v="16"/>
    <n v="26584.25"/>
  </r>
  <r>
    <n v="15063"/>
    <x v="23"/>
    <n v="8248539000923"/>
    <s v="L.i.s.a Logistica Integrada Sulamerica"/>
    <s v="Viana"/>
    <s v="ES"/>
    <n v="25444"/>
    <x v="12"/>
    <s v="V"/>
    <s v="FP"/>
    <s v="Normal"/>
    <s v="28108 03 B"/>
    <m/>
    <d v="2022-02-11T00:00:00"/>
    <d v="2022-05-27T00:00:00"/>
    <d v="2022-06-09T00:00:00"/>
    <d v="2022-04-29T00:00:00"/>
    <n v="6501"/>
    <d v="2022-06-09T00:00:00"/>
    <n v="7101"/>
    <s v="                                        "/>
    <s v="  /  /  "/>
    <s v="sa653"/>
    <d v="2022-03-07T00:00:00"/>
    <s v="Sem rota"/>
    <n v="0"/>
    <m/>
    <n v="0"/>
    <m/>
    <n v="0"/>
    <s v="Logber - Colatina Es"/>
    <s v="CIF"/>
    <n v="4130.16"/>
    <n v="60786.51"/>
    <x v="16"/>
    <n v="4130.16"/>
  </r>
  <r>
    <n v="15073"/>
    <x v="16"/>
    <n v="17469701004326"/>
    <s v="Arcelormittal Brasil S/A"/>
    <s v="Sao Paulo"/>
    <s v="SP"/>
    <n v="26244"/>
    <x v="0"/>
    <s v="V"/>
    <s v="PE"/>
    <s v="Normal"/>
    <s v="29882 00 A"/>
    <n v="7300077067"/>
    <d v="2022-05-27T00:00:00"/>
    <d v="2022-05-30T00:00:00"/>
    <d v="2022-05-27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m/>
    <s v="CIF"/>
    <n v="0"/>
    <n v="33600"/>
    <x v="16"/>
    <n v="0"/>
  </r>
  <r>
    <n v="15908"/>
    <x v="10"/>
    <n v="77388007000157"/>
    <s v="Botica Comercial Farmaceutica Ltda"/>
    <s v="Sao Jose dos Pinhais"/>
    <s v="PR"/>
    <n v="24930"/>
    <x v="8"/>
    <s v="V"/>
    <s v="FP"/>
    <s v="Normal"/>
    <s v="27308 06 G"/>
    <n v="4501263452"/>
    <d v="2021-11-18T00:00:00"/>
    <d v="2022-05-30T00:00:00"/>
    <d v="2022-04-29T00:00:00"/>
    <d v="2022-04-29T00:00:00"/>
    <n v="6518"/>
    <d v="2022-04-29T00:00:00"/>
    <n v="6522"/>
    <s v="                                        "/>
    <s v="  /  /  "/>
    <s v="sa646"/>
    <d v="2022-02-25T00:00:00"/>
    <s v="Sem rota"/>
    <n v="944"/>
    <s v="90 DDF Sem Juros"/>
    <n v="0"/>
    <m/>
    <n v="0"/>
    <s v="Logber - Colatina Es"/>
    <s v="CIF"/>
    <n v="583.22"/>
    <n v="49689.06"/>
    <x v="16"/>
    <n v="583.22"/>
  </r>
  <r>
    <n v="15054"/>
    <x v="2"/>
    <n v="1838723030891"/>
    <s v="Brf S.A"/>
    <s v="Aparecida de Goiania"/>
    <s v="GO"/>
    <n v="26230"/>
    <x v="1"/>
    <s v="V"/>
    <s v="PE"/>
    <s v="Normal"/>
    <s v="30087 00 A"/>
    <n v="105603703"/>
    <d v="2022-05-26T00:00:00"/>
    <d v="2022-05-30T00:00:00"/>
    <d v="2022-05-26T00:00:00"/>
    <s v="  /  /  "/>
    <n v="0"/>
    <s v="  /  /  "/>
    <n v="0"/>
    <s v="                                        "/>
    <s v="  /  /  "/>
    <m/>
    <s v="/  /"/>
    <s v="Sem rota"/>
    <n v="482"/>
    <s v="150 DDF S/juros"/>
    <n v="0"/>
    <m/>
    <n v="0"/>
    <m/>
    <s v="CIF"/>
    <n v="0"/>
    <n v="16350"/>
    <x v="16"/>
    <n v="0"/>
  </r>
  <r>
    <n v="15068"/>
    <x v="24"/>
    <n v="1838723006753"/>
    <s v="Brf  S/A"/>
    <s v="Dourados"/>
    <s v="MS"/>
    <n v="26223"/>
    <x v="1"/>
    <s v="V"/>
    <s v="PE"/>
    <s v="Normal"/>
    <s v="30047 00 A"/>
    <n v="105599602"/>
    <d v="2022-05-26T00:00:00"/>
    <d v="2022-05-30T00:00:00"/>
    <d v="2022-05-26T00:00:00"/>
    <s v="  /  /  "/>
    <n v="0"/>
    <s v="  /  /  "/>
    <n v="0"/>
    <s v="                                        "/>
    <s v="  /  /  "/>
    <m/>
    <s v="/  /"/>
    <s v="Sem rota"/>
    <n v="482"/>
    <s v="150 DDF S/juros"/>
    <n v="0"/>
    <m/>
    <n v="0"/>
    <m/>
    <s v="CIF"/>
    <n v="0"/>
    <n v="19780"/>
    <x v="16"/>
    <n v="0"/>
  </r>
  <r>
    <n v="15907"/>
    <x v="8"/>
    <n v="1838723026436"/>
    <s v="Brf S.A"/>
    <s v="Salvador"/>
    <s v="BA"/>
    <n v="26245"/>
    <x v="1"/>
    <s v="V"/>
    <s v="PE"/>
    <s v="Normal"/>
    <s v="30114 00 A"/>
    <n v="105614741"/>
    <d v="2022-05-27T00:00:00"/>
    <d v="2022-05-30T00:00:00"/>
    <d v="2022-05-27T00:00:00"/>
    <s v="  /  /  "/>
    <n v="0"/>
    <s v="  /  /  "/>
    <n v="0"/>
    <s v="                                        "/>
    <s v="  /  /  "/>
    <m/>
    <s v="/  /"/>
    <s v="Sem rota"/>
    <n v="482"/>
    <s v="150 DDF S/juros"/>
    <n v="0"/>
    <m/>
    <n v="0"/>
    <m/>
    <s v="CIF"/>
    <n v="0"/>
    <n v="16350"/>
    <x v="16"/>
    <n v="0"/>
  </r>
  <r>
    <n v="15074"/>
    <x v="21"/>
    <n v="10588595001092"/>
    <s v="Sanofi Medley Farmaceutica Ltda"/>
    <s v="Suzano"/>
    <s v="SP"/>
    <n v="26224"/>
    <x v="1"/>
    <s v="V"/>
    <s v="PE"/>
    <s v="Normal"/>
    <s v="29786 00 B"/>
    <s v="E003964120"/>
    <d v="2022-05-26T00:00:00"/>
    <d v="2022-05-30T00:00:00"/>
    <d v="2022-05-26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m/>
    <s v="CIF"/>
    <n v="0"/>
    <n v="11605"/>
    <x v="16"/>
    <n v="0"/>
  </r>
  <r>
    <n v="15064"/>
    <x v="17"/>
    <n v="2162259000750"/>
    <s v="International Ind Aut da America do Sul"/>
    <s v="Sao Paulo"/>
    <s v="SP"/>
    <n v="26207"/>
    <x v="1"/>
    <s v="V"/>
    <s v="PE"/>
    <s v="Normal"/>
    <s v="29772 00 B"/>
    <n v="4501623315"/>
    <d v="2022-05-25T00:00:00"/>
    <d v="2022-05-30T00:00:00"/>
    <d v="2022-05-25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12500"/>
    <x v="16"/>
    <n v="0"/>
  </r>
  <r>
    <n v="15059"/>
    <x v="20"/>
    <n v="84693183000168"/>
    <s v="Schulz S/A"/>
    <s v="Joinville"/>
    <s v="SC"/>
    <n v="26248"/>
    <x v="0"/>
    <s v="V"/>
    <s v="PE"/>
    <s v="Normal"/>
    <s v="29974 00 B"/>
    <n v="1012300"/>
    <d v="2022-05-27T00:00:00"/>
    <d v="2022-05-30T00:00:00"/>
    <d v="2022-05-27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m/>
    <s v="CIF"/>
    <n v="0"/>
    <n v="5600"/>
    <x v="16"/>
    <n v="0"/>
  </r>
  <r>
    <n v="15052"/>
    <x v="25"/>
    <n v="16404287015691"/>
    <s v="Suzano S.A"/>
    <s v="Limeira"/>
    <s v="SP"/>
    <n v="26247"/>
    <x v="1"/>
    <s v="V"/>
    <s v="PE"/>
    <s v="Normal"/>
    <s v="30083 00 C"/>
    <n v="8000198640"/>
    <d v="2022-05-27T00:00:00"/>
    <d v="2022-05-30T00:00:00"/>
    <d v="2022-05-27T00:00:00"/>
    <s v="  /  /  "/>
    <n v="0"/>
    <s v="  /  /  "/>
    <n v="0"/>
    <s v="                                        "/>
    <s v="  /  /  "/>
    <m/>
    <s v="/  /"/>
    <s v="Sem rota"/>
    <n v="879"/>
    <s v="60 Ddf S/j"/>
    <n v="0"/>
    <m/>
    <n v="0"/>
    <m/>
    <s v="CIF"/>
    <n v="0"/>
    <n v="14680"/>
    <x v="16"/>
    <n v="0"/>
  </r>
  <r>
    <n v="15068"/>
    <x v="24"/>
    <n v="16404287044870"/>
    <s v="Suzano S.A"/>
    <s v="Tres Lagoas"/>
    <s v="MS"/>
    <n v="26197"/>
    <x v="1"/>
    <s v="V"/>
    <s v="PE"/>
    <s v="Normal"/>
    <s v="29187 00 C"/>
    <n v="8000197672"/>
    <d v="2022-05-24T00:00:00"/>
    <d v="2022-05-30T00:00:00"/>
    <d v="2022-05-24T00:00:00"/>
    <s v="  /  /  "/>
    <n v="0"/>
    <s v="  /  /  "/>
    <n v="0"/>
    <s v="                                        "/>
    <s v="  /  /  "/>
    <m/>
    <s v="/  /"/>
    <s v="Area Industrial"/>
    <n v="879"/>
    <s v="60 Ddf S/j"/>
    <n v="0"/>
    <m/>
    <n v="0"/>
    <m/>
    <s v="CIF"/>
    <n v="0"/>
    <n v="15925"/>
    <x v="16"/>
    <n v="0"/>
  </r>
  <r>
    <n v="15064"/>
    <x v="17"/>
    <n v="776574002523"/>
    <s v="Americanas S.A"/>
    <s v="Benevides"/>
    <s v="PA"/>
    <n v="25868"/>
    <x v="12"/>
    <s v="V"/>
    <s v="FP"/>
    <s v="Normal"/>
    <s v="29185 01 C"/>
    <s v="P2201"/>
    <d v="2022-03-31T00:00:00"/>
    <d v="2022-05-31T00:00:00"/>
    <d v="2022-04-05T00:00:00"/>
    <d v="2022-05-06T00:00:00"/>
    <n v="6626"/>
    <d v="2022-06-08T00:00:00"/>
    <n v="7086"/>
    <s v="                                        "/>
    <s v="  /  /  "/>
    <s v="sa684"/>
    <d v="2022-04-06T00:00:00"/>
    <s v="Sem rota"/>
    <n v="0"/>
    <m/>
    <n v="0"/>
    <m/>
    <n v="0"/>
    <s v="Logber - Colatina Es"/>
    <s v="CIF"/>
    <n v="2704.3"/>
    <n v="51764.28"/>
    <x v="16"/>
    <n v="2704.3"/>
  </r>
  <r>
    <n v="15067"/>
    <x v="3"/>
    <n v="42150391003781"/>
    <s v="Braskem S/A"/>
    <s v="Triunfo"/>
    <s v="RS"/>
    <n v="26258"/>
    <x v="0"/>
    <s v="V"/>
    <s v="PE"/>
    <s v="Normal"/>
    <s v="27105 00 C"/>
    <n v="4900023717"/>
    <d v="2022-05-30T00:00:00"/>
    <d v="2022-05-31T00:00:00"/>
    <d v="2022-05-30T00:00:00"/>
    <s v="  /  /  "/>
    <n v="0"/>
    <s v="  /  /  "/>
    <n v="0"/>
    <s v="                                        "/>
    <s v="  /  /  "/>
    <m/>
    <s v="/  /"/>
    <s v="Sem rota"/>
    <n v="208"/>
    <s v="14 Ddf  S/juros"/>
    <n v="0"/>
    <m/>
    <n v="0"/>
    <m/>
    <s v="CIF"/>
    <n v="0"/>
    <n v="60000"/>
    <x v="16"/>
    <n v="0"/>
  </r>
  <r>
    <n v="15069"/>
    <x v="6"/>
    <n v="8326720000153"/>
    <s v="Cirne Irmaos &amp; Cia Ltda"/>
    <s v="Natal"/>
    <s v="RN"/>
    <n v="23716"/>
    <x v="15"/>
    <s v="V"/>
    <s v="FP"/>
    <s v="Normal"/>
    <s v="17695 08 H"/>
    <m/>
    <d v="2021-05-01T00:00:00"/>
    <d v="2022-05-31T00:00:00"/>
    <d v="2022-03-10T00:00:00"/>
    <d v="2022-02-21T00:00:00"/>
    <n v="5523"/>
    <d v="2022-05-16T00:00:00"/>
    <n v="6745"/>
    <s v="                                        "/>
    <s v="  /  /  "/>
    <s v="sa445"/>
    <d v="2021-10-08T00:00:00"/>
    <s v="Sem rota"/>
    <n v="0"/>
    <m/>
    <n v="0"/>
    <m/>
    <n v="0"/>
    <s v="Logber - Colatina Es"/>
    <s v="FOB"/>
    <n v="0"/>
    <n v="15348.56"/>
    <x v="16"/>
    <n v="0"/>
  </r>
  <r>
    <n v="15020"/>
    <x v="7"/>
    <n v="0"/>
    <s v="Corin S.a."/>
    <s v="Montevideo"/>
    <s v="EX"/>
    <n v="25586"/>
    <x v="7"/>
    <s v="V"/>
    <s v="PE"/>
    <s v="Normal"/>
    <s v="27199 02 B"/>
    <m/>
    <d v="2022-03-08T00:00:00"/>
    <d v="2022-05-31T00:00:00"/>
    <d v="2022-03-15T00:00:00"/>
    <s v="  /  /  "/>
    <n v="0"/>
    <s v="  /  /  "/>
    <n v="0"/>
    <s v="                                        "/>
    <s v="  /  /  "/>
    <s v="sa662"/>
    <d v="2022-03-16T00:00:00"/>
    <s v="Sem rota"/>
    <n v="0"/>
    <m/>
    <n v="0"/>
    <m/>
    <n v="0"/>
    <m/>
    <s v="FCA"/>
    <n v="10686.18"/>
    <n v="302782.92"/>
    <x v="16"/>
    <n v="10686.18"/>
  </r>
  <r>
    <n v="15062"/>
    <x v="1"/>
    <n v="28254708000279"/>
    <s v="Hublog Solucoes Logisticas Eireli"/>
    <s v="Vitoria"/>
    <s v="ES"/>
    <n v="26147"/>
    <x v="16"/>
    <s v="O"/>
    <s v="PE"/>
    <s v="Calculo"/>
    <m/>
    <m/>
    <d v="2022-05-17T00:00:00"/>
    <d v="2022-05-31T00:00:00"/>
    <d v="2022-05-18T00:00:00"/>
    <s v="  /  /  "/>
    <n v="0"/>
    <s v="  /  /  "/>
    <n v="0"/>
    <s v="                                        "/>
    <s v="  /  /  "/>
    <s v="sat278"/>
    <d v="2022-05-18T00:00:00"/>
    <s v="Sem rota"/>
    <n v="0"/>
    <m/>
    <n v="0"/>
    <m/>
    <n v="0"/>
    <s v="Logber - Colatina Es"/>
    <s v="CIF"/>
    <n v="1386.29"/>
    <n v="13405"/>
    <x v="16"/>
    <n v="1386.29"/>
  </r>
  <r>
    <n v="15908"/>
    <x v="10"/>
    <n v="3853896000220"/>
    <s v="Marfrig Global Foods S.A"/>
    <s v="Bataguassu"/>
    <s v="MS"/>
    <n v="26172"/>
    <x v="10"/>
    <s v="O"/>
    <s v="FP"/>
    <s v="Fabrica / Separacao"/>
    <m/>
    <n v="170937"/>
    <d v="2022-05-19T00:00:00"/>
    <d v="2022-05-31T00:00:00"/>
    <d v="2022-05-19T00:00:00"/>
    <d v="2022-05-25T00:00:00"/>
    <n v="6869"/>
    <d v="2022-05-25T00:00:00"/>
    <n v="6869"/>
    <s v="                                        "/>
    <s v="  /  /  "/>
    <s v="sat281"/>
    <d v="2022-05-19T00:00:00"/>
    <s v="Sem rota"/>
    <n v="0"/>
    <m/>
    <n v="0"/>
    <m/>
    <n v="0"/>
    <s v="Logber - Colatina Es"/>
    <s v="CIF"/>
    <n v="177.83"/>
    <n v="1287.3399999999999"/>
    <x v="16"/>
    <n v="177.83"/>
  </r>
  <r>
    <n v="15909"/>
    <x v="15"/>
    <n v="61585865288660"/>
    <s v="Raia Drogasil S.A"/>
    <s v="Cuiaba"/>
    <s v="MT"/>
    <n v="26276"/>
    <x v="17"/>
    <s v="V"/>
    <s v="PE"/>
    <s v="Normal"/>
    <s v="29719 00 A"/>
    <m/>
    <d v="2022-05-31T00:00:00"/>
    <d v="2022-05-31T00:00:00"/>
    <d v="2022-06-07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s v="Logber - Colatina Es"/>
    <s v="CIF"/>
    <n v="0"/>
    <n v="36750"/>
    <x v="16"/>
    <n v="0"/>
  </r>
  <r>
    <n v="15068"/>
    <x v="24"/>
    <n v="16404287022205"/>
    <s v="Suzano S.A"/>
    <s v="Imperatriz"/>
    <s v="MA"/>
    <n v="26251"/>
    <x v="1"/>
    <s v="V"/>
    <s v="PE"/>
    <s v="Normal"/>
    <s v="29189 00 B"/>
    <n v="8000198359"/>
    <d v="2022-05-30T00:00:00"/>
    <d v="2022-05-31T00:00:00"/>
    <d v="2022-05-30T00:00:00"/>
    <s v="  /  /  "/>
    <n v="0"/>
    <s v="  /  /  "/>
    <n v="0"/>
    <s v="                                        "/>
    <s v="  /  /  "/>
    <m/>
    <s v="/  /"/>
    <s v="Sem rota"/>
    <n v="879"/>
    <s v="60 Ddf S/j"/>
    <n v="0"/>
    <m/>
    <n v="0"/>
    <m/>
    <s v="CIF"/>
    <n v="0"/>
    <n v="12730"/>
    <x v="16"/>
    <n v="0"/>
  </r>
  <r>
    <n v="15000"/>
    <x v="26"/>
    <n v="87556650000104"/>
    <s v="Bertolini S/A"/>
    <s v="Bento Goncalves"/>
    <s v="RS"/>
    <n v="23900"/>
    <x v="15"/>
    <s v="T"/>
    <s v="FP"/>
    <s v="Normal"/>
    <m/>
    <m/>
    <d v="2021-05-31T00:00:00"/>
    <d v="2022-06-01T00:00:00"/>
    <d v="2021-06-08T00:00:00"/>
    <d v="2021-07-23T00:00:00"/>
    <n v="3323"/>
    <d v="2021-07-23T00:00:00"/>
    <n v="3323"/>
    <s v="                                        "/>
    <s v="  /  /  "/>
    <s v="sa350"/>
    <d v="2021-06-08T00:00:00"/>
    <s v="Rs"/>
    <n v="0"/>
    <m/>
    <n v="0"/>
    <m/>
    <n v="0"/>
    <s v="Logber - Colatina Es"/>
    <s v="CIF"/>
    <n v="0"/>
    <n v="1.03"/>
    <x v="17"/>
    <n v="0"/>
  </r>
  <r>
    <n v="15070"/>
    <x v="14"/>
    <n v="77595395005025"/>
    <s v="Frimesa Cooperativa Central"/>
    <s v="Assis Chateaubriand"/>
    <s v="PR"/>
    <n v="23504"/>
    <x v="7"/>
    <s v="V"/>
    <s v="FP"/>
    <s v="Normal"/>
    <s v="22593 09 H"/>
    <n v="2260950"/>
    <d v="2021-03-25T00:00:00"/>
    <d v="2022-06-01T00:00:00"/>
    <d v="2022-05-18T00:00:00"/>
    <d v="2022-05-18T00:00:00"/>
    <n v="6781"/>
    <d v="2022-05-18T00:00:00"/>
    <n v="6781"/>
    <s v="                                        "/>
    <s v="  /  /  "/>
    <s v="sa268"/>
    <d v="2021-04-05T00:00:00"/>
    <s v="Sem rota"/>
    <n v="0"/>
    <m/>
    <n v="0"/>
    <m/>
    <n v="0"/>
    <s v="Logber - Colatina Es"/>
    <s v="CIF"/>
    <n v="3297.68"/>
    <n v="75432.800000000003"/>
    <x v="17"/>
    <n v="3297.68"/>
  </r>
  <r>
    <n v="15062"/>
    <x v="1"/>
    <n v="33247743000110"/>
    <s v="Glaxosmithkline Brasil Ltda"/>
    <s v="Rio de Janeiro"/>
    <s v="RJ"/>
    <n v="25249"/>
    <x v="8"/>
    <s v="V"/>
    <s v="PE"/>
    <s v="Normal"/>
    <s v="27870 01 D"/>
    <m/>
    <d v="2021-12-17T00:00:00"/>
    <d v="2022-06-01T00:00:00"/>
    <d v="2022-01-10T00:00:00"/>
    <s v="  /  /  "/>
    <n v="0"/>
    <s v="  /  /  "/>
    <n v="0"/>
    <s v="                                        "/>
    <s v="  /  /  "/>
    <s v="sa623"/>
    <d v="2022-02-08T00:00:00"/>
    <s v="Sem rota"/>
    <n v="879"/>
    <s v="60 Ddf S/j"/>
    <n v="0"/>
    <m/>
    <n v="0"/>
    <s v="Logber - Colatina Es"/>
    <s v="CIF"/>
    <n v="0"/>
    <n v="159859.72"/>
    <x v="17"/>
    <n v="0"/>
  </r>
  <r>
    <n v="15908"/>
    <x v="10"/>
    <n v="92754738047983"/>
    <s v="Lojas Renner S.A"/>
    <s v="Cabreuva"/>
    <s v="SP"/>
    <n v="25965"/>
    <x v="11"/>
    <s v="O"/>
    <s v="FP"/>
    <s v="Calculo"/>
    <m/>
    <m/>
    <d v="2022-04-25T00:00:00"/>
    <d v="2022-06-02T00:00:00"/>
    <d v="2022-04-26T00:00:00"/>
    <d v="2022-05-13T00:00:00"/>
    <n v="6721"/>
    <d v="2022-05-26T00:00:00"/>
    <n v="6882"/>
    <s v="                                        "/>
    <s v="  /  /  "/>
    <s v="sat262"/>
    <d v="2022-04-26T00:00:00"/>
    <s v="Sem rota"/>
    <n v="0"/>
    <m/>
    <n v="0"/>
    <m/>
    <n v="0"/>
    <m/>
    <s v="CIF"/>
    <n v="0"/>
    <n v="69638.86"/>
    <x v="17"/>
    <n v="0"/>
  </r>
  <r>
    <n v="15069"/>
    <x v="6"/>
    <n v="8326720000153"/>
    <s v="Cirne Irmaos &amp; Cia Ltda"/>
    <s v="Natal"/>
    <s v="RN"/>
    <n v="23714"/>
    <x v="8"/>
    <s v="V"/>
    <s v="FP"/>
    <s v="Normal"/>
    <s v="17695 08 H"/>
    <m/>
    <d v="2021-05-01T00:00:00"/>
    <d v="2022-06-03T00:00:00"/>
    <d v="2022-02-21T00:00:00"/>
    <d v="2022-02-21T00:00:00"/>
    <n v="5501"/>
    <d v="2022-05-16T00:00:00"/>
    <n v="6748"/>
    <s v="                                        "/>
    <s v="  /  /  "/>
    <s v="sa427"/>
    <d v="2021-08-18T00:00:00"/>
    <s v="Sem rota"/>
    <n v="0"/>
    <m/>
    <n v="0"/>
    <m/>
    <n v="0"/>
    <s v="Logber - Colatina Es"/>
    <s v="FOB"/>
    <n v="410.4"/>
    <n v="114059.38"/>
    <x v="17"/>
    <n v="410.4"/>
  </r>
  <r>
    <n v="15062"/>
    <x v="1"/>
    <n v="48122295002572"/>
    <s v="Fmc Technologies do Brasil Ltda"/>
    <s v="Rio de Janeiro"/>
    <s v="RJ"/>
    <n v="24163"/>
    <x v="8"/>
    <s v="V"/>
    <s v="PE"/>
    <s v="Normal"/>
    <s v="21857 02 C"/>
    <n v="4500552781"/>
    <d v="2021-08-03T00:00:00"/>
    <d v="2022-06-03T00:00:00"/>
    <d v="2021-09-08T00:00:00"/>
    <s v="  /  /  "/>
    <n v="0"/>
    <s v="  /  /  "/>
    <n v="0"/>
    <s v="                                        "/>
    <s v="  /  /  "/>
    <s v="sa475-D"/>
    <d v="2022-01-11T00:00:00"/>
    <s v="Sem rota"/>
    <n v="44"/>
    <s v="30 DDF S/juros"/>
    <n v="0"/>
    <m/>
    <n v="0"/>
    <s v="Logber - Colatina Es"/>
    <s v="CIF"/>
    <n v="69.94"/>
    <n v="14357.95"/>
    <x v="17"/>
    <n v="69.94"/>
  </r>
  <r>
    <n v="15063"/>
    <x v="23"/>
    <n v="41429688000107"/>
    <s v="Jcb Materiais de Construcao Ltda"/>
    <s v="Linhares"/>
    <s v="ES"/>
    <n v="25325"/>
    <x v="7"/>
    <s v="V"/>
    <s v="PE"/>
    <s v="Normal"/>
    <s v="27867 04 F"/>
    <m/>
    <d v="2022-01-24T00:00:00"/>
    <d v="2022-06-03T00:00:00"/>
    <d v="2022-01-26T00:00:00"/>
    <s v="  /  /  "/>
    <n v="0"/>
    <s v="  /  /  "/>
    <n v="0"/>
    <s v="                                        "/>
    <s v="  /  /  "/>
    <s v="sa628"/>
    <d v="2022-02-10T00:00:00"/>
    <s v="Sem rota"/>
    <n v="2257"/>
    <s v="40% Conf/30%14ddf/saldo28ddf"/>
    <n v="0"/>
    <m/>
    <n v="0"/>
    <s v="Logber - Colatina Es"/>
    <s v="CIF"/>
    <n v="266.13"/>
    <n v="42206.63"/>
    <x v="17"/>
    <n v="266.13"/>
  </r>
  <r>
    <n v="15059"/>
    <x v="20"/>
    <n v="14028228000102"/>
    <s v="Plastprack Industria e Comercio Ltda"/>
    <s v="Massaranduba"/>
    <s v="SC"/>
    <n v="25362"/>
    <x v="7"/>
    <s v="V"/>
    <s v="PE"/>
    <s v="Normal"/>
    <s v="19559 06 G"/>
    <m/>
    <d v="2022-01-27T00:00:00"/>
    <d v="2022-06-03T00:00:00"/>
    <d v="2022-03-02T00:00:00"/>
    <s v="  /  /  "/>
    <n v="0"/>
    <s v="  /  /  "/>
    <n v="0"/>
    <s v="                                        "/>
    <s v="  /  /  "/>
    <s v="sa651"/>
    <d v="2022-03-02T00:00:00"/>
    <s v="Sem rota"/>
    <n v="0"/>
    <m/>
    <n v="0"/>
    <m/>
    <n v="0"/>
    <s v="Logber - Colatina Es"/>
    <s v="CIF"/>
    <n v="475.23"/>
    <n v="140130.9"/>
    <x v="17"/>
    <n v="475.23"/>
  </r>
  <r>
    <n v="15069"/>
    <x v="6"/>
    <n v="8326720000153"/>
    <s v="Cirne Irmaos &amp; Cia Ltda"/>
    <s v="Natal"/>
    <s v="RN"/>
    <n v="23717"/>
    <x v="5"/>
    <s v="V"/>
    <s v="FP"/>
    <s v="Normal"/>
    <s v="17695 08 H"/>
    <m/>
    <d v="2021-05-01T00:00:00"/>
    <d v="2022-06-04T00:00:00"/>
    <d v="2022-02-21T00:00:00"/>
    <d v="2022-02-21T00:00:00"/>
    <n v="5518"/>
    <d v="2022-05-16T00:00:00"/>
    <n v="6744"/>
    <s v="                                        "/>
    <s v="  /  /  "/>
    <s v="sa443"/>
    <d v="2021-08-24T00:00:00"/>
    <s v="Sem rota"/>
    <n v="0"/>
    <m/>
    <n v="0"/>
    <m/>
    <n v="0"/>
    <s v="Logber - Colatina Es"/>
    <s v="FOB"/>
    <n v="0"/>
    <n v="247263"/>
    <x v="17"/>
    <n v="0"/>
  </r>
  <r>
    <n v="15066"/>
    <x v="18"/>
    <n v="64858525013638"/>
    <s v="Monsanto do Brasil Ltda"/>
    <s v="Campo Verde"/>
    <s v="MT"/>
    <n v="24225"/>
    <x v="6"/>
    <s v="V"/>
    <s v="PE"/>
    <s v="Normal"/>
    <s v="25047 06 H"/>
    <n v="6500480382"/>
    <d v="2021-08-13T00:00:00"/>
    <d v="2022-06-04T00:00:00"/>
    <d v="2022-06-09T00:00:00"/>
    <s v="  /  /  "/>
    <n v="0"/>
    <s v="  /  /  "/>
    <n v="0"/>
    <s v="                                        "/>
    <s v="  /  /  "/>
    <s v="sa596"/>
    <d v="2022-01-19T00:00:00"/>
    <s v="Sem rota"/>
    <n v="13"/>
    <s v="45 Ddf S/j"/>
    <n v="0"/>
    <m/>
    <n v="0"/>
    <s v="Logber - Colatina Es"/>
    <s v="CIF"/>
    <n v="4326.55"/>
    <n v="2035237.68"/>
    <x v="17"/>
    <n v="4326.55"/>
  </r>
  <r>
    <n v="15907"/>
    <x v="8"/>
    <n v="8380701000105"/>
    <s v="Unimed Natal Sociedade Coop de Trab Medi"/>
    <s v="Natal"/>
    <s v="RN"/>
    <n v="24167"/>
    <x v="8"/>
    <s v="V"/>
    <s v="FP"/>
    <s v="Normal"/>
    <s v="21634 05 G"/>
    <m/>
    <d v="2021-08-03T00:00:00"/>
    <d v="2022-06-05T00:00:00"/>
    <d v="2022-05-31T00:00:00"/>
    <d v="2022-05-31T00:00:00"/>
    <n v="6979"/>
    <d v="2022-05-31T00:00:00"/>
    <n v="6979"/>
    <s v="                                        "/>
    <s v="  /  /  "/>
    <s v="sa516"/>
    <d v="2021-10-20T00:00:00"/>
    <s v="Sem rota"/>
    <n v="0"/>
    <m/>
    <n v="0"/>
    <m/>
    <n v="0"/>
    <s v="Logber - Colatina Es"/>
    <s v="CIF"/>
    <n v="91.96"/>
    <n v="1529.66"/>
    <x v="17"/>
    <n v="91.96"/>
  </r>
  <r>
    <n v="15064"/>
    <x v="17"/>
    <n v="1838723032592"/>
    <s v="Brf S/A"/>
    <s v="Jundiai"/>
    <s v="SP"/>
    <n v="25805"/>
    <x v="12"/>
    <s v="V"/>
    <s v="PE"/>
    <s v="Normal"/>
    <s v="28939 00 C"/>
    <n v="105309846"/>
    <d v="2022-03-31T00:00:00"/>
    <d v="2022-06-06T00:00:00"/>
    <d v="2022-04-04T00:00:00"/>
    <s v="  /  /  "/>
    <n v="0"/>
    <s v="  /  /  "/>
    <n v="0"/>
    <s v="                                        "/>
    <s v="  /  /  "/>
    <s v="sa685"/>
    <d v="2022-04-07T00:00:00"/>
    <s v="Sem rota"/>
    <n v="482"/>
    <s v="150 DDF S/juros"/>
    <n v="0"/>
    <m/>
    <n v="0"/>
    <m/>
    <s v="CIF"/>
    <n v="0"/>
    <n v="40284.92"/>
    <x v="17"/>
    <n v="0"/>
  </r>
  <r>
    <n v="15909"/>
    <x v="15"/>
    <n v="10970887000609"/>
    <s v="Fedex Brasil Logistica e Transporte Ltda"/>
    <s v="Betim"/>
    <s v="MG"/>
    <n v="23828"/>
    <x v="12"/>
    <s v="V"/>
    <s v="FP"/>
    <s v="Normal"/>
    <s v="25051 01 A"/>
    <n v="2021021273"/>
    <d v="2021-05-14T00:00:00"/>
    <d v="2022-06-06T00:00:00"/>
    <d v="2022-04-11T00:00:00"/>
    <d v="2022-05-20T00:00:00"/>
    <n v="6819"/>
    <d v="2022-05-20T00:00:00"/>
    <n v="6824"/>
    <s v="                                        "/>
    <s v="  /  /  "/>
    <s v="sa690"/>
    <d v="2022-04-11T00:00:00"/>
    <s v="Sem rota"/>
    <n v="0"/>
    <m/>
    <n v="0"/>
    <m/>
    <n v="0"/>
    <s v="Logber - Colatina Es"/>
    <s v="CIF"/>
    <n v="13785.79"/>
    <n v="338606.27"/>
    <x v="17"/>
    <n v="13785.79"/>
  </r>
  <r>
    <n v="15055"/>
    <x v="4"/>
    <n v="35065903000720"/>
    <s v="Nilo Maia Distribuidora Ltda"/>
    <s v="Sobral"/>
    <s v="CE"/>
    <n v="24436"/>
    <x v="18"/>
    <s v="V"/>
    <s v="FP"/>
    <s v="Normal"/>
    <s v="25985 01 C"/>
    <m/>
    <d v="2021-09-13T00:00:00"/>
    <d v="2022-06-07T00:00:00"/>
    <d v="2022-05-05T00:00:00"/>
    <d v="2022-05-05T00:00:00"/>
    <n v="6597"/>
    <d v="2022-05-05T00:00:00"/>
    <n v="6597"/>
    <s v="                                        "/>
    <s v="  /  /  "/>
    <s v="sa561"/>
    <d v="2021-12-02T00:00:00"/>
    <s v="Sem rota"/>
    <n v="0"/>
    <m/>
    <n v="0"/>
    <m/>
    <n v="0"/>
    <s v="Logber - Colatina Es"/>
    <s v="CIF"/>
    <n v="71.73"/>
    <n v="3635.5"/>
    <x v="17"/>
    <n v="71.73"/>
  </r>
  <r>
    <n v="15069"/>
    <x v="6"/>
    <n v="8326720000153"/>
    <s v="Cirne Irmaos &amp; Cia Ltda"/>
    <s v="Natal"/>
    <s v="RN"/>
    <n v="23715"/>
    <x v="18"/>
    <s v="V"/>
    <s v="FP"/>
    <s v="Normal"/>
    <s v="17695 08 H"/>
    <m/>
    <d v="2021-05-01T00:00:00"/>
    <d v="2022-06-08T00:00:00"/>
    <d v="2022-02-21T00:00:00"/>
    <d v="2022-02-21T00:00:00"/>
    <n v="5522"/>
    <d v="2022-05-16T00:00:00"/>
    <n v="6743"/>
    <s v="                                        "/>
    <s v="  /  /  "/>
    <s v="sa444"/>
    <d v="2021-08-25T00:00:00"/>
    <s v="Sem rota"/>
    <n v="0"/>
    <m/>
    <n v="0"/>
    <m/>
    <n v="0"/>
    <s v="Logber - Colatina Es"/>
    <s v="FOB"/>
    <n v="55.16"/>
    <n v="33025.58"/>
    <x v="17"/>
    <n v="55.16"/>
  </r>
  <r>
    <n v="1"/>
    <x v="12"/>
    <n v="87556650001682"/>
    <s v="Bertolini S.A"/>
    <s v="Colatina"/>
    <s v="ES"/>
    <n v="23851"/>
    <x v="11"/>
    <s v="O"/>
    <s v="PE"/>
    <s v="Normal"/>
    <m/>
    <m/>
    <d v="2021-05-20T00:00:00"/>
    <d v="2022-06-09T00:00:00"/>
    <d v="2021-08-12T00:00:00"/>
    <s v="  /  /  "/>
    <n v="0"/>
    <s v="  /  /  "/>
    <n v="0"/>
    <s v="                                        "/>
    <s v="  /  /  "/>
    <s v="sa413"/>
    <d v="2021-08-12T00:00:00"/>
    <s v="Sem rota"/>
    <n v="0"/>
    <m/>
    <n v="0"/>
    <m/>
    <n v="0"/>
    <s v="Logber - Colatina Es"/>
    <s v="CIF"/>
    <n v="1048.97"/>
    <n v="1.03"/>
    <x v="17"/>
    <n v="1048.97"/>
  </r>
  <r>
    <n v="15067"/>
    <x v="3"/>
    <n v="1838723005358"/>
    <s v="Brf S/A"/>
    <s v="Nova Santa Rita"/>
    <s v="RS"/>
    <n v="25979"/>
    <x v="7"/>
    <s v="O"/>
    <s v="PE"/>
    <s v="Comercial / Pedido"/>
    <m/>
    <n v="103985243"/>
    <d v="2022-04-26T00:00:00"/>
    <d v="2022-06-09T00:00:00"/>
    <d v="2022-05-12T00:00:00"/>
    <s v="  /  /  "/>
    <n v="0"/>
    <s v="  /  /  "/>
    <n v="0"/>
    <s v="                                        "/>
    <s v="  /  /  "/>
    <s v="sat290"/>
    <d v="2022-05-26T00:00:00"/>
    <s v="Sem rota"/>
    <n v="0"/>
    <m/>
    <n v="0"/>
    <m/>
    <n v="0"/>
    <s v="Logber - Colatina Es"/>
    <s v="CIF"/>
    <n v="20754.61"/>
    <n v="150006.76"/>
    <x v="17"/>
    <n v="20754.61"/>
  </r>
  <r>
    <n v="15908"/>
    <x v="10"/>
    <n v="6147451000132"/>
    <s v="Calamo Dist de Produtos de Beleza S.A"/>
    <s v="Curitiba"/>
    <s v="PR"/>
    <n v="25901"/>
    <x v="17"/>
    <s v="O"/>
    <s v="FP"/>
    <s v="Envio de Material de Venda"/>
    <m/>
    <n v="4501196913"/>
    <d v="2022-04-13T00:00:00"/>
    <d v="2022-06-09T00:00:00"/>
    <d v="2022-04-13T00:00:00"/>
    <d v="2022-04-18T00:00:00"/>
    <n v="6324"/>
    <d v="2022-05-25T00:00:00"/>
    <n v="6866"/>
    <s v="                                        "/>
    <s v="  /  /  "/>
    <s v="sat257"/>
    <d v="2022-04-13T00:00:00"/>
    <s v="Sem rota"/>
    <n v="0"/>
    <m/>
    <n v="0"/>
    <m/>
    <n v="0"/>
    <s v="Logber - Colatina Es"/>
    <s v="CIF"/>
    <n v="0"/>
    <n v="-1844.29"/>
    <x v="17"/>
    <n v="0"/>
  </r>
  <r>
    <n v="15908"/>
    <x v="10"/>
    <n v="3002339014418"/>
    <s v="Maxmix Comercial Ltda"/>
    <s v="Cabreuva"/>
    <s v="SP"/>
    <n v="25687"/>
    <x v="18"/>
    <s v="O"/>
    <s v="FP"/>
    <s v="Envio de Material de Venda"/>
    <m/>
    <n v="16205"/>
    <d v="2022-03-22T00:00:00"/>
    <d v="2022-06-09T00:00:00"/>
    <d v="2022-03-22T00:00:00"/>
    <d v="2022-04-05T00:00:00"/>
    <n v="6156"/>
    <d v="2022-04-05T00:00:00"/>
    <n v="6156"/>
    <s v="                                        "/>
    <s v="  /  /  "/>
    <s v="sat240"/>
    <d v="2022-03-22T00:00:00"/>
    <s v="Sem rota"/>
    <n v="0"/>
    <m/>
    <n v="0"/>
    <m/>
    <n v="0"/>
    <s v="Logber - Colatina Es"/>
    <s v="CIF"/>
    <n v="0"/>
    <n v="793.18"/>
    <x v="17"/>
    <n v="0"/>
  </r>
  <r>
    <n v="15910"/>
    <x v="11"/>
    <n v="7814284000107"/>
    <s v="Castelo Alimentos S.A"/>
    <s v="Jundiai"/>
    <s v="SP"/>
    <n v="25043"/>
    <x v="6"/>
    <s v="V"/>
    <s v="PE"/>
    <s v="Normal"/>
    <s v="26508 06 B"/>
    <m/>
    <d v="2021-11-24T00:00:00"/>
    <d v="2022-06-09T00:00:00"/>
    <d v="2021-12-10T00:00:00"/>
    <s v="  /  /  "/>
    <n v="0"/>
    <s v="  /  /  "/>
    <n v="0"/>
    <s v="                                        "/>
    <s v="  /  /  "/>
    <s v="sa570"/>
    <d v="2021-12-15T00:00:00"/>
    <s v="Sem rota"/>
    <n v="0"/>
    <m/>
    <n v="0"/>
    <m/>
    <n v="0"/>
    <s v="Logber - Colatina Es"/>
    <s v="CIF"/>
    <n v="627.41999999999996"/>
    <n v="456758.32"/>
    <x v="17"/>
    <n v="627.41999999999996"/>
  </r>
  <r>
    <n v="15909"/>
    <x v="15"/>
    <n v="10970887007530"/>
    <s v="Fedex Brasil Logistica e Transporte S/A"/>
    <s v="Caxias do Sul"/>
    <s v="RS"/>
    <n v="26346"/>
    <x v="11"/>
    <s v="V"/>
    <s v="PE"/>
    <s v="Espelho de Nf"/>
    <n v="29149"/>
    <m/>
    <d v="2022-06-09T00:00:00"/>
    <d v="2022-06-09T00:00:00"/>
    <d v="2022-06-09T00:00:00"/>
    <s v="  /  /  "/>
    <n v="0"/>
    <s v="  /  /  "/>
    <n v="0"/>
    <s v="                                        "/>
    <s v="  /  /  "/>
    <m/>
    <s v="/  /"/>
    <s v="Sem rota"/>
    <n v="208"/>
    <s v="14 Ddf  S/juros"/>
    <n v="0"/>
    <m/>
    <n v="0"/>
    <s v="Logber - Colatina Es"/>
    <s v="CIF"/>
    <n v="0"/>
    <n v="366537.5"/>
    <x v="17"/>
    <n v="0"/>
  </r>
  <r>
    <n v="15063"/>
    <x v="23"/>
    <n v="9316105001605"/>
    <s v="Friovix Comercio de Refrigeracao Ltda"/>
    <s v="Extrema"/>
    <s v="MG"/>
    <n v="24646"/>
    <x v="7"/>
    <s v="V"/>
    <s v="FP"/>
    <s v="Normal"/>
    <s v="26156 02 D"/>
    <n v="1"/>
    <d v="2021-10-07T00:00:00"/>
    <d v="2022-06-09T00:00:00"/>
    <d v="2022-04-14T00:00:00"/>
    <d v="2022-02-28T00:00:00"/>
    <n v="5609"/>
    <d v="2022-05-30T00:00:00"/>
    <n v="6966"/>
    <s v="                                        "/>
    <s v="  /  /  "/>
    <s v="sa580"/>
    <d v="2021-12-21T00:00:00"/>
    <s v="Sem rota"/>
    <n v="0"/>
    <m/>
    <n v="0"/>
    <m/>
    <n v="0"/>
    <s v="Logber - Colatina Es"/>
    <s v="CIF"/>
    <n v="29892.66"/>
    <n v="438314.32"/>
    <x v="17"/>
    <n v="29892.66"/>
  </r>
  <r>
    <n v="15910"/>
    <x v="11"/>
    <n v="1438784006995"/>
    <s v="Leroy Merlin Cmp Brasileira de Bricolage"/>
    <s v="Cajamar"/>
    <s v="SP"/>
    <n v="25060"/>
    <x v="19"/>
    <s v="V"/>
    <s v="FP"/>
    <s v="Normal"/>
    <s v="26376 02 F"/>
    <m/>
    <d v="2021-09-22T00:00:00"/>
    <d v="2022-06-09T00:00:00"/>
    <d v="2022-05-10T00:00:00"/>
    <d v="2022-05-13T00:00:00"/>
    <n v="6698"/>
    <d v="2022-05-28T00:00:00"/>
    <n v="6941"/>
    <s v="                                        "/>
    <s v="  /  /  "/>
    <s v="sa606"/>
    <d v="2022-02-02T00:00:00"/>
    <s v="Sem rota"/>
    <n v="0"/>
    <m/>
    <n v="0"/>
    <m/>
    <n v="0"/>
    <s v="Logber - Colatina Es"/>
    <s v="CIF"/>
    <n v="21180.14"/>
    <n v="1090037.3"/>
    <x v="17"/>
    <n v="21180.14"/>
  </r>
  <r>
    <n v="15020"/>
    <x v="7"/>
    <n v="140"/>
    <s v="Granja Avicola Integral Sofia Ltda"/>
    <s v="Santa Cruz de La Siera"/>
    <s v="EX"/>
    <n v="25380"/>
    <x v="12"/>
    <s v="V"/>
    <s v="PE"/>
    <s v="Normal"/>
    <s v="28304 00 A"/>
    <m/>
    <d v="2022-01-31T00:00:00"/>
    <d v="2022-06-10T00:00:00"/>
    <d v="2022-02-02T00:00:00"/>
    <s v="  /  /  "/>
    <n v="0"/>
    <s v="  /  /  "/>
    <n v="0"/>
    <s v="                                        "/>
    <s v="  /  /  "/>
    <s v="sa630"/>
    <d v="2022-02-11T00:00:00"/>
    <s v="Nit 1028779020"/>
    <n v="0"/>
    <m/>
    <n v="0"/>
    <m/>
    <n v="0"/>
    <m/>
    <s v="FCA"/>
    <n v="188.14"/>
    <n v="7213.19"/>
    <x v="17"/>
    <n v="188.14"/>
  </r>
  <r>
    <n v="15064"/>
    <x v="17"/>
    <n v="1838723032592"/>
    <s v="Brf S/A"/>
    <s v="Jundiai"/>
    <s v="SP"/>
    <n v="25525"/>
    <x v="8"/>
    <s v="V"/>
    <s v="PE"/>
    <s v="Normal"/>
    <s v="24207 03 G"/>
    <n v="105059059"/>
    <d v="2022-02-25T00:00:00"/>
    <d v="2022-06-10T00:00:00"/>
    <d v="2022-05-27T00:00:00"/>
    <s v="  /  /  "/>
    <n v="0"/>
    <s v="  /  /  "/>
    <n v="0"/>
    <s v="                                        "/>
    <s v="  /  /  "/>
    <s v="sa658"/>
    <d v="2022-03-09T00:00:00"/>
    <s v="Sem rota"/>
    <n v="482"/>
    <s v="150 DDF S/juros"/>
    <n v="0"/>
    <m/>
    <n v="0"/>
    <s v="Logber - Colatina Es"/>
    <s v="CIF"/>
    <n v="832.72"/>
    <n v="497045.5"/>
    <x v="17"/>
    <n v="832.72"/>
  </r>
  <r>
    <n v="15020"/>
    <x v="7"/>
    <n v="0"/>
    <s v="Cargill de Honduras de S.r.l."/>
    <s v="Tegucigalpa M.d.c. Honduras Ca"/>
    <s v="EX"/>
    <n v="25122"/>
    <x v="13"/>
    <s v="V"/>
    <s v="PE"/>
    <s v="Normal"/>
    <s v="27526 02 D"/>
    <m/>
    <d v="2021-12-13T00:00:00"/>
    <d v="2022-06-10T00:00:00"/>
    <d v="2022-03-09T00:00:00"/>
    <s v="  /  /  "/>
    <n v="0"/>
    <s v="  /  /  "/>
    <n v="0"/>
    <s v="                                        "/>
    <s v="  /  /  "/>
    <s v="sa644"/>
    <d v="2022-02-23T00:00:00"/>
    <s v="Sem rota"/>
    <n v="0"/>
    <m/>
    <n v="0"/>
    <m/>
    <n v="0"/>
    <m/>
    <s v="CIF"/>
    <n v="9842.66"/>
    <n v="3741079.5"/>
    <x v="17"/>
    <n v="9842.66"/>
  </r>
  <r>
    <n v="15020"/>
    <x v="7"/>
    <n v="0"/>
    <s v="Cargill de Honduras de S.r.l."/>
    <s v="Tegucigalpa M.d.c. Honduras Ca"/>
    <s v="EX"/>
    <n v="25123"/>
    <x v="7"/>
    <s v="V"/>
    <s v="PE"/>
    <s v="Normal"/>
    <s v="27526 02 D"/>
    <m/>
    <d v="2021-12-13T00:00:00"/>
    <d v="2022-06-10T00:00:00"/>
    <d v="2022-03-09T00:00:00"/>
    <s v="  /  /  "/>
    <n v="0"/>
    <s v="  /  /  "/>
    <n v="0"/>
    <s v="                                        "/>
    <s v="  /  /  "/>
    <s v="sa646"/>
    <d v="2022-02-25T00:00:00"/>
    <s v="Sem rota"/>
    <n v="0"/>
    <m/>
    <n v="0"/>
    <m/>
    <n v="0"/>
    <m/>
    <s v="CIF"/>
    <n v="4710.5300000000007"/>
    <n v="1460537"/>
    <x v="17"/>
    <n v="4710.5300000000007"/>
  </r>
  <r>
    <n v="15062"/>
    <x v="1"/>
    <n v="55566871000592"/>
    <s v="Dan Vigor Industria e Com de Laticinios"/>
    <s v="Barra do Pirai"/>
    <s v="RJ"/>
    <n v="26221"/>
    <x v="6"/>
    <s v="O"/>
    <s v="PE"/>
    <s v="Comercial / Pedido"/>
    <m/>
    <n v="2021989240"/>
    <d v="2022-05-26T00:00:00"/>
    <d v="2022-06-10T00:00:00"/>
    <d v="2022-05-31T00:00:00"/>
    <s v="  /  /  "/>
    <n v="0"/>
    <s v="  /  /  "/>
    <n v="0"/>
    <s v="                                        "/>
    <s v="  /  /  "/>
    <s v="sat293"/>
    <d v="2022-05-31T00:00:00"/>
    <s v="Sem rota"/>
    <n v="0"/>
    <m/>
    <n v="0"/>
    <m/>
    <n v="0"/>
    <s v="Logber - Colatina Es"/>
    <s v="CIF"/>
    <n v="1357.4099999999999"/>
    <n v="14043.03"/>
    <x v="17"/>
    <n v="1357.4099999999999"/>
  </r>
  <r>
    <n v="15066"/>
    <x v="18"/>
    <n v="43818780000194"/>
    <s v="Daycoval Leasing - Banco Multiplo S.A"/>
    <s v="Sao Paulo"/>
    <s v="SP"/>
    <n v="26262"/>
    <x v="11"/>
    <s v="V"/>
    <s v="PE"/>
    <s v="Normal"/>
    <s v="29672 03 D"/>
    <m/>
    <d v="2022-05-30T00:00:00"/>
    <d v="2022-06-10T00:00:00"/>
    <d v="2022-05-30T00:00:00"/>
    <s v="  /  /  "/>
    <n v="0"/>
    <s v="  /  /  "/>
    <n v="0"/>
    <s v="                                        "/>
    <s v="  /  /  "/>
    <m/>
    <s v="/  /"/>
    <s v="Sem rota"/>
    <n v="2011"/>
    <s v="Leasing"/>
    <n v="0"/>
    <m/>
    <n v="0"/>
    <m/>
    <s v="CIF"/>
    <n v="70687"/>
    <n v="1231567.28"/>
    <x v="17"/>
    <n v="70687"/>
  </r>
  <r>
    <n v="15067"/>
    <x v="3"/>
    <n v="3961151000447"/>
    <s v="Imd Comercio de Moveis Ltda"/>
    <s v="Navegantes"/>
    <s v="SC"/>
    <n v="25036"/>
    <x v="7"/>
    <s v="V"/>
    <s v="FP"/>
    <s v="Normal"/>
    <s v="27586 03 C"/>
    <m/>
    <d v="2021-12-01T00:00:00"/>
    <d v="2022-06-10T00:00:00"/>
    <d v="2021-12-14T00:00:00"/>
    <d v="2022-03-31T00:00:00"/>
    <n v="6114"/>
    <d v="2022-03-31T00:00:00"/>
    <n v="6116"/>
    <s v="                                        "/>
    <s v="  /  /  "/>
    <s v="sa588"/>
    <d v="2021-12-27T00:00:00"/>
    <s v="Sem rota"/>
    <n v="0"/>
    <m/>
    <n v="0"/>
    <m/>
    <n v="0"/>
    <s v="Logber - Colatina Es"/>
    <s v="CIF"/>
    <n v="4843.01"/>
    <n v="1674632.21"/>
    <x v="17"/>
    <n v="4843.01"/>
  </r>
  <r>
    <n v="15059"/>
    <x v="20"/>
    <n v="12680452001112"/>
    <s v="Platinum Log Armazens Ltda"/>
    <s v="Navegantes"/>
    <s v="SC"/>
    <n v="26318"/>
    <x v="12"/>
    <s v="O"/>
    <s v="PE"/>
    <s v="Comercial / Pedido"/>
    <m/>
    <m/>
    <d v="2022-06-06T00:00:00"/>
    <d v="2022-06-10T00:00:00"/>
    <d v="2022-06-07T00:00:00"/>
    <s v="  /  /  "/>
    <n v="0"/>
    <s v="  /  /  "/>
    <n v="0"/>
    <s v="                                        "/>
    <s v="  /  /  "/>
    <s v="sat295"/>
    <d v="2022-06-07T00:00:00"/>
    <s v="Sem rota"/>
    <n v="0"/>
    <m/>
    <n v="0"/>
    <m/>
    <n v="0"/>
    <s v="Logber - Colatina Es"/>
    <s v="CIF"/>
    <n v="0"/>
    <n v="166.23"/>
    <x v="17"/>
    <n v="0"/>
  </r>
  <r>
    <n v="15073"/>
    <x v="16"/>
    <n v="2229804000516"/>
    <s v="Platlog Imp Log e Distribuicao Ltda"/>
    <s v="Jundiai"/>
    <s v="SP"/>
    <n v="26274"/>
    <x v="12"/>
    <s v="V"/>
    <s v="PE"/>
    <s v="Normal"/>
    <s v="30118 00 A"/>
    <n v="723186"/>
    <d v="2022-05-31T00:00:00"/>
    <d v="2022-06-10T00:00:00"/>
    <d v="2022-05-31T00:00:00"/>
    <s v="  /  /  "/>
    <n v="0"/>
    <s v="  /  /  "/>
    <n v="0"/>
    <s v="                                        "/>
    <s v="  /  /  "/>
    <s v="sa750"/>
    <d v="2022-06-03T00:00:00"/>
    <s v="Sem rota"/>
    <n v="2000"/>
    <s v="28 DDF S/juros"/>
    <n v="0"/>
    <m/>
    <n v="0"/>
    <s v="Logber - Colatina Es"/>
    <s v="CIF"/>
    <n v="0"/>
    <n v="2065"/>
    <x v="17"/>
    <n v="0"/>
  </r>
  <r>
    <n v="15066"/>
    <x v="18"/>
    <n v="4423462000172"/>
    <s v="Poli Logistica Ltda"/>
    <s v="Uberlandia"/>
    <s v="MG"/>
    <n v="26127"/>
    <x v="12"/>
    <s v="O"/>
    <s v="PE"/>
    <s v="Normal"/>
    <s v="29672 03 D"/>
    <m/>
    <d v="2022-05-13T00:00:00"/>
    <d v="2022-06-10T00:00:00"/>
    <d v="2022-06-03T00:00:00"/>
    <s v="  /  /  "/>
    <n v="0"/>
    <s v="  /  /  "/>
    <n v="0"/>
    <s v="                                        "/>
    <s v="  /  /  "/>
    <s v="sa729"/>
    <d v="2022-05-18T00:00:00"/>
    <s v="Sem rota"/>
    <n v="2011"/>
    <s v="Leasing"/>
    <n v="0"/>
    <m/>
    <n v="0"/>
    <s v="Logber - Colatina Es"/>
    <s v="CIF"/>
    <n v="345.62"/>
    <n v="1231567.28"/>
    <x v="17"/>
    <n v="345.62"/>
  </r>
  <r>
    <n v="15059"/>
    <x v="20"/>
    <n v="1333984000276"/>
    <s v="Segala's Alimentos Ltda"/>
    <s v="Gaspar"/>
    <s v="SC"/>
    <n v="26240"/>
    <x v="13"/>
    <s v="O"/>
    <s v="PE"/>
    <s v="Detalhamento"/>
    <m/>
    <m/>
    <d v="2022-05-27T00:00:00"/>
    <d v="2022-06-10T00:00:00"/>
    <d v="2022-05-27T00:00:00"/>
    <s v="  /  /  "/>
    <n v="0"/>
    <s v="  /  /  "/>
    <n v="0"/>
    <s v="                                        "/>
    <s v="  /  /  "/>
    <s v="sat291"/>
    <d v="2022-05-27T00:00:00"/>
    <s v="Sem rota"/>
    <n v="0"/>
    <m/>
    <n v="0"/>
    <m/>
    <n v="0"/>
    <s v="Logber - Colatina Es"/>
    <s v="CIF"/>
    <n v="0"/>
    <n v="520.1"/>
    <x v="17"/>
    <n v="0"/>
  </r>
  <r>
    <n v="15020"/>
    <x v="7"/>
    <n v="0"/>
    <s v="Apolo Import S.a."/>
    <s v="Ciudad Del Este"/>
    <s v="EX"/>
    <n v="26203"/>
    <x v="1"/>
    <s v="V"/>
    <s v="PE"/>
    <s v="Normal"/>
    <s v="27247 00 B"/>
    <m/>
    <d v="2022-05-24T00:00:00"/>
    <d v="2022-06-13T00:00:00"/>
    <d v="2022-05-26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19561.2"/>
    <x v="17"/>
    <n v="0"/>
  </r>
  <r>
    <n v="15000"/>
    <x v="26"/>
    <n v="87556650001410"/>
    <s v="Bertolini S.A"/>
    <s v="Bento Goncalves"/>
    <s v="RS"/>
    <n v="26250"/>
    <x v="11"/>
    <s v="T"/>
    <s v="PE"/>
    <s v="Normal"/>
    <m/>
    <m/>
    <d v="2022-05-27T00:00:00"/>
    <d v="2022-06-13T00:00:00"/>
    <d v="2022-06-08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438.87"/>
    <n v="1.03"/>
    <x v="17"/>
    <n v="438.87"/>
  </r>
  <r>
    <n v="15910"/>
    <x v="11"/>
    <n v="1438784006995"/>
    <s v="Leroy Merlin Cmp Brasileira de Bricolage"/>
    <s v="Cajamar"/>
    <s v="SP"/>
    <n v="24502"/>
    <x v="19"/>
    <s v="V"/>
    <s v="FP"/>
    <s v="Normal"/>
    <s v="26376 02 F"/>
    <m/>
    <d v="2021-09-22T00:00:00"/>
    <d v="2022-06-13T00:00:00"/>
    <d v="2022-05-10T00:00:00"/>
    <d v="2022-05-13T00:00:00"/>
    <n v="6696"/>
    <d v="2022-05-28T00:00:00"/>
    <n v="6940"/>
    <s v="                                        "/>
    <s v="  /  /  "/>
    <s v="sa604"/>
    <d v="2022-02-02T00:00:00"/>
    <s v="Sem rota"/>
    <n v="0"/>
    <m/>
    <n v="0"/>
    <m/>
    <n v="0"/>
    <s v="Logber - Colatina Es"/>
    <s v="CIF"/>
    <n v="26157.72"/>
    <n v="768412"/>
    <x v="17"/>
    <n v="26157.72"/>
  </r>
  <r>
    <n v="15062"/>
    <x v="1"/>
    <n v="68915891003408"/>
    <s v="Technip Brasil Eng Inst e Apoio Maritimo"/>
    <s v="Macae"/>
    <s v="RJ"/>
    <n v="25434"/>
    <x v="8"/>
    <s v="V"/>
    <s v="PE"/>
    <s v="Normal"/>
    <s v="27799 02 C"/>
    <s v="432497TC1"/>
    <d v="2022-02-10T00:00:00"/>
    <d v="2022-06-13T00:00:00"/>
    <d v="2022-02-10T00:00:00"/>
    <s v="  /  /  "/>
    <n v="0"/>
    <s v="  /  /  "/>
    <n v="0"/>
    <s v="                                        "/>
    <s v="  /  /  "/>
    <s v="sa650"/>
    <d v="2022-03-01T00:00:00"/>
    <s v="Sem rota"/>
    <n v="13"/>
    <s v="45 Ddf S/j"/>
    <n v="0"/>
    <m/>
    <n v="0"/>
    <s v="Logber - Colatina Es"/>
    <s v="CIF"/>
    <n v="626.49"/>
    <n v="64196.72"/>
    <x v="17"/>
    <n v="626.49"/>
  </r>
  <r>
    <n v="15910"/>
    <x v="11"/>
    <n v="6053214000102"/>
    <s v="Toyota Mat Hald Merc Ind e Com de Equip"/>
    <s v="Sao Bernardo do Campo"/>
    <s v="SP"/>
    <n v="25653"/>
    <x v="8"/>
    <s v="O"/>
    <s v="PE"/>
    <s v="Comercial / Pedido"/>
    <m/>
    <n v="217220"/>
    <d v="2022-03-17T00:00:00"/>
    <d v="2022-06-14T00:00:00"/>
    <d v="2022-03-17T00:00:00"/>
    <s v="  /  /  "/>
    <n v="0"/>
    <s v="  /  /  "/>
    <n v="0"/>
    <s v="                                        "/>
    <s v="  /  /  "/>
    <s v="sat234"/>
    <d v="2022-03-17T00:00:00"/>
    <s v="Sem rota"/>
    <n v="0"/>
    <m/>
    <n v="0"/>
    <m/>
    <n v="0"/>
    <s v="Logber - Colatina Es"/>
    <s v="CIF"/>
    <n v="0"/>
    <n v="1503.32"/>
    <x v="17"/>
    <n v="0"/>
  </r>
  <r>
    <n v="15909"/>
    <x v="15"/>
    <n v="11137051040641"/>
    <s v="Boticário Produtos de Beleza Ltda."/>
    <s v="Registro"/>
    <s v="SP"/>
    <n v="26728"/>
    <x v="0"/>
    <s v="V"/>
    <s v="PE"/>
    <s v="Normal"/>
    <s v="29767 00 B"/>
    <m/>
    <d v="2022-05-31T00:00:00"/>
    <d v="2022-06-15T00:00:00"/>
    <d v="2022-05-31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m/>
    <s v="CIF"/>
    <n v="0"/>
    <n v="170000"/>
    <x v="17"/>
    <n v="0"/>
  </r>
  <r>
    <n v="15073"/>
    <x v="16"/>
    <n v="382468003375"/>
    <s v="Colgate Palmolive Comercial Ltda"/>
    <s v="Sao Bernardo do Campo"/>
    <s v="SP"/>
    <n v="26330"/>
    <x v="0"/>
    <s v="V"/>
    <s v="PE"/>
    <s v="Normal"/>
    <s v="30181 00 A"/>
    <n v="8500253443"/>
    <d v="2022-06-08T00:00:00"/>
    <d v="2022-06-15T00:00:00"/>
    <d v="2022-06-09T00:00:00"/>
    <s v="  /  /  "/>
    <n v="0"/>
    <s v="  /  /  "/>
    <n v="0"/>
    <s v="                                        "/>
    <s v="  /  /  "/>
    <m/>
    <s v="/  /"/>
    <s v="Sem rota"/>
    <n v="1217"/>
    <s v="58 Ddf Sem Juros"/>
    <n v="0"/>
    <m/>
    <n v="0"/>
    <m/>
    <s v="CIF"/>
    <n v="0"/>
    <n v="21000"/>
    <x v="17"/>
    <n v="0"/>
  </r>
  <r>
    <n v="15070"/>
    <x v="14"/>
    <n v="77595395005025"/>
    <s v="Frimesa Cooperativa Central"/>
    <s v="Assis Chateaubriand"/>
    <s v="PR"/>
    <n v="23505"/>
    <x v="6"/>
    <s v="V"/>
    <s v="FP"/>
    <s v="Normal"/>
    <s v="22593 09 H"/>
    <n v="2260950"/>
    <d v="2021-03-25T00:00:00"/>
    <d v="2022-06-15T00:00:00"/>
    <d v="2022-05-17T00:00:00"/>
    <d v="2022-05-17T00:00:00"/>
    <n v="6767"/>
    <d v="2022-06-07T00:00:00"/>
    <n v="7078"/>
    <s v="                                        "/>
    <s v="  /  /  "/>
    <s v="sa302"/>
    <d v="2021-05-14T00:00:00"/>
    <s v="Sem rota"/>
    <n v="0"/>
    <m/>
    <n v="0"/>
    <m/>
    <n v="0"/>
    <s v="Logber - Colatina Es"/>
    <s v="CIF"/>
    <n v="28003.429999999997"/>
    <n v="926250.65"/>
    <x v="17"/>
    <n v="28003.429999999997"/>
  </r>
  <r>
    <n v="15910"/>
    <x v="11"/>
    <n v="1438784006995"/>
    <s v="Leroy Merlin Cmp Brasileira de Bricolage"/>
    <s v="Cajamar"/>
    <s v="SP"/>
    <n v="25061"/>
    <x v="19"/>
    <s v="V"/>
    <s v="FP"/>
    <s v="Normal"/>
    <s v="26376 02 F"/>
    <m/>
    <d v="2021-09-22T00:00:00"/>
    <d v="2022-06-15T00:00:00"/>
    <d v="2022-02-01T00:00:00"/>
    <d v="2022-05-26T00:00:00"/>
    <n v="6905"/>
    <d v="2022-05-31T00:00:00"/>
    <n v="6994"/>
    <s v="                                        "/>
    <s v="  /  /  "/>
    <s v="sa607"/>
    <d v="2022-02-02T00:00:00"/>
    <s v="Sem rota"/>
    <n v="0"/>
    <m/>
    <n v="0"/>
    <m/>
    <n v="0"/>
    <s v="Logber - Colatina Es"/>
    <s v="CIF"/>
    <n v="42572.61"/>
    <n v="2258819.9700000002"/>
    <x v="17"/>
    <n v="42572.61"/>
  </r>
  <r>
    <n v="15910"/>
    <x v="11"/>
    <n v="1438784006995"/>
    <s v="Leroy Merlin Cmp Brasileira de Bricolage"/>
    <s v="Cajamar"/>
    <s v="SP"/>
    <n v="25062"/>
    <x v="19"/>
    <s v="V"/>
    <s v="FP"/>
    <s v="Normal"/>
    <s v="26376 02 F"/>
    <m/>
    <d v="2021-09-22T00:00:00"/>
    <d v="2022-06-15T00:00:00"/>
    <d v="2022-02-01T00:00:00"/>
    <d v="2022-05-26T00:00:00"/>
    <n v="6903"/>
    <d v="2022-05-28T00:00:00"/>
    <n v="6943"/>
    <s v="                                        "/>
    <s v="  /  /  "/>
    <s v="sa608"/>
    <d v="2022-02-02T00:00:00"/>
    <s v="Sem rota"/>
    <n v="0"/>
    <m/>
    <n v="0"/>
    <m/>
    <n v="0"/>
    <s v="Logber - Colatina Es"/>
    <s v="CIF"/>
    <n v="95073.43"/>
    <n v="2386938.33"/>
    <x v="17"/>
    <n v="95073.43"/>
  </r>
  <r>
    <n v="15908"/>
    <x v="10"/>
    <n v="577604000448"/>
    <s v="Medchap Distr de Medicamentos Chapeco Lt"/>
    <s v="Sao Jose dos Pinhais"/>
    <s v="PR"/>
    <n v="26265"/>
    <x v="12"/>
    <s v="O"/>
    <s v="PE"/>
    <s v="Detalhamento"/>
    <m/>
    <m/>
    <d v="2022-05-30T00:00:00"/>
    <d v="2022-06-15T00:00:00"/>
    <d v="2022-06-02T00:00:00"/>
    <s v="  /  /  "/>
    <n v="0"/>
    <s v="  /  /  "/>
    <n v="0"/>
    <s v="                                        "/>
    <s v="  /  /  "/>
    <s v="sat294"/>
    <d v="2022-06-02T00:00:00"/>
    <s v="Sem rota"/>
    <n v="0"/>
    <m/>
    <n v="0"/>
    <m/>
    <n v="0"/>
    <s v="Logber - Colatina Es"/>
    <s v="CIF"/>
    <n v="0"/>
    <n v="350"/>
    <x v="17"/>
    <n v="0"/>
  </r>
  <r>
    <n v="15052"/>
    <x v="25"/>
    <n v="18631739002968"/>
    <s v="Neovia Nutricao e Saude Animal Ltda."/>
    <s v="Descalvado"/>
    <s v="SP"/>
    <n v="26312"/>
    <x v="1"/>
    <s v="V"/>
    <s v="PE"/>
    <s v="Normal"/>
    <s v="22659 00 B"/>
    <m/>
    <d v="2022-06-03T00:00:00"/>
    <d v="2022-06-15T00:00:00"/>
    <d v="2022-06-03T00:00:00"/>
    <s v="  /  /  "/>
    <n v="0"/>
    <s v="  /  /  "/>
    <n v="0"/>
    <s v="                                        "/>
    <s v="  /  /  "/>
    <m/>
    <s v="/  /"/>
    <s v="Sem rota"/>
    <n v="879"/>
    <s v="60 Ddf S/j"/>
    <n v="0"/>
    <m/>
    <n v="0"/>
    <m/>
    <s v="CIF"/>
    <n v="0"/>
    <n v="13346"/>
    <x v="17"/>
    <n v="0"/>
  </r>
  <r>
    <n v="15059"/>
    <x v="20"/>
    <n v="7175725001484"/>
    <s v="Weg Equipamentos Eletricos S/A"/>
    <s v="Blumenau"/>
    <s v="SC"/>
    <n v="25522"/>
    <x v="8"/>
    <s v="V"/>
    <s v="PE"/>
    <s v="Normal"/>
    <s v="28546 01 B"/>
    <n v="4512525877"/>
    <d v="2022-02-24T00:00:00"/>
    <d v="2022-06-15T00:00:00"/>
    <d v="2022-02-24T00:00:00"/>
    <s v="  /  /  "/>
    <n v="0"/>
    <s v="  /  /  "/>
    <n v="0"/>
    <s v="                                        "/>
    <s v="  /  /  "/>
    <s v="sa655"/>
    <d v="2022-03-08T00:00:00"/>
    <s v="Sem rota"/>
    <n v="2000"/>
    <s v="28 DDF S/juros"/>
    <n v="0"/>
    <m/>
    <n v="0"/>
    <s v="Logber - Colatina Es"/>
    <s v="CIF"/>
    <n v="15.77"/>
    <n v="2053.64"/>
    <x v="17"/>
    <n v="15.77"/>
  </r>
  <r>
    <n v="15079"/>
    <x v="27"/>
    <n v="22902554000117"/>
    <s v="Mineracao Morro do Ipe S.A"/>
    <s v="Brumadinho"/>
    <s v="MG"/>
    <n v="25794"/>
    <x v="8"/>
    <s v="V"/>
    <s v="PE"/>
    <s v="Normal"/>
    <s v="28629 01 C"/>
    <s v="PC010229"/>
    <d v="2022-03-31T00:00:00"/>
    <d v="2022-06-16T00:00:00"/>
    <d v="2022-04-05T00:00:00"/>
    <s v="  /  /  "/>
    <n v="0"/>
    <s v="  /  /  "/>
    <n v="0"/>
    <s v="                                        "/>
    <s v="  /  /  "/>
    <s v="sa685"/>
    <d v="2022-04-07T00:00:00"/>
    <s v="Sem rota"/>
    <n v="44"/>
    <s v="30 DDF S/juros"/>
    <n v="0"/>
    <m/>
    <n v="0"/>
    <m/>
    <s v="CIF"/>
    <n v="2380.81"/>
    <n v="104091.38"/>
    <x v="17"/>
    <n v="2380.81"/>
  </r>
  <r>
    <n v="15908"/>
    <x v="10"/>
    <n v="6147451000132"/>
    <s v="Calamo Dist de Produtos de Beleza S.A"/>
    <s v="Curitiba"/>
    <s v="PR"/>
    <n v="26319"/>
    <x v="20"/>
    <s v="O"/>
    <s v="PE"/>
    <s v="Causas Nao Identificadas"/>
    <m/>
    <m/>
    <d v="2022-06-07T00:00:00"/>
    <d v="2022-06-17T00:00:00"/>
    <d v="2022-06-09T00:00:00"/>
    <s v="  /  /  "/>
    <n v="0"/>
    <s v="  /  /  "/>
    <n v="0"/>
    <s v="                                        "/>
    <s v="  /  /  "/>
    <s v="sat296"/>
    <d v="2022-06-09T00:00:00"/>
    <s v="Sem rota"/>
    <n v="0"/>
    <m/>
    <n v="0"/>
    <m/>
    <n v="0"/>
    <s v="Logber - Colatina Es"/>
    <s v="CIF"/>
    <s v=""/>
    <n v="11853.1"/>
    <x v="17"/>
    <s v=""/>
  </r>
  <r>
    <n v="15063"/>
    <x v="23"/>
    <n v="27942085003956"/>
    <s v="Coopeavi - Coop Agropecuaria Centro Serr"/>
    <s v="Ibiracu"/>
    <s v="ES"/>
    <n v="25458"/>
    <x v="12"/>
    <s v="V"/>
    <s v="PE"/>
    <s v="Normal"/>
    <s v="28556 01 B"/>
    <m/>
    <d v="2022-02-14T00:00:00"/>
    <d v="2022-06-17T00:00:00"/>
    <d v="2022-03-08T00:00:00"/>
    <s v="  /  /  "/>
    <n v="0"/>
    <s v="  /  /  "/>
    <n v="0"/>
    <s v="                                        "/>
    <s v="  /  /  "/>
    <s v="sa658"/>
    <d v="2022-03-09T00:00:00"/>
    <s v="Sem rota"/>
    <n v="0"/>
    <m/>
    <n v="0"/>
    <m/>
    <n v="0"/>
    <s v="Logber - Colatina Es"/>
    <s v="CIF"/>
    <n v="846.52"/>
    <n v="62250"/>
    <x v="17"/>
    <n v="846.52"/>
  </r>
  <r>
    <n v="15000"/>
    <x v="26"/>
    <n v="87556650001410"/>
    <s v="Bertolini S.A"/>
    <s v="Bento Goncalves"/>
    <s v="RS"/>
    <n v="26316"/>
    <x v="11"/>
    <s v="O"/>
    <s v="PE"/>
    <s v="Normal"/>
    <m/>
    <m/>
    <d v="2022-06-03T00:00:00"/>
    <d v="2022-06-17T00:00:00"/>
    <d v="2022-06-03T00:00:00"/>
    <s v="  /  /  "/>
    <n v="0"/>
    <s v="  /  /  "/>
    <n v="0"/>
    <s v="                                        "/>
    <s v="  /  /  "/>
    <s v="sa752"/>
    <d v="2022-06-06T00:00:00"/>
    <s v="Sem rota"/>
    <n v="0"/>
    <m/>
    <n v="0"/>
    <m/>
    <n v="0"/>
    <s v="Logber"/>
    <s v="CIF"/>
    <n v="0"/>
    <n v="1.03"/>
    <x v="17"/>
    <n v="0"/>
  </r>
  <r>
    <n v="15062"/>
    <x v="1"/>
    <n v="2385669000174"/>
    <s v="Fiotec Fund P Des Cient Tecnol Em Saude"/>
    <s v="Rio de Janeiro"/>
    <s v="RJ"/>
    <n v="25806"/>
    <x v="8"/>
    <s v="V"/>
    <s v="PE"/>
    <s v="Normal"/>
    <s v="26792 03 I"/>
    <n v="4500313614"/>
    <d v="2022-03-31T00:00:00"/>
    <d v="2022-06-17T00:00:00"/>
    <d v="2022-05-06T00:00:00"/>
    <s v="  /  /  "/>
    <n v="0"/>
    <s v="  /  /  "/>
    <n v="0"/>
    <s v="                                        "/>
    <s v="  /  /  "/>
    <s v="sa706"/>
    <d v="2022-05-06T00:00:00"/>
    <s v="Sem rota"/>
    <n v="44"/>
    <s v="30 DDF S/juros"/>
    <n v="0"/>
    <m/>
    <n v="0"/>
    <m/>
    <s v="CIF"/>
    <n v="2224.5299999999997"/>
    <n v="122491.81"/>
    <x v="17"/>
    <n v="2224.5299999999997"/>
  </r>
  <r>
    <n v="15051"/>
    <x v="13"/>
    <n v="76204130000108"/>
    <s v="Fospar S.A"/>
    <s v="Paranagua"/>
    <s v="PR"/>
    <n v="25456"/>
    <x v="12"/>
    <s v="V"/>
    <s v="PE"/>
    <s v="Normal"/>
    <s v="28583 01 A"/>
    <n v="5000204287"/>
    <d v="2022-02-14T00:00:00"/>
    <d v="2022-06-17T00:00:00"/>
    <d v="2022-02-25T00:00:00"/>
    <s v="  /  /  "/>
    <n v="0"/>
    <s v="  /  /  "/>
    <n v="0"/>
    <s v="                                        "/>
    <s v="  /  /  "/>
    <s v="sa647"/>
    <d v="2022-03-01T00:00:00"/>
    <s v="Sem rota"/>
    <n v="2000"/>
    <s v="28 DDF S/juros"/>
    <n v="0"/>
    <m/>
    <n v="0"/>
    <s v="Logber - Colatina Es"/>
    <s v="CIF"/>
    <s v=""/>
    <n v="46462.5"/>
    <x v="17"/>
    <s v=""/>
  </r>
  <r>
    <n v="15059"/>
    <x v="20"/>
    <n v="18252904000170"/>
    <s v="Health Care &amp; Dubebe Com Imp Exp Prod Hi"/>
    <s v="Tijucas"/>
    <s v="SC"/>
    <n v="25645"/>
    <x v="7"/>
    <s v="V"/>
    <s v="PE"/>
    <s v="Normal"/>
    <s v="28904 02 C"/>
    <m/>
    <d v="2022-03-16T00:00:00"/>
    <d v="2022-06-17T00:00:00"/>
    <d v="2022-03-17T00:00:00"/>
    <s v="  /  /  "/>
    <n v="0"/>
    <s v="  /  /  "/>
    <n v="0"/>
    <s v="                                        "/>
    <s v="  /  /  "/>
    <s v="sa677"/>
    <d v="2022-03-29T00:00:00"/>
    <s v="Sem rota"/>
    <n v="0"/>
    <m/>
    <n v="0"/>
    <m/>
    <n v="0"/>
    <s v="Logber - Colatina Es"/>
    <s v="CIF"/>
    <n v="4108.95"/>
    <n v="157017.44"/>
    <x v="17"/>
    <n v="4108.95"/>
  </r>
  <r>
    <n v="15057"/>
    <x v="0"/>
    <n v="92702158000121"/>
    <s v="Ivacir Barp e Cia Ltda"/>
    <s v="Sao Gabriel"/>
    <s v="RS"/>
    <n v="25547"/>
    <x v="12"/>
    <s v="V"/>
    <s v="PE"/>
    <s v="Normal"/>
    <s v="28587 02 C"/>
    <m/>
    <d v="2022-02-28T00:00:00"/>
    <d v="2022-06-17T00:00:00"/>
    <d v="2022-03-03T00:00:00"/>
    <s v="  /  /  "/>
    <n v="0"/>
    <s v="  /  /  "/>
    <n v="0"/>
    <s v="                                        "/>
    <s v="  /  /  "/>
    <s v="sa655"/>
    <d v="2022-03-08T00:00:00"/>
    <s v="Sem rota"/>
    <n v="2235"/>
    <s v="50% Conf e Saldo 28ddf"/>
    <n v="0"/>
    <m/>
    <n v="0"/>
    <s v="Logber - Colatina Es"/>
    <s v="CIF"/>
    <n v="1974.1"/>
    <n v="91624.05"/>
    <x v="17"/>
    <n v="1974.1"/>
  </r>
  <r>
    <n v="15081"/>
    <x v="28"/>
    <n v="3623218000271"/>
    <s v="Mercado do Sabor Comercio de Alimentos"/>
    <s v="Fortaleza"/>
    <s v="CE"/>
    <n v="26018"/>
    <x v="7"/>
    <s v="V"/>
    <s v="PE"/>
    <s v="Normal"/>
    <s v="29477 02 C"/>
    <m/>
    <d v="2022-04-29T00:00:00"/>
    <d v="2022-06-17T00:00:00"/>
    <d v="2022-06-02T00:00:00"/>
    <s v="  /  /  "/>
    <n v="0"/>
    <s v="  /  /  "/>
    <n v="0"/>
    <s v="                                        "/>
    <s v="  /  /  "/>
    <s v="sa710"/>
    <d v="2022-05-05T00:00:00"/>
    <s v="Sem rota"/>
    <n v="0"/>
    <m/>
    <n v="0"/>
    <m/>
    <n v="0"/>
    <m/>
    <s v="FOB"/>
    <n v="17879.89"/>
    <n v="400610"/>
    <x v="17"/>
    <n v="17879.89"/>
  </r>
  <r>
    <n v="15070"/>
    <x v="14"/>
    <n v="76795418000102"/>
    <s v="Recco, Recco &amp; Cia Ltda"/>
    <s v="Maringa"/>
    <s v="PR"/>
    <n v="26340"/>
    <x v="7"/>
    <s v="O"/>
    <s v="PE"/>
    <s v="Fabrica / Separacao"/>
    <m/>
    <m/>
    <d v="2022-06-09T00:00:00"/>
    <d v="2022-06-17T00:00:00"/>
    <d v="2022-06-09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15"/>
    <n v="108.41"/>
    <x v="17"/>
    <n v="15"/>
  </r>
  <r>
    <n v="15910"/>
    <x v="11"/>
    <n v="8969770000159"/>
    <s v="Rio Quality Com.de Alimentos Ltda"/>
    <s v="Rio de Janeiro"/>
    <s v="RJ"/>
    <n v="26286"/>
    <x v="12"/>
    <s v="V"/>
    <s v="PE"/>
    <s v="Normal"/>
    <s v="29867 00 A"/>
    <m/>
    <d v="2022-05-31T00:00:00"/>
    <d v="2022-06-17T00:00:00"/>
    <d v="2022-06-09T00:00:00"/>
    <s v="  /  /  "/>
    <n v="0"/>
    <s v="  /  /  "/>
    <n v="0"/>
    <s v="                                        "/>
    <s v="  /  /  "/>
    <s v="sa756"/>
    <d v="2022-06-07T00:00:00"/>
    <s v="Sem rota"/>
    <n v="2257"/>
    <s v="40% Conf/30%14ddf/saldo28ddf"/>
    <n v="0"/>
    <m/>
    <n v="0"/>
    <m/>
    <s v="CIF"/>
    <n v="0"/>
    <n v="17469.900000000001"/>
    <x v="17"/>
    <n v="0"/>
  </r>
  <r>
    <n v="15063"/>
    <x v="23"/>
    <n v="8237002006060"/>
    <s v="Sk Automotive Distribuidora de Autopecas"/>
    <s v="Viana"/>
    <s v="ES"/>
    <n v="26016"/>
    <x v="12"/>
    <s v="V"/>
    <s v="PE"/>
    <s v="Normal"/>
    <s v="29077 02 C"/>
    <n v="2513058"/>
    <d v="2022-04-28T00:00:00"/>
    <d v="2022-06-17T00:00:00"/>
    <d v="2022-04-28T00:00:00"/>
    <s v="  /  /  "/>
    <n v="0"/>
    <s v="  /  /  "/>
    <n v="0"/>
    <s v="                                        "/>
    <s v="  /  /  "/>
    <s v="sa705"/>
    <d v="2022-05-03T00:00:00"/>
    <s v="Sem rota"/>
    <n v="44"/>
    <s v="30 DDF S/juros"/>
    <n v="0"/>
    <m/>
    <n v="0"/>
    <s v="Logber - Colatina Es"/>
    <s v="CIF"/>
    <n v="36822.43"/>
    <n v="639117.5"/>
    <x v="17"/>
    <n v="36822.43"/>
  </r>
  <r>
    <n v="15063"/>
    <x v="23"/>
    <n v="8237002002901"/>
    <s v="Sk Automotive Distribuidora de Autopecas"/>
    <s v="Sao Jose"/>
    <s v="SC"/>
    <n v="26024"/>
    <x v="12"/>
    <s v="V"/>
    <s v="PE"/>
    <s v="Normal"/>
    <s v="29385 01 A"/>
    <n v="2523062"/>
    <d v="2022-04-29T00:00:00"/>
    <d v="2022-06-17T00:00:00"/>
    <d v="2022-04-29T00:00:00"/>
    <s v="  /  /  "/>
    <n v="0"/>
    <s v="  /  /  "/>
    <n v="0"/>
    <s v="                                        "/>
    <s v="  /  /  "/>
    <s v="sa710"/>
    <d v="2022-05-05T00:00:00"/>
    <s v="Sem rota"/>
    <n v="44"/>
    <s v="30 DDF S/juros"/>
    <n v="0"/>
    <m/>
    <n v="0"/>
    <m/>
    <s v="CIF"/>
    <n v="2486.9699999999998"/>
    <n v="70277.08"/>
    <x v="17"/>
    <n v="2486.9699999999998"/>
  </r>
  <r>
    <n v="15057"/>
    <x v="0"/>
    <n v="79687588000153"/>
    <s v="Videplast Industria de Embalagens Ltda"/>
    <s v="Videira"/>
    <s v="SC"/>
    <n v="24949"/>
    <x v="8"/>
    <s v="V"/>
    <s v="FP"/>
    <s v="Normal"/>
    <s v="17664 04 F"/>
    <n v="4500171674"/>
    <d v="2021-11-19T00:00:00"/>
    <d v="2022-06-17T00:00:00"/>
    <d v="2022-05-27T00:00:00"/>
    <d v="2022-05-27T00:00:00"/>
    <n v="6913"/>
    <d v="2022-05-27T00:00:00"/>
    <n v="6917"/>
    <s v="                                        "/>
    <s v="  /  /  "/>
    <s v="sa631"/>
    <d v="2022-02-11T00:00:00"/>
    <s v="Sem rota"/>
    <n v="0"/>
    <m/>
    <n v="0"/>
    <m/>
    <n v="0"/>
    <s v="Logber - Colatina Es"/>
    <s v="CIF"/>
    <n v="1020.64"/>
    <n v="119134.62"/>
    <x v="17"/>
    <n v="1020.64"/>
  </r>
  <r>
    <n v="15909"/>
    <x v="15"/>
    <n v="92754738047983"/>
    <s v="Lojas Renner S.A"/>
    <s v="Cabreuva"/>
    <s v="SP"/>
    <n v="26264"/>
    <x v="11"/>
    <s v="O"/>
    <s v="FP"/>
    <s v="Coleta de Material"/>
    <m/>
    <m/>
    <d v="2022-05-30T00:00:00"/>
    <d v="2022-06-20T00:00:00"/>
    <d v="2022-06-03T00:00:00"/>
    <d v="2022-06-03T00:00:00"/>
    <n v="7048"/>
    <d v="2022-06-03T00:00:00"/>
    <n v="7048"/>
    <s v="                                        "/>
    <s v="  /  /  "/>
    <m/>
    <s v="/  /"/>
    <s v="Sem rota"/>
    <n v="0"/>
    <m/>
    <n v="0"/>
    <m/>
    <n v="0"/>
    <s v="Logber - Colatina Es"/>
    <s v="CIF"/>
    <n v="0"/>
    <n v="159750"/>
    <x v="17"/>
    <n v="0"/>
  </r>
  <r>
    <n v="15020"/>
    <x v="7"/>
    <n v="0"/>
    <s v="Feral S.a."/>
    <s v="Montevideo"/>
    <s v="EX"/>
    <n v="25887"/>
    <x v="7"/>
    <s v="O"/>
    <s v="PE"/>
    <s v="Fabrica / Separacao"/>
    <m/>
    <m/>
    <d v="2022-04-11T00:00:00"/>
    <d v="2022-06-21T00:00:00"/>
    <d v="2022-04-14T00:00:00"/>
    <s v="  /  /  "/>
    <n v="0"/>
    <s v="  /  /  "/>
    <n v="0"/>
    <s v="                                        "/>
    <s v="  /  /  "/>
    <s v="sat254"/>
    <d v="2022-04-29T00:00:00"/>
    <s v="Sem rota"/>
    <n v="0"/>
    <m/>
    <n v="0"/>
    <m/>
    <n v="0"/>
    <m/>
    <s v="CIF"/>
    <n v="649.20000000000005"/>
    <n v="6269.36"/>
    <x v="17"/>
    <n v="649.20000000000005"/>
  </r>
  <r>
    <n v="15907"/>
    <x v="8"/>
    <n v="8380701000105"/>
    <s v="Unimed Natal Sociedade Coop de Trab Medi"/>
    <s v="Natal"/>
    <s v="RN"/>
    <n v="26332"/>
    <x v="8"/>
    <s v="O"/>
    <s v="PE"/>
    <s v="Logistica"/>
    <m/>
    <m/>
    <d v="2022-06-08T00:00:00"/>
    <d v="2022-06-22T00:00:00"/>
    <d v="2022-06-09T00:00:00"/>
    <s v="  /  /  "/>
    <n v="0"/>
    <s v="  /  /  "/>
    <n v="0"/>
    <s v="                                        "/>
    <s v="  /  /  "/>
    <s v="sat296"/>
    <d v="2022-06-09T00:00:00"/>
    <s v="Sem rota"/>
    <n v="0"/>
    <m/>
    <n v="0"/>
    <m/>
    <n v="0"/>
    <s v="Logber - Colatina Es"/>
    <s v="CIF"/>
    <s v=""/>
    <n v="10458.4"/>
    <x v="17"/>
    <s v=""/>
  </r>
  <r>
    <n v="15066"/>
    <x v="18"/>
    <n v="64858525003756"/>
    <s v="Monsanto do Brasil Ltda"/>
    <s v="Itai"/>
    <s v="SP"/>
    <n v="26031"/>
    <x v="10"/>
    <s v="O"/>
    <s v="PE"/>
    <s v="Envio de Material de Venda"/>
    <m/>
    <n v="6500480179"/>
    <d v="2022-04-29T00:00:00"/>
    <d v="2022-06-23T00:00:00"/>
    <d v="2022-05-02T00:00:00"/>
    <s v="  /  /  "/>
    <n v="0"/>
    <s v="  /  /  "/>
    <n v="0"/>
    <s v="                                        "/>
    <s v="  /  /  "/>
    <s v="sat265"/>
    <d v="2022-05-02T00:00:00"/>
    <s v="Sem rota"/>
    <n v="0"/>
    <m/>
    <n v="0"/>
    <m/>
    <n v="0"/>
    <s v="Logber - Colatina Es"/>
    <s v="CIF"/>
    <n v="10678.97"/>
    <n v="80442.080000000002"/>
    <x v="17"/>
    <n v="10678.97"/>
  </r>
  <r>
    <n v="15055"/>
    <x v="4"/>
    <n v="12423997000171"/>
    <s v="Up Distribuidora de Prod Descartaveis Lt"/>
    <s v="Rio Largo"/>
    <s v="AL"/>
    <n v="25690"/>
    <x v="12"/>
    <s v="V"/>
    <s v="PE"/>
    <s v="Normal"/>
    <s v="28810 01 B"/>
    <m/>
    <d v="2022-03-22T00:00:00"/>
    <d v="2022-06-23T00:00:00"/>
    <d v="2022-03-22T00:00:00"/>
    <s v="  /  /  "/>
    <n v="0"/>
    <s v="  /  /  "/>
    <n v="0"/>
    <s v="                                        "/>
    <s v="  /  /  "/>
    <s v="sa677"/>
    <d v="2022-03-29T00:00:00"/>
    <s v="Sem rota"/>
    <n v="2163"/>
    <s v="25%conf./saldo 30/60/90 Ddf"/>
    <n v="0"/>
    <m/>
    <n v="0"/>
    <s v="Logber - Colatina Es"/>
    <s v="CIF"/>
    <n v="5841.4699999999993"/>
    <n v="270225.90000000002"/>
    <x v="17"/>
    <n v="5841.4699999999993"/>
  </r>
  <r>
    <n v="15000"/>
    <x v="26"/>
    <n v="87556650001500"/>
    <s v="Bertolini S.A"/>
    <s v="Colatina"/>
    <s v="ES"/>
    <n v="26344"/>
    <x v="11"/>
    <s v="T"/>
    <s v="PE"/>
    <s v="Normal"/>
    <s v="29167 01"/>
    <m/>
    <d v="2022-06-09T00:00:00"/>
    <d v="2022-06-24T00:00:00"/>
    <d v="2022-06-09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7693"/>
    <n v="112542.5"/>
    <x v="17"/>
    <n v="7693"/>
  </r>
  <r>
    <n v="15908"/>
    <x v="10"/>
    <n v="77388007000157"/>
    <s v="Botica Comercial Farmaceutica Ltda"/>
    <s v="Sao Jose dos Pinhais"/>
    <s v="PR"/>
    <n v="24931"/>
    <x v="18"/>
    <s v="V"/>
    <s v="PE"/>
    <s v="Normal"/>
    <s v="27308 06 G"/>
    <n v="4501263453"/>
    <d v="2021-11-18T00:00:00"/>
    <d v="2022-06-24T00:00:00"/>
    <d v="2022-04-14T00:00:00"/>
    <s v="  /  /  "/>
    <n v="0"/>
    <s v="  /  /  "/>
    <n v="0"/>
    <s v="                                        "/>
    <s v="  /  /  "/>
    <s v="sa669"/>
    <d v="2022-03-21T00:00:00"/>
    <s v="Sem rota"/>
    <n v="944"/>
    <s v="90 DDF Sem Juros"/>
    <n v="0"/>
    <m/>
    <n v="0"/>
    <s v="Logber - Colatina Es"/>
    <s v="CIF"/>
    <n v="5148.55"/>
    <n v="170362.5"/>
    <x v="17"/>
    <n v="5148.55"/>
  </r>
  <r>
    <n v="15059"/>
    <x v="20"/>
    <n v="7593518000397"/>
    <s v="Ccl Industries do Brasil S.A"/>
    <s v="Criciuma"/>
    <s v="SC"/>
    <n v="25489"/>
    <x v="8"/>
    <s v="V"/>
    <s v="PE"/>
    <s v="Normal"/>
    <s v="26887 04 H"/>
    <n v="34739"/>
    <d v="2022-02-18T00:00:00"/>
    <d v="2022-06-24T00:00:00"/>
    <d v="2022-02-18T00:00:00"/>
    <s v="  /  /  "/>
    <n v="0"/>
    <s v="  /  /  "/>
    <n v="0"/>
    <s v="                                        "/>
    <s v="  /  /  "/>
    <s v="sa650"/>
    <d v="2022-03-01T00:00:00"/>
    <s v="Sem rota"/>
    <n v="0"/>
    <m/>
    <n v="0"/>
    <m/>
    <n v="0"/>
    <s v="Logber - Colatina Es"/>
    <s v="CIF"/>
    <n v="9685.7299999999977"/>
    <n v="269069.5"/>
    <x v="17"/>
    <n v="9685.7299999999977"/>
  </r>
  <r>
    <n v="15067"/>
    <x v="3"/>
    <n v="33767574000149"/>
    <s v="Corelog Logistica Ltda"/>
    <s v="Cachoeirinha"/>
    <s v="RS"/>
    <n v="26039"/>
    <x v="12"/>
    <s v="V"/>
    <s v="PE"/>
    <s v="Normal"/>
    <s v="28462 04 D"/>
    <m/>
    <d v="2022-04-29T00:00:00"/>
    <d v="2022-06-24T00:00:00"/>
    <d v="2022-05-04T00:00:00"/>
    <s v="  /  /  "/>
    <n v="0"/>
    <s v="  /  /  "/>
    <n v="0"/>
    <s v="                                        "/>
    <s v="  /  /  "/>
    <s v="sa710"/>
    <d v="2022-05-05T00:00:00"/>
    <s v="Sem rota"/>
    <n v="0"/>
    <m/>
    <n v="0"/>
    <m/>
    <n v="0"/>
    <m/>
    <s v="CIF"/>
    <n v="33011.74"/>
    <n v="586924.63"/>
    <x v="17"/>
    <n v="33011.74"/>
  </r>
  <r>
    <n v="15909"/>
    <x v="15"/>
    <n v="56228356004048"/>
    <s v="Crbs S.A"/>
    <s v="Feira de Santana"/>
    <s v="BA"/>
    <n v="25827"/>
    <x v="8"/>
    <s v="V"/>
    <s v="PE"/>
    <s v="Normal"/>
    <s v="28927 01 A"/>
    <m/>
    <d v="2022-03-31T00:00:00"/>
    <d v="2022-06-24T00:00:00"/>
    <d v="2022-04-04T00:00:00"/>
    <s v="  /  /  "/>
    <n v="0"/>
    <s v="  /  /  "/>
    <n v="0"/>
    <s v="                                        "/>
    <s v="  /  /  "/>
    <m/>
    <s v="/  /"/>
    <s v="Sem rota"/>
    <n v="1300"/>
    <s v="95 Dias S/ Juros"/>
    <n v="0"/>
    <m/>
    <n v="0"/>
    <s v="Logber - Colatina Es"/>
    <s v="CIF"/>
    <n v="19167"/>
    <n v="430574.89"/>
    <x v="17"/>
    <n v="19167"/>
  </r>
  <r>
    <n v="15909"/>
    <x v="15"/>
    <n v="10970887014405"/>
    <s v="Fedex Brasil Logistica e Transporte Ltda"/>
    <s v="Viana"/>
    <s v="ES"/>
    <n v="23827"/>
    <x v="12"/>
    <s v="V"/>
    <s v="FP"/>
    <s v="Normal"/>
    <s v="25052 01 A"/>
    <n v="2021021274"/>
    <d v="2021-05-14T00:00:00"/>
    <d v="2022-06-24T00:00:00"/>
    <d v="2021-06-28T00:00:00"/>
    <d v="2022-05-23T00:00:00"/>
    <n v="6843"/>
    <d v="2022-05-23T00:00:00"/>
    <n v="6845"/>
    <s v="                                        "/>
    <s v="  /  /  "/>
    <s v="sa690"/>
    <d v="2022-04-11T00:00:00"/>
    <s v="Sem rota"/>
    <n v="0"/>
    <m/>
    <n v="0"/>
    <m/>
    <n v="0"/>
    <s v="Logber - Colatina Es"/>
    <s v="CIF"/>
    <n v="24290.420000000002"/>
    <n v="1150485.45"/>
    <x v="17"/>
    <n v="24290.420000000002"/>
  </r>
  <r>
    <n v="15057"/>
    <x v="0"/>
    <n v="7206816007390"/>
    <s v="M Dias Branco S.A Ind e Com de Aliments"/>
    <s v="Guarulhos"/>
    <s v="SP"/>
    <n v="25553"/>
    <x v="12"/>
    <s v="V"/>
    <s v="FP"/>
    <s v="Normal"/>
    <s v="28705 02 D"/>
    <n v="1799919"/>
    <d v="2022-02-28T00:00:00"/>
    <d v="2022-06-24T00:00:00"/>
    <d v="2022-06-02T00:00:00"/>
    <d v="2022-05-26T00:00:00"/>
    <n v="6896"/>
    <d v="2022-06-02T00:00:00"/>
    <n v="7027"/>
    <s v="                                        "/>
    <s v="  /  /  "/>
    <s v="sa654"/>
    <d v="2022-03-08T00:00:00"/>
    <s v="Sem rota"/>
    <n v="879"/>
    <s v="60 Ddf S/j"/>
    <n v="0"/>
    <m/>
    <n v="0"/>
    <s v="Logber - Colatina Es"/>
    <s v="CIF"/>
    <n v="5508.74"/>
    <n v="98298.17"/>
    <x v="17"/>
    <n v="5508.74"/>
  </r>
  <r>
    <n v="15064"/>
    <x v="17"/>
    <n v="47960950166607"/>
    <s v="Magazine Luiza S.A"/>
    <s v="Duque de Caxias"/>
    <s v="RJ"/>
    <n v="26323"/>
    <x v="7"/>
    <s v="V"/>
    <s v="PE"/>
    <s v="Normal"/>
    <s v="30028 00 B"/>
    <n v="4171581"/>
    <d v="2022-06-07T00:00:00"/>
    <d v="2022-06-24T00:00:00"/>
    <d v="2022-06-07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s v="Logber - Colatina Es"/>
    <s v="CIF"/>
    <n v="5454.6440000000002"/>
    <n v="47469.19"/>
    <x v="17"/>
    <n v="5454.6440000000002"/>
  </r>
  <r>
    <n v="15073"/>
    <x v="16"/>
    <n v="29050381000103"/>
    <s v="Mec G Store Ltda"/>
    <s v="Santo Andre"/>
    <s v="SP"/>
    <n v="26004"/>
    <x v="12"/>
    <s v="V"/>
    <s v="PE"/>
    <s v="Normal"/>
    <s v="29453 01 C"/>
    <m/>
    <d v="2022-04-28T00:00:00"/>
    <d v="2022-06-24T00:00:00"/>
    <d v="2022-04-29T00:00:00"/>
    <s v="  /  /  "/>
    <n v="0"/>
    <s v="  /  /  "/>
    <n v="0"/>
    <s v="                                        "/>
    <s v="  /  /  "/>
    <s v="sa704"/>
    <d v="2022-05-02T00:00:00"/>
    <s v="Sem rota"/>
    <n v="2257"/>
    <s v="40% Conf/30%14ddf/saldo28ddf"/>
    <n v="0"/>
    <m/>
    <n v="0"/>
    <s v="Logber - Colatina Es"/>
    <s v="CIF"/>
    <n v="3127.64"/>
    <n v="65047.5"/>
    <x v="17"/>
    <n v="3127.64"/>
  </r>
  <r>
    <n v="15057"/>
    <x v="0"/>
    <n v="95422218000906"/>
    <s v="Metalurgica Mor S.A"/>
    <s v="Sao Lourenco da Mata"/>
    <s v="PE"/>
    <n v="25499"/>
    <x v="12"/>
    <s v="V"/>
    <s v="PE"/>
    <s v="Normal"/>
    <s v="28378 00 B"/>
    <n v="236517"/>
    <d v="2022-02-22T00:00:00"/>
    <d v="2022-06-24T00:00:00"/>
    <d v="2022-02-23T00:00:00"/>
    <s v="  /  /  "/>
    <n v="0"/>
    <s v="  /  /  "/>
    <n v="0"/>
    <s v="                                        "/>
    <s v="  /  /  "/>
    <s v="sa655"/>
    <d v="2022-03-08T00:00:00"/>
    <s v="Sem rota"/>
    <n v="2235"/>
    <s v="50% Conf e Saldo 28ddf"/>
    <n v="0"/>
    <m/>
    <n v="0"/>
    <s v="Logber - Colatina Es"/>
    <s v="CIF"/>
    <n v="678.16"/>
    <n v="51625"/>
    <x v="17"/>
    <n v="678.16"/>
  </r>
  <r>
    <n v="15074"/>
    <x v="21"/>
    <n v="62545686001206"/>
    <s v="Oxiteno S.A Industria e Comercio"/>
    <s v="Tremembe"/>
    <s v="SP"/>
    <n v="25050"/>
    <x v="8"/>
    <s v="V"/>
    <s v="PE"/>
    <s v="Normal"/>
    <s v="27292 02 C"/>
    <n v="500381"/>
    <d v="2021-12-02T00:00:00"/>
    <d v="2022-06-24T00:00:00"/>
    <d v="2021-12-09T00:00:00"/>
    <s v="  /  /  "/>
    <n v="0"/>
    <s v="  /  /  "/>
    <n v="0"/>
    <s v="                                        "/>
    <s v="  /  /  "/>
    <s v="sa631"/>
    <d v="2022-02-11T00:00:00"/>
    <s v="Sem rota"/>
    <n v="2000"/>
    <s v="28 DDF S/juros"/>
    <n v="0"/>
    <m/>
    <n v="0"/>
    <s v="Logber - Colatina Es"/>
    <s v="CIF"/>
    <n v="1.56"/>
    <n v="17484.36"/>
    <x v="17"/>
    <n v="1.56"/>
  </r>
  <r>
    <n v="15073"/>
    <x v="16"/>
    <n v="60621141000668"/>
    <s v="Paumar S.A - Industria e Comercio"/>
    <s v="Maua"/>
    <s v="SP"/>
    <n v="26014"/>
    <x v="7"/>
    <s v="V"/>
    <s v="PE"/>
    <s v="Normal"/>
    <s v="28792 00 D"/>
    <n v="4512795712"/>
    <d v="2022-04-28T00:00:00"/>
    <d v="2022-06-24T00:00:00"/>
    <d v="2022-04-28T00:00:00"/>
    <s v="  /  /  "/>
    <n v="0"/>
    <s v="  /  /  "/>
    <n v="0"/>
    <s v="                                        "/>
    <s v="  /  /  "/>
    <s v="sa705"/>
    <d v="2022-05-03T00:00:00"/>
    <s v="Sem rota"/>
    <n v="2000"/>
    <s v="28 DDF S/juros"/>
    <n v="0"/>
    <m/>
    <n v="0"/>
    <s v="Logber - Colatina Es"/>
    <s v="CIF"/>
    <n v="36.020000000000003"/>
    <n v="6416.99"/>
    <x v="17"/>
    <n v="36.020000000000003"/>
  </r>
  <r>
    <n v="15067"/>
    <x v="3"/>
    <n v="4522379000665"/>
    <s v="Qualicoco Ltda"/>
    <s v="Rio Largo"/>
    <s v="AL"/>
    <n v="26333"/>
    <x v="12"/>
    <s v="V"/>
    <s v="PE"/>
    <s v="Normal"/>
    <s v="30252 00 A"/>
    <m/>
    <d v="2022-06-08T00:00:00"/>
    <d v="2022-06-24T00:00:00"/>
    <d v="2022-06-08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209"/>
    <n v="5157.34"/>
    <x v="17"/>
    <n v="209"/>
  </r>
  <r>
    <n v="15074"/>
    <x v="21"/>
    <n v="89519706000178"/>
    <s v="Rud Correntes Industriais Ltda"/>
    <s v="Mogi das Cruzes"/>
    <s v="SP"/>
    <n v="25567"/>
    <x v="12"/>
    <s v="V"/>
    <s v="PE"/>
    <s v="Normal"/>
    <s v="28713 02 C"/>
    <n v="67548"/>
    <d v="2022-03-03T00:00:00"/>
    <d v="2022-06-24T00:00:00"/>
    <d v="2022-03-07T00:00:00"/>
    <s v="  /  /  "/>
    <n v="0"/>
    <s v="  /  /  "/>
    <n v="0"/>
    <s v="                                        "/>
    <s v="  /  /  "/>
    <s v="sa658"/>
    <d v="2022-03-09T00:00:00"/>
    <s v="Sem rota"/>
    <n v="0"/>
    <m/>
    <n v="0"/>
    <m/>
    <n v="0"/>
    <s v="Logber - Colatina Es"/>
    <s v="CIF"/>
    <n v="706.30000000000007"/>
    <n v="18068.75"/>
    <x v="17"/>
    <n v="706.30000000000007"/>
  </r>
  <r>
    <n v="15074"/>
    <x v="21"/>
    <n v="89519706000178"/>
    <s v="Rud Correntes Industriais Ltda"/>
    <s v="Mogi das Cruzes"/>
    <s v="SP"/>
    <n v="26255"/>
    <x v="7"/>
    <s v="O"/>
    <s v="PE"/>
    <s v="Normal"/>
    <s v="30117 01 A"/>
    <m/>
    <d v="2022-05-30T00:00:00"/>
    <d v="2022-06-24T00:00:00"/>
    <d v="2022-05-30T00:00:00"/>
    <s v="  /  /  "/>
    <n v="0"/>
    <s v="  /  /  "/>
    <n v="0"/>
    <s v="                                        "/>
    <s v="  /  /  "/>
    <s v="sa750"/>
    <d v="2022-06-03T00:00:00"/>
    <s v="Sem rota"/>
    <n v="77"/>
    <s v="Brindes"/>
    <n v="0"/>
    <m/>
    <n v="0"/>
    <s v="Logber - Colatina Es"/>
    <s v="CIF"/>
    <n v="0"/>
    <n v="1765.58"/>
    <x v="17"/>
    <n v="0"/>
  </r>
  <r>
    <n v="15080"/>
    <x v="29"/>
    <n v="4053268000142"/>
    <s v="Wise Plasticos S.A"/>
    <s v="Itatiba"/>
    <s v="SP"/>
    <n v="26106"/>
    <x v="12"/>
    <s v="V"/>
    <s v="PE"/>
    <s v="Normal"/>
    <s v="29255 00 B"/>
    <s v="073994/1"/>
    <d v="2022-05-11T00:00:00"/>
    <d v="2022-06-24T00:00:00"/>
    <d v="2022-05-11T00:00:00"/>
    <s v="  /  /  "/>
    <n v="0"/>
    <s v="  /  /  "/>
    <n v="0"/>
    <s v="                                        "/>
    <s v="  /  /  "/>
    <s v="sa728"/>
    <d v="2022-05-17T00:00:00"/>
    <s v="Sem rota"/>
    <n v="191"/>
    <s v="30/60/90 DDF Sem Juros"/>
    <n v="0"/>
    <m/>
    <n v="0"/>
    <s v="Logber - Colatina Es"/>
    <s v="CIF"/>
    <n v="994.3"/>
    <n v="30975"/>
    <x v="17"/>
    <n v="994.3"/>
  </r>
  <r>
    <n v="15909"/>
    <x v="15"/>
    <n v="77388007000157"/>
    <s v="Botica Comercial Farmaceutica Ltda"/>
    <s v="Sao Jose dos Pinhais"/>
    <s v="PR"/>
    <n v="25602"/>
    <x v="8"/>
    <s v="V"/>
    <s v="PE"/>
    <s v="Normal"/>
    <s v="28633 02 B"/>
    <n v="4501266753"/>
    <d v="2022-03-10T00:00:00"/>
    <d v="2022-06-25T00:00:00"/>
    <d v="2022-03-14T00:00:00"/>
    <s v="  /  /  "/>
    <n v="0"/>
    <s v="  /  /  "/>
    <n v="0"/>
    <s v="                                        "/>
    <s v="  /  /  "/>
    <s v="sa695"/>
    <d v="2022-04-14T00:00:00"/>
    <s v="Sem rota"/>
    <n v="944"/>
    <s v="90 DDF Sem Juros"/>
    <n v="0"/>
    <m/>
    <n v="0"/>
    <s v="Logber - Colatina Es"/>
    <s v="CIF"/>
    <n v="2.7"/>
    <n v="185478.3"/>
    <x v="17"/>
    <n v="2.7"/>
  </r>
  <r>
    <n v="15909"/>
    <x v="15"/>
    <n v="92754738047983"/>
    <s v="Lojas Renner S.A"/>
    <s v="Cabreuva"/>
    <s v="SP"/>
    <n v="26338"/>
    <x v="14"/>
    <s v="O"/>
    <s v="PE"/>
    <s v="Montagem"/>
    <m/>
    <m/>
    <d v="2022-06-09T00:00:00"/>
    <d v="2022-06-27T00:00:00"/>
    <d v="2022-06-09T00:00:00"/>
    <s v="  /  /  "/>
    <n v="0"/>
    <s v="  /  /  "/>
    <n v="0"/>
    <s v="                                        "/>
    <s v="  /  /  "/>
    <s v="sat296"/>
    <d v="2022-06-09T00:00:00"/>
    <s v="Sem rota"/>
    <n v="0"/>
    <m/>
    <n v="0"/>
    <m/>
    <n v="0"/>
    <s v="Logber - Colatina Es"/>
    <s v="CIF"/>
    <s v=""/>
    <n v="117600"/>
    <x v="17"/>
    <s v=""/>
  </r>
  <r>
    <n v="15057"/>
    <x v="0"/>
    <n v="1554846000136"/>
    <s v="Tramontina Teec S/A"/>
    <s v="Carlos Barbosa"/>
    <s v="RS"/>
    <n v="25941"/>
    <x v="11"/>
    <s v="O"/>
    <s v="PE"/>
    <s v="Calculo"/>
    <m/>
    <m/>
    <d v="2022-04-19T00:00:00"/>
    <d v="2022-06-27T00:00:00"/>
    <d v="2022-04-25T00:00:00"/>
    <s v="  /  /  "/>
    <n v="0"/>
    <s v="  /  /  "/>
    <n v="0"/>
    <s v="                                        "/>
    <s v="  /  /  "/>
    <s v="sat261"/>
    <d v="2022-04-25T00:00:00"/>
    <s v="Sem rota"/>
    <n v="0"/>
    <m/>
    <n v="0"/>
    <m/>
    <n v="0"/>
    <s v="Logber - Colatina Es"/>
    <s v="CIF"/>
    <n v="0"/>
    <n v="19950"/>
    <x v="17"/>
    <n v="0"/>
  </r>
  <r>
    <n v="15055"/>
    <x v="4"/>
    <n v="11507415000253"/>
    <s v="Industrias Reunidas Raymundo da Fonte S."/>
    <s v="Salvador"/>
    <s v="BA"/>
    <n v="24850"/>
    <x v="21"/>
    <s v="V"/>
    <s v="PE"/>
    <s v="Normal"/>
    <s v="27337 01 B"/>
    <n v="110720"/>
    <d v="2021-11-05T00:00:00"/>
    <d v="2022-06-28T00:00:00"/>
    <d v="2021-12-06T00:00:00"/>
    <s v="  /  /  "/>
    <n v="0"/>
    <s v="  /  /  "/>
    <n v="0"/>
    <s v="                                        "/>
    <s v="  /  /  "/>
    <s v="sa615"/>
    <d v="2022-02-04T00:00:00"/>
    <s v="Sem rota"/>
    <n v="0"/>
    <m/>
    <n v="0"/>
    <m/>
    <n v="0"/>
    <s v="Logber - Colatina Es"/>
    <s v="CIF"/>
    <n v="85.47"/>
    <n v="880000.2"/>
    <x v="17"/>
    <n v="85.47"/>
  </r>
  <r>
    <n v="15063"/>
    <x v="23"/>
    <n v="12892415001097"/>
    <s v="Frisa Comercial S.A"/>
    <s v="Guarapari"/>
    <s v="ES"/>
    <n v="23923"/>
    <x v="8"/>
    <s v="V"/>
    <s v="PE"/>
    <s v="Normal"/>
    <s v="24787 03 D"/>
    <n v="21"/>
    <d v="2021-06-07T00:00:00"/>
    <d v="2022-06-29T00:00:00"/>
    <d v="2021-07-09T00:00:00"/>
    <s v="  /  /  "/>
    <n v="0"/>
    <s v="  /  /  "/>
    <n v="0"/>
    <s v="                                        "/>
    <s v="  /  /  "/>
    <s v="sa499"/>
    <d v="2021-09-22T00:00:00"/>
    <s v="Sem rota"/>
    <n v="2257"/>
    <s v="40% Conf/30%14ddf/saldo28ddf"/>
    <n v="0"/>
    <m/>
    <n v="0"/>
    <s v="Logber - Colatina Es"/>
    <s v="CIF"/>
    <n v="49.5"/>
    <n v="28207.9"/>
    <x v="17"/>
    <n v="49.5"/>
  </r>
  <r>
    <n v="15057"/>
    <x v="0"/>
    <n v="3853896000220"/>
    <s v="Marfrig Global Foods S.A"/>
    <s v="Bataguassu"/>
    <s v="MS"/>
    <n v="24515"/>
    <x v="10"/>
    <s v="V"/>
    <s v="FP"/>
    <s v="Normal"/>
    <s v="24492 08 I"/>
    <n v="170937"/>
    <d v="2021-09-23T00:00:00"/>
    <d v="2022-06-29T00:00:00"/>
    <d v="2022-06-07T00:00:00"/>
    <d v="2022-03-24T00:00:00"/>
    <n v="5982"/>
    <d v="2022-05-21T00:00:00"/>
    <n v="6829"/>
    <s v="                                        "/>
    <s v="  /  /  "/>
    <s v="sa542"/>
    <d v="2021-11-16T00:00:00"/>
    <s v="Sem rota"/>
    <n v="0"/>
    <m/>
    <n v="0"/>
    <m/>
    <n v="0"/>
    <s v="Logber - Colatina Es"/>
    <s v="CIF"/>
    <n v="178.54"/>
    <n v="24306.91"/>
    <x v="17"/>
    <n v="178.54"/>
  </r>
  <r>
    <n v="15066"/>
    <x v="18"/>
    <n v="64858525010299"/>
    <s v="Monsanto do Brasil Ltda"/>
    <s v="Paracatu"/>
    <s v="MG"/>
    <n v="26047"/>
    <x v="6"/>
    <s v="O"/>
    <s v="PE"/>
    <s v="Envio de Material de Venda"/>
    <m/>
    <n v="64858525010299"/>
    <d v="2022-05-03T00:00:00"/>
    <d v="2022-06-29T00:00:00"/>
    <d v="2022-05-04T00:00:00"/>
    <s v="  /  /  "/>
    <n v="0"/>
    <s v="  /  /  "/>
    <n v="0"/>
    <s v="                                        "/>
    <s v="  /  /  "/>
    <s v="sat268"/>
    <d v="2022-05-04T00:00:00"/>
    <s v="Sem rota"/>
    <n v="0"/>
    <m/>
    <n v="0"/>
    <m/>
    <n v="0"/>
    <s v="Logber - Colatina Es"/>
    <s v="CIF"/>
    <n v="3690.3900000000003"/>
    <n v="150006.76"/>
    <x v="17"/>
    <n v="3690.3900000000003"/>
  </r>
  <r>
    <n v="15077"/>
    <x v="30"/>
    <n v="66573759000171"/>
    <s v="Eletroleste Com Imp Mat Eletrico Ltda"/>
    <s v="Sao Paulo"/>
    <s v="SP"/>
    <n v="25669"/>
    <x v="12"/>
    <s v="V"/>
    <s v="PE"/>
    <s v="Normal"/>
    <s v="28986 02 C"/>
    <m/>
    <d v="2022-03-18T00:00:00"/>
    <d v="2022-06-30T00:00:00"/>
    <d v="2022-04-11T00:00:00"/>
    <s v="  /  /  "/>
    <n v="0"/>
    <s v="  /  /  "/>
    <n v="0"/>
    <s v="                                        "/>
    <s v="  /  /  "/>
    <s v="sa693"/>
    <d v="2022-04-13T00:00:00"/>
    <s v="Sem rota"/>
    <n v="0"/>
    <m/>
    <n v="0"/>
    <m/>
    <n v="0"/>
    <s v="Logber - Colatina Es"/>
    <s v="CIF"/>
    <n v="16630.39"/>
    <n v="485990.53"/>
    <x v="17"/>
    <n v="16630.39"/>
  </r>
  <r>
    <n v="15077"/>
    <x v="30"/>
    <n v="66573759000171"/>
    <s v="Eletroleste Com Imp Mat Eletrico Ltda"/>
    <s v="Sao Paulo"/>
    <s v="SP"/>
    <n v="25671"/>
    <x v="12"/>
    <s v="V"/>
    <s v="PE"/>
    <s v="Normal"/>
    <s v="28561 03 C"/>
    <m/>
    <d v="2022-03-18T00:00:00"/>
    <d v="2022-06-30T00:00:00"/>
    <d v="2022-04-11T00:00:00"/>
    <s v="  /  /  "/>
    <n v="0"/>
    <s v="  /  /  "/>
    <n v="0"/>
    <s v="                                        "/>
    <s v="  /  /  "/>
    <s v="sa693"/>
    <d v="2022-04-13T00:00:00"/>
    <s v="Sem rota"/>
    <n v="0"/>
    <m/>
    <n v="0"/>
    <m/>
    <n v="0"/>
    <s v="Logber - Colatina Es"/>
    <s v="CIF"/>
    <n v="107940.95000000001"/>
    <n v="1846884.25"/>
    <x v="17"/>
    <n v="107940.95000000001"/>
  </r>
  <r>
    <n v="15077"/>
    <x v="30"/>
    <n v="66573759000171"/>
    <s v="Eletroleste Com Imp Mat Eletrico Ltda"/>
    <s v="Sao Paulo"/>
    <s v="SP"/>
    <n v="25672"/>
    <x v="12"/>
    <s v="V"/>
    <s v="PE"/>
    <s v="Normal"/>
    <s v="28561 03 C"/>
    <m/>
    <d v="2022-03-18T00:00:00"/>
    <d v="2022-06-30T00:00:00"/>
    <d v="2022-04-11T00:00:00"/>
    <s v="  /  /  "/>
    <n v="0"/>
    <s v="  /  /  "/>
    <n v="0"/>
    <s v="                                        "/>
    <s v="  /  /  "/>
    <s v="sa693"/>
    <d v="2022-04-13T00:00:00"/>
    <s v="Sem rota"/>
    <n v="0"/>
    <m/>
    <n v="0"/>
    <m/>
    <n v="0"/>
    <s v="Logber - Colatina Es"/>
    <s v="CIF"/>
    <n v="108270.48"/>
    <n v="1846884.25"/>
    <x v="17"/>
    <n v="108270.48"/>
  </r>
  <r>
    <n v="15051"/>
    <x v="13"/>
    <n v="2473058000188"/>
    <s v="Hafele Brasil Ltda"/>
    <s v="Piraquara"/>
    <s v="PR"/>
    <n v="25825"/>
    <x v="7"/>
    <s v="V"/>
    <s v="PE"/>
    <s v="Normal"/>
    <s v="29212 01 B"/>
    <m/>
    <d v="2022-03-31T00:00:00"/>
    <d v="2022-06-30T00:00:00"/>
    <d v="2022-04-06T00:00:00"/>
    <s v="  /  /  "/>
    <n v="0"/>
    <s v="  /  /  "/>
    <n v="0"/>
    <s v="                                        "/>
    <s v="  /  /  "/>
    <s v="sa686"/>
    <d v="2022-04-08T00:00:00"/>
    <s v="Sem rota"/>
    <n v="0"/>
    <m/>
    <n v="0"/>
    <m/>
    <n v="0"/>
    <s v="Logber - Colatina Es"/>
    <s v="CIF"/>
    <n v="7749.7599999999993"/>
    <n v="356212.5"/>
    <x v="17"/>
    <n v="7749.7599999999993"/>
  </r>
  <r>
    <n v="15909"/>
    <x v="15"/>
    <n v="92754738047983"/>
    <s v="Lojas Renner S.A"/>
    <s v="Cabreuva"/>
    <s v="SP"/>
    <n v="26135"/>
    <x v="14"/>
    <s v="O"/>
    <s v="FP"/>
    <s v="Normal"/>
    <m/>
    <m/>
    <d v="2022-05-16T00:00:00"/>
    <d v="2022-06-30T00:00:00"/>
    <d v="2022-05-23T00:00:00"/>
    <d v="2022-05-27T00:00:00"/>
    <n v="6906"/>
    <d v="2022-06-03T00:00:00"/>
    <n v="7062"/>
    <s v="                                        "/>
    <s v="  /  /  "/>
    <s v="sat283"/>
    <d v="2022-05-23T00:00:00"/>
    <s v="Sem rota"/>
    <n v="0"/>
    <m/>
    <n v="0"/>
    <m/>
    <n v="0"/>
    <m/>
    <s v="CIF"/>
    <n v="0"/>
    <n v="3553567.2"/>
    <x v="17"/>
    <n v="0"/>
  </r>
  <r>
    <n v="15073"/>
    <x v="16"/>
    <n v="7471771000106"/>
    <s v="Postall Transporte Armazenagem Ltda"/>
    <s v="Cotia"/>
    <s v="SP"/>
    <n v="26146"/>
    <x v="12"/>
    <s v="V"/>
    <s v="PE"/>
    <s v="Normal"/>
    <s v="28559 02 F"/>
    <m/>
    <d v="2022-05-17T00:00:00"/>
    <d v="2022-06-30T00:00:00"/>
    <d v="2022-06-01T00:00:00"/>
    <s v="  /  /  "/>
    <n v="0"/>
    <s v="  /  /  "/>
    <n v="0"/>
    <s v="                                        "/>
    <s v="  /  /  "/>
    <s v="sa737"/>
    <d v="2022-05-24T00:00:00"/>
    <s v="Sem rota"/>
    <n v="3012"/>
    <s v="40% Cofirmação / Saldo 30/60"/>
    <n v="0"/>
    <m/>
    <n v="0"/>
    <s v="Logber - Colatina Es"/>
    <s v="CIF"/>
    <n v="90121.66"/>
    <n v="1700000"/>
    <x v="17"/>
    <n v="90121.66"/>
  </r>
  <r>
    <n v="15077"/>
    <x v="30"/>
    <n v="13223553000155"/>
    <s v="Soudal Brasil Ind e Com de Prod Quimcos"/>
    <s v="Barueri"/>
    <s v="SP"/>
    <n v="26023"/>
    <x v="12"/>
    <s v="V"/>
    <s v="PE"/>
    <s v="Normal"/>
    <s v="29219 02 C"/>
    <m/>
    <d v="2022-04-29T00:00:00"/>
    <d v="2022-06-30T00:00:00"/>
    <d v="2022-05-03T00:00:00"/>
    <s v="  /  /  "/>
    <n v="0"/>
    <s v="  /  /  "/>
    <n v="0"/>
    <s v="                                        "/>
    <s v="  /  /  "/>
    <s v="sa705"/>
    <d v="2022-05-03T00:00:00"/>
    <s v="Sem rota"/>
    <n v="2257"/>
    <s v="40% Conf/30%14ddf/saldo28ddf"/>
    <n v="0"/>
    <m/>
    <n v="0"/>
    <s v="Logber - Colatina Es"/>
    <s v="CIF"/>
    <n v="7377.58"/>
    <n v="340725"/>
    <x v="17"/>
    <n v="7377.58"/>
  </r>
  <r>
    <n v="15077"/>
    <x v="30"/>
    <n v="13223553000155"/>
    <s v="Soudal Brasil Ind e Com de Prod Quimcos"/>
    <s v="Barueri"/>
    <s v="SP"/>
    <n v="26125"/>
    <x v="12"/>
    <s v="V"/>
    <s v="PE"/>
    <s v="Normal"/>
    <s v="29808 02 C"/>
    <m/>
    <d v="2022-05-13T00:00:00"/>
    <d v="2022-06-30T00:00:00"/>
    <d v="2022-05-18T00:00:00"/>
    <s v="  /  /  "/>
    <n v="0"/>
    <s v="  /  /  "/>
    <n v="0"/>
    <s v="                                        "/>
    <s v="  /  /  "/>
    <s v="sa732"/>
    <d v="2022-05-19T00:00:00"/>
    <s v="Sem rota"/>
    <n v="2257"/>
    <s v="40% Conf/30%14ddf/saldo28ddf"/>
    <n v="0"/>
    <m/>
    <n v="0"/>
    <s v="Logber - Colatina Es"/>
    <s v="CIF"/>
    <n v="1207.05"/>
    <n v="51212"/>
    <x v="17"/>
    <n v="1207.05"/>
  </r>
  <r>
    <n v="15067"/>
    <x v="3"/>
    <n v="212675000366"/>
    <s v="Abt Comercial Eletrica Ltda"/>
    <s v="Porto Alegre"/>
    <s v="RS"/>
    <n v="25764"/>
    <x v="7"/>
    <s v="V"/>
    <s v="PE"/>
    <s v="Normal"/>
    <s v="28084 02 C"/>
    <m/>
    <d v="2022-03-29T00:00:00"/>
    <d v="2022-07-01T00:00:00"/>
    <d v="2022-03-31T00:00:00"/>
    <s v="  /  /  "/>
    <n v="0"/>
    <s v="  /  /  "/>
    <n v="0"/>
    <s v="                                        "/>
    <s v="  /  /  "/>
    <s v="sa682"/>
    <d v="2022-04-05T00:00:00"/>
    <s v="Sem rota"/>
    <n v="0"/>
    <m/>
    <n v="0"/>
    <m/>
    <n v="0"/>
    <s v="Logber - Colatina Es"/>
    <s v="CIF"/>
    <n v="589.04"/>
    <n v="27418.04"/>
    <x v="18"/>
    <n v="589.04"/>
  </r>
  <r>
    <n v="15057"/>
    <x v="0"/>
    <n v="14235268000117"/>
    <s v="Alaor Jose Cirolini Ltda"/>
    <s v="Restinga Seca"/>
    <s v="RS"/>
    <n v="25725"/>
    <x v="12"/>
    <s v="V"/>
    <s v="PE"/>
    <s v="Normal"/>
    <s v="29108 02 B"/>
    <m/>
    <d v="2022-03-25T00:00:00"/>
    <d v="2022-07-01T00:00:00"/>
    <d v="2022-03-29T00:00:00"/>
    <s v="  /  /  "/>
    <n v="0"/>
    <s v="  /  /  "/>
    <n v="0"/>
    <s v="                                        "/>
    <s v="  /  /  "/>
    <s v="sa679"/>
    <d v="2022-04-12T00:00:00"/>
    <s v="Sem rota"/>
    <n v="2235"/>
    <s v="50% Conf e Saldo 28ddf"/>
    <n v="0"/>
    <m/>
    <n v="0"/>
    <s v="Logber - Colatina Es"/>
    <s v="CIF"/>
    <n v="1286.5"/>
    <n v="47768.67"/>
    <x v="18"/>
    <n v="1286.5"/>
  </r>
  <r>
    <n v="15054"/>
    <x v="2"/>
    <n v="22488292000196"/>
    <s v="Aqualis Solucoes Em Higiene Ltda Me"/>
    <s v="Goiania"/>
    <s v="GO"/>
    <n v="25612"/>
    <x v="8"/>
    <s v="V"/>
    <s v="PE"/>
    <s v="Normal"/>
    <s v="25777 04 D"/>
    <m/>
    <d v="2022-03-11T00:00:00"/>
    <d v="2022-07-01T00:00:00"/>
    <d v="2022-03-17T00:00:00"/>
    <s v="  /  /  "/>
    <n v="0"/>
    <s v="  /  /  "/>
    <n v="0"/>
    <s v="                                        "/>
    <s v="  /  /  "/>
    <s v="sa667"/>
    <d v="2022-03-18T00:00:00"/>
    <s v="Sem rota"/>
    <n v="2257"/>
    <s v="40% Conf/30%14ddf/saldo28ddf"/>
    <n v="0"/>
    <m/>
    <n v="0"/>
    <s v="Logber - Colatina Es"/>
    <s v="CIF"/>
    <n v="5905.48"/>
    <n v="242048.98"/>
    <x v="18"/>
    <n v="5905.48"/>
  </r>
  <r>
    <n v="15063"/>
    <x v="23"/>
    <n v="16590234002543"/>
    <s v="Arezzo Industria e Comercio S.A"/>
    <s v="Cariacica"/>
    <s v="ES"/>
    <n v="26028"/>
    <x v="8"/>
    <s v="V"/>
    <s v="PE"/>
    <s v="Normal"/>
    <s v="29169 04 D"/>
    <n v="4500830689"/>
    <d v="2022-04-29T00:00:00"/>
    <d v="2022-07-01T00:00:00"/>
    <d v="2022-05-17T00:00:00"/>
    <s v="  /  /  "/>
    <n v="0"/>
    <s v="  /  /  "/>
    <n v="0"/>
    <s v="                                        "/>
    <s v="  /  /  "/>
    <s v="sa727"/>
    <d v="2022-05-16T00:00:00"/>
    <s v="Sem rota"/>
    <n v="0"/>
    <m/>
    <n v="0"/>
    <m/>
    <n v="0"/>
    <s v="Logber - Colatina Es"/>
    <s v="CIF"/>
    <n v="46168.2"/>
    <n v="1553415.37"/>
    <x v="18"/>
    <n v="46168.2"/>
  </r>
  <r>
    <n v="15063"/>
    <x v="23"/>
    <n v="16590234002543"/>
    <s v="Arezzo Industria e Comercio S.A"/>
    <s v="Cariacica"/>
    <s v="ES"/>
    <n v="26029"/>
    <x v="18"/>
    <s v="V"/>
    <s v="PE"/>
    <s v="Normal"/>
    <s v="29169 04 D"/>
    <n v="4500830689"/>
    <d v="2022-04-29T00:00:00"/>
    <d v="2022-07-01T00:00:00"/>
    <d v="2022-06-07T00:00:00"/>
    <s v="  /  /  "/>
    <n v="0"/>
    <s v="  /  /  "/>
    <n v="0"/>
    <s v="                                        "/>
    <s v="  /  /  "/>
    <s v="sa749"/>
    <d v="2022-06-01T00:00:00"/>
    <s v="Sem rota"/>
    <n v="0"/>
    <m/>
    <n v="0"/>
    <m/>
    <n v="0"/>
    <s v="Logber - Colatina Es"/>
    <s v="CIF"/>
    <n v="40875.880000000012"/>
    <n v="1055357.21"/>
    <x v="18"/>
    <n v="40875.880000000012"/>
  </r>
  <r>
    <n v="15063"/>
    <x v="23"/>
    <n v="12377080000188"/>
    <s v="Atacado Uniao Ltda"/>
    <s v="Serra"/>
    <s v="ES"/>
    <n v="25728"/>
    <x v="7"/>
    <s v="V"/>
    <s v="PE"/>
    <s v="Normal"/>
    <s v="28665 00 B"/>
    <n v="884780"/>
    <d v="2022-03-25T00:00:00"/>
    <d v="2022-07-01T00:00:00"/>
    <d v="2022-03-25T00:00:00"/>
    <s v="  /  /  "/>
    <n v="0"/>
    <s v="  /  /  "/>
    <n v="0"/>
    <s v="                                        "/>
    <s v="  /  /  "/>
    <s v="sa679"/>
    <d v="2022-04-12T00:00:00"/>
    <s v="Sem rota"/>
    <n v="191"/>
    <s v="30/60/90 DDF Sem Juros"/>
    <n v="0"/>
    <m/>
    <n v="0"/>
    <s v="Logber - Colatina Es"/>
    <s v="CIF"/>
    <n v="96.710000000000008"/>
    <n v="6442.8"/>
    <x v="18"/>
    <n v="96.710000000000008"/>
  </r>
  <r>
    <n v="15067"/>
    <x v="3"/>
    <n v="8603476000129"/>
    <s v="Basf Comercio de Alimentos Ltda"/>
    <s v="Porto Alegre"/>
    <s v="RS"/>
    <n v="25744"/>
    <x v="12"/>
    <s v="V"/>
    <s v="PE"/>
    <s v="Normal"/>
    <s v="27914 02 C"/>
    <m/>
    <d v="2022-03-28T00:00:00"/>
    <d v="2022-07-01T00:00:00"/>
    <d v="2022-03-30T00:00:00"/>
    <s v="  /  /  "/>
    <n v="0"/>
    <s v="  /  /  "/>
    <n v="0"/>
    <s v="                                        "/>
    <s v="  /  /  "/>
    <s v="sa679"/>
    <d v="2022-04-12T00:00:00"/>
    <s v="Sem rota"/>
    <n v="0"/>
    <m/>
    <n v="0"/>
    <m/>
    <n v="0"/>
    <s v="Logber - Colatina Es"/>
    <s v="CIF"/>
    <n v="1912.5400000000002"/>
    <n v="76921.25"/>
    <x v="18"/>
    <n v="1912.5400000000002"/>
  </r>
  <r>
    <n v="15059"/>
    <x v="20"/>
    <n v="10447904000113"/>
    <s v="Blutrade Imp e Exp de Produtos Graficos"/>
    <s v="Blumenau"/>
    <s v="SC"/>
    <n v="25615"/>
    <x v="7"/>
    <s v="V"/>
    <s v="PE"/>
    <s v="Normal"/>
    <s v="28515 04 E"/>
    <m/>
    <d v="2022-03-11T00:00:00"/>
    <d v="2022-07-01T00:00:00"/>
    <d v="2022-03-29T00:00:00"/>
    <s v="  /  /  "/>
    <n v="0"/>
    <s v="  /  /  "/>
    <n v="0"/>
    <s v="                                        "/>
    <s v="  /  /  "/>
    <s v="sa679"/>
    <d v="2022-04-12T00:00:00"/>
    <s v="Sem rota"/>
    <n v="0"/>
    <m/>
    <n v="0"/>
    <m/>
    <n v="0"/>
    <s v="Logber - Colatina Es"/>
    <s v="CIF"/>
    <n v="1162.01"/>
    <n v="37644.949999999997"/>
    <x v="18"/>
    <n v="1162.01"/>
  </r>
  <r>
    <n v="15020"/>
    <x v="7"/>
    <n v="0"/>
    <s v="Corin S.a."/>
    <s v="Montevideo"/>
    <s v="EX"/>
    <n v="24588"/>
    <x v="10"/>
    <s v="V"/>
    <s v="PE"/>
    <s v="Normal"/>
    <s v="27131 05 F"/>
    <m/>
    <d v="2021-09-30T00:00:00"/>
    <d v="2022-07-01T00:00:00"/>
    <d v="2022-03-22T00:00:00"/>
    <s v="  /  /  "/>
    <n v="0"/>
    <s v="  /  /  "/>
    <n v="0"/>
    <s v="                                        "/>
    <s v="  /  /  "/>
    <s v="sa665"/>
    <d v="2022-03-22T00:00:00"/>
    <s v="Sem rota"/>
    <n v="0"/>
    <m/>
    <n v="0"/>
    <m/>
    <n v="0"/>
    <m/>
    <s v="FCA"/>
    <n v="3871.8"/>
    <n v="1956120"/>
    <x v="18"/>
    <n v="3871.8"/>
  </r>
  <r>
    <n v="15077"/>
    <x v="30"/>
    <n v="66573759000171"/>
    <s v="Eletroleste Com Imp Mat Eletrico Ltda"/>
    <s v="Sao Paulo"/>
    <s v="SP"/>
    <n v="25748"/>
    <x v="12"/>
    <s v="V"/>
    <s v="PE"/>
    <s v="Normal"/>
    <s v="29082 03 C"/>
    <m/>
    <d v="2022-03-28T00:00:00"/>
    <d v="2022-07-01T00:00:00"/>
    <d v="2022-04-14T00:00:00"/>
    <s v="  /  /  "/>
    <n v="0"/>
    <s v="  /  /  "/>
    <n v="0"/>
    <s v="                                        "/>
    <s v="  /  /  "/>
    <s v="sa698"/>
    <d v="2022-04-18T00:00:00"/>
    <s v="Sem rota"/>
    <n v="0"/>
    <m/>
    <n v="0"/>
    <m/>
    <n v="0"/>
    <s v="Logber - Colatina Es"/>
    <s v="CIF"/>
    <n v="66849.3"/>
    <n v="1169337.3500000001"/>
    <x v="18"/>
    <n v="66849.3"/>
  </r>
  <r>
    <n v="15063"/>
    <x v="23"/>
    <n v="10921911000709"/>
    <s v="Fortlev Industria e Comercio de Plastico"/>
    <s v="Araquari"/>
    <s v="SC"/>
    <n v="25775"/>
    <x v="7"/>
    <s v="V"/>
    <s v="PE"/>
    <s v="Normal"/>
    <s v="27645 03 C"/>
    <m/>
    <d v="2022-03-30T00:00:00"/>
    <d v="2022-07-01T00:00:00"/>
    <d v="2022-04-26T00:00:00"/>
    <s v="  /  /  "/>
    <n v="0"/>
    <s v="  /  /  "/>
    <n v="0"/>
    <s v="                                        "/>
    <s v="  /  /  "/>
    <s v="sa701"/>
    <d v="2022-04-27T00:00:00"/>
    <s v="Sem rota"/>
    <n v="2257"/>
    <s v="40% Conf/30%14ddf/saldo28ddf"/>
    <n v="0"/>
    <m/>
    <n v="0"/>
    <s v="Logber - Colatina Es"/>
    <s v="CIF"/>
    <n v="12637.11"/>
    <n v="319364.64"/>
    <x v="18"/>
    <n v="12637.11"/>
  </r>
  <r>
    <n v="15054"/>
    <x v="2"/>
    <n v="41247590000139"/>
    <s v="Frutos do Centro Oeste Ltda"/>
    <s v="Goiania"/>
    <s v="GO"/>
    <n v="25603"/>
    <x v="8"/>
    <s v="V"/>
    <s v="PE"/>
    <s v="Normal"/>
    <s v="28811 03 C"/>
    <m/>
    <d v="2022-03-10T00:00:00"/>
    <d v="2022-07-01T00:00:00"/>
    <d v="2022-03-15T00:00:00"/>
    <s v="  /  /  "/>
    <n v="0"/>
    <s v="  /  /  "/>
    <n v="0"/>
    <s v="                                        "/>
    <s v="  /  /  "/>
    <s v="sa664"/>
    <d v="2022-03-17T00:00:00"/>
    <s v="Sem rota"/>
    <n v="2257"/>
    <s v="40% Conf/30%14ddf/saldo28ddf"/>
    <n v="0"/>
    <m/>
    <n v="0"/>
    <s v="Logber - Colatina Es"/>
    <s v="CIF"/>
    <n v="1226.9000000000001"/>
    <n v="87246.25"/>
    <x v="18"/>
    <n v="1226.9000000000001"/>
  </r>
  <r>
    <n v="15020"/>
    <x v="7"/>
    <n v="0"/>
    <s v="Industrias de Aceite S.a."/>
    <s v="Santa Cruz"/>
    <s v="EX"/>
    <n v="25872"/>
    <x v="6"/>
    <s v="V"/>
    <s v="PE"/>
    <s v="Normal"/>
    <s v="22081 00 A"/>
    <m/>
    <d v="2022-04-06T00:00:00"/>
    <d v="2022-07-01T00:00:00"/>
    <d v="2022-04-06T00:00:00"/>
    <s v="  /  /  "/>
    <n v="0"/>
    <s v="  /  /  "/>
    <n v="0"/>
    <s v="                                        "/>
    <s v="  /  /  "/>
    <s v="sa699"/>
    <d v="2022-04-20T00:00:00"/>
    <s v="Sem rota"/>
    <n v="0"/>
    <m/>
    <n v="0"/>
    <m/>
    <n v="0"/>
    <m/>
    <s v="FCA"/>
    <n v="99.75"/>
    <n v="57040.46"/>
    <x v="18"/>
    <n v="99.75"/>
  </r>
  <r>
    <n v="15059"/>
    <x v="20"/>
    <n v="82901000001603"/>
    <s v="Intelbras S/A - Ind D Telecom Eletr Br"/>
    <s v="Santa Rita do Sapucai"/>
    <s v="MG"/>
    <n v="25635"/>
    <x v="8"/>
    <s v="V"/>
    <s v="FP"/>
    <s v="Normal"/>
    <s v="28158 01 B"/>
    <n v="560606"/>
    <d v="2022-03-15T00:00:00"/>
    <d v="2022-07-01T00:00:00"/>
    <d v="2022-03-15T00:00:00"/>
    <d v="2022-06-09T00:00:00"/>
    <n v="7110"/>
    <d v="2022-06-09T00:00:00"/>
    <n v="7110"/>
    <s v="                                        "/>
    <s v="  /  /  "/>
    <s v="sa671"/>
    <d v="2022-03-22T00:00:00"/>
    <s v="Sem rota"/>
    <n v="2001"/>
    <s v="14/28 DDF S/juros"/>
    <n v="0"/>
    <m/>
    <n v="0"/>
    <s v="Logber - Colatina Es"/>
    <s v="CIF"/>
    <n v="11738.49"/>
    <n v="489893.1"/>
    <x v="18"/>
    <n v="11738.49"/>
  </r>
  <r>
    <n v="15066"/>
    <x v="18"/>
    <n v="7361225000112"/>
    <s v="Marca Agro Mercantil Ltda"/>
    <s v="Uberaba"/>
    <s v="MG"/>
    <n v="25754"/>
    <x v="12"/>
    <s v="V"/>
    <s v="PE"/>
    <s v="Normal"/>
    <s v="29098 01 D"/>
    <m/>
    <d v="2022-03-28T00:00:00"/>
    <d v="2022-07-01T00:00:00"/>
    <d v="2022-04-11T00:00:00"/>
    <s v="  /  /  "/>
    <n v="0"/>
    <s v="  /  /  "/>
    <n v="0"/>
    <s v="                                        "/>
    <s v="  /  /  "/>
    <s v="sa694"/>
    <d v="2022-04-13T00:00:00"/>
    <s v="Sem rota"/>
    <n v="2257"/>
    <s v="40% Conf/30%14ddf/saldo28ddf"/>
    <n v="0"/>
    <m/>
    <n v="0"/>
    <s v="Logber - Colatina Es"/>
    <s v="CIF"/>
    <n v="35935.379999999997"/>
    <n v="740663.88"/>
    <x v="18"/>
    <n v="35935.379999999997"/>
  </r>
  <r>
    <n v="15057"/>
    <x v="0"/>
    <n v="95422218000906"/>
    <s v="Metalurgica Mor S.A"/>
    <s v="Sao Lourenco da Mata"/>
    <s v="PE"/>
    <n v="26115"/>
    <x v="11"/>
    <s v="V"/>
    <s v="PE"/>
    <s v="Normal"/>
    <s v="29780 00 B"/>
    <n v="241162"/>
    <d v="2022-05-12T00:00:00"/>
    <d v="2022-07-01T00:00:00"/>
    <d v="2022-05-12T00:00:00"/>
    <s v="  /  /  "/>
    <n v="0"/>
    <s v="  /  /  "/>
    <n v="0"/>
    <s v="                                        "/>
    <s v="  /  /  "/>
    <s v="sa728"/>
    <d v="2022-05-17T00:00:00"/>
    <s v="Sem rota"/>
    <n v="208"/>
    <s v="14 Ddf  S/juros"/>
    <n v="0"/>
    <m/>
    <n v="0"/>
    <s v="Logber - Colatina Es"/>
    <s v="CIF"/>
    <n v="17.259999999999998"/>
    <n v="1755.25"/>
    <x v="18"/>
    <n v="17.259999999999998"/>
  </r>
  <r>
    <n v="15052"/>
    <x v="25"/>
    <n v="47078704000140"/>
    <s v="Mustang Pluron Quimica Ltda"/>
    <s v="Catanduva"/>
    <s v="SP"/>
    <n v="25721"/>
    <x v="7"/>
    <s v="V"/>
    <s v="PE"/>
    <s v="Normal"/>
    <s v="28983 01 B"/>
    <m/>
    <d v="2022-03-25T00:00:00"/>
    <d v="2022-07-01T00:00:00"/>
    <d v="2022-04-04T00:00:00"/>
    <s v="  /  /  "/>
    <n v="0"/>
    <s v="  /  /  "/>
    <n v="0"/>
    <s v="                                        "/>
    <s v="  /  /  "/>
    <s v="sa686"/>
    <d v="2022-04-08T00:00:00"/>
    <s v="Sem rota"/>
    <n v="2186"/>
    <s v="30%conf. Saldo30/60 Ddf"/>
    <n v="0"/>
    <m/>
    <n v="0"/>
    <s v="Logber - Colatina Es"/>
    <s v="CIF"/>
    <n v="134.69"/>
    <n v="14764.75"/>
    <x v="18"/>
    <n v="134.69"/>
  </r>
  <r>
    <n v="15067"/>
    <x v="3"/>
    <n v="92665611000177"/>
    <s v="Dimed S/A Distribuidora de Medicamentos"/>
    <s v="Eldorado do Sul"/>
    <s v="RS"/>
    <n v="25766"/>
    <x v="12"/>
    <s v="V"/>
    <s v="PE"/>
    <s v="Normal"/>
    <s v="28349 02 C"/>
    <m/>
    <d v="2022-03-29T00:00:00"/>
    <d v="2022-07-01T00:00:00"/>
    <d v="2022-04-18T00:00:00"/>
    <s v="  /  /  "/>
    <n v="0"/>
    <s v="  /  /  "/>
    <n v="0"/>
    <s v="                                        "/>
    <s v="  /  /  "/>
    <s v="sa697"/>
    <d v="2022-04-18T00:00:00"/>
    <s v="Sem rota"/>
    <n v="2257"/>
    <s v="40% Conf/30%14ddf/saldo28ddf"/>
    <n v="0"/>
    <m/>
    <n v="0"/>
    <s v="Logber - Colatina Es"/>
    <s v="CIF"/>
    <n v="604.75"/>
    <n v="185850"/>
    <x v="18"/>
    <n v="604.75"/>
  </r>
  <r>
    <n v="15074"/>
    <x v="21"/>
    <n v="934286000182"/>
    <s v="Snf Brasil Comercial Química Eireli"/>
    <s v="Guarulhos"/>
    <s v="SP"/>
    <n v="25893"/>
    <x v="7"/>
    <s v="V"/>
    <s v="PE"/>
    <s v="Normal"/>
    <s v="17127 04 F"/>
    <m/>
    <d v="2022-04-11T00:00:00"/>
    <d v="2022-07-01T00:00:00"/>
    <d v="2022-05-24T00:00:00"/>
    <s v="  /  /  "/>
    <n v="0"/>
    <s v="  /  /  "/>
    <n v="0"/>
    <s v="                                        "/>
    <s v="  /  /  "/>
    <s v="sa739"/>
    <d v="2022-05-25T00:00:00"/>
    <s v="Sem rota"/>
    <n v="2257"/>
    <s v="40% Conf/30%14ddf/saldo28ddf"/>
    <n v="0"/>
    <m/>
    <n v="0"/>
    <s v="Logber - Colatina Es"/>
    <s v="CIF"/>
    <n v="15437.45"/>
    <n v="313105.63"/>
    <x v="18"/>
    <n v="15437.45"/>
  </r>
  <r>
    <n v="15909"/>
    <x v="15"/>
    <n v="92754738047983"/>
    <s v="Lojas Renner S.A"/>
    <s v="Cabreuva"/>
    <s v="SP"/>
    <n v="26297"/>
    <x v="15"/>
    <s v="V"/>
    <s v="PE"/>
    <s v="Normal"/>
    <s v="29752 00 A"/>
    <m/>
    <d v="2022-05-31T00:00:00"/>
    <d v="2022-07-06T00:00:00"/>
    <d v="2022-06-06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s v="Logber - Colatina Es"/>
    <s v="CIF"/>
    <n v="1228"/>
    <n v="25812.5"/>
    <x v="18"/>
    <n v="1228"/>
  </r>
  <r>
    <n v="15055"/>
    <x v="4"/>
    <n v="2290277002507"/>
    <s v="Kimberly-clark Brasil Ind Com P Hig Ltda"/>
    <s v="Camacari"/>
    <s v="BA"/>
    <n v="25115"/>
    <x v="6"/>
    <s v="V"/>
    <s v="FP"/>
    <s v="Normal"/>
    <s v="22816 01 H"/>
    <n v="6200192414"/>
    <d v="2021-12-10T00:00:00"/>
    <d v="2022-07-07T00:00:00"/>
    <d v="2022-05-31T00:00:00"/>
    <d v="2022-05-31T00:00:00"/>
    <n v="6998"/>
    <d v="2022-06-01T00:00:00"/>
    <n v="7004"/>
    <s v="                                        "/>
    <s v="  /  /  "/>
    <s v="sa633"/>
    <d v="2022-02-11T00:00:00"/>
    <s v="Sem rota"/>
    <n v="0"/>
    <m/>
    <n v="0"/>
    <m/>
    <n v="0"/>
    <s v="Logber - Colatina Es"/>
    <s v="CIF"/>
    <n v="0"/>
    <n v="24365.93"/>
    <x v="18"/>
    <n v="0"/>
  </r>
  <r>
    <n v="15055"/>
    <x v="4"/>
    <n v="2290277002507"/>
    <s v="Kimberly-clark Brasil Ind Com P Hig Ltda"/>
    <s v="Camacari"/>
    <s v="BA"/>
    <n v="25116"/>
    <x v="12"/>
    <s v="V"/>
    <s v="FP"/>
    <s v="Normal"/>
    <s v="22816 01 H"/>
    <n v="6200192414"/>
    <d v="2021-12-10T00:00:00"/>
    <d v="2022-07-07T00:00:00"/>
    <d v="2022-05-31T00:00:00"/>
    <d v="2022-05-31T00:00:00"/>
    <n v="6992"/>
    <d v="2022-05-31T00:00:00"/>
    <n v="6992"/>
    <s v="                                        "/>
    <s v="  /  /  "/>
    <s v="sa633"/>
    <d v="2022-02-11T00:00:00"/>
    <s v="Sem rota"/>
    <n v="0"/>
    <m/>
    <n v="0"/>
    <m/>
    <n v="0"/>
    <s v="Logber - Colatina Es"/>
    <s v="CIF"/>
    <n v="0"/>
    <n v="24548.01"/>
    <x v="18"/>
    <n v="0"/>
  </r>
  <r>
    <n v="15051"/>
    <x v="13"/>
    <n v="45858906000180"/>
    <s v="A G da Silva Complere Mont de Sist de Ar"/>
    <s v="Curitiba"/>
    <s v="PR"/>
    <n v="25840"/>
    <x v="12"/>
    <s v="V"/>
    <s v="PE"/>
    <s v="Normal"/>
    <s v="28896 00 C"/>
    <m/>
    <d v="2022-03-31T00:00:00"/>
    <d v="2022-07-08T00:00:00"/>
    <d v="2022-04-07T00:00:00"/>
    <s v="  /  /  "/>
    <n v="0"/>
    <s v="  /  /  "/>
    <n v="0"/>
    <s v="                                        "/>
    <s v="  /  /  "/>
    <s v="sa687"/>
    <d v="2022-04-08T00:00:00"/>
    <s v="Sem rota"/>
    <n v="0"/>
    <m/>
    <n v="0"/>
    <m/>
    <n v="0"/>
    <s v="Logber - Colatina Es"/>
    <s v="CIF"/>
    <n v="3201.38"/>
    <n v="169180.72"/>
    <x v="18"/>
    <n v="3201.38"/>
  </r>
  <r>
    <n v="15052"/>
    <x v="25"/>
    <n v="58764309000138"/>
    <s v="Agi Brasil Industria e Comercio S/A"/>
    <s v="Candido Mota"/>
    <s v="SP"/>
    <n v="25472"/>
    <x v="22"/>
    <s v="V"/>
    <s v="PE"/>
    <s v="Normal"/>
    <s v="28306 00 C"/>
    <n v="88476"/>
    <d v="2022-02-16T00:00:00"/>
    <d v="2022-07-08T00:00:00"/>
    <d v="2022-02-16T00:00:00"/>
    <s v="  /  /  "/>
    <n v="0"/>
    <s v="  /  /  "/>
    <n v="0"/>
    <s v="                                        "/>
    <s v="  /  /  "/>
    <s v="sa648"/>
    <d v="2022-03-01T00:00:00"/>
    <s v="Sem rota"/>
    <n v="2000"/>
    <s v="28 DDF S/juros"/>
    <n v="0"/>
    <m/>
    <n v="0"/>
    <s v="Logber - Colatina Es"/>
    <s v="CIF"/>
    <n v="0"/>
    <n v="7537.25"/>
    <x v="18"/>
    <n v="0"/>
  </r>
  <r>
    <n v="15076"/>
    <x v="31"/>
    <n v="15285173000170"/>
    <s v="B.p Distribuidora Ltda"/>
    <s v="Manaus"/>
    <s v="AM"/>
    <n v="25822"/>
    <x v="12"/>
    <s v="V"/>
    <s v="PE"/>
    <s v="Normal"/>
    <s v="22224 02 E"/>
    <m/>
    <d v="2022-03-31T00:00:00"/>
    <d v="2022-07-08T00:00:00"/>
    <d v="2022-04-08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FOB"/>
    <n v="5938.5510000000004"/>
    <n v="76729.119999999995"/>
    <x v="18"/>
    <n v="5938.5510000000004"/>
  </r>
  <r>
    <n v="15062"/>
    <x v="1"/>
    <n v="8056030000202"/>
    <s v="Brasil Port Log Offshore e Estal Naval"/>
    <s v="Sao Joao da Barra"/>
    <s v="RJ"/>
    <n v="25884"/>
    <x v="7"/>
    <s v="V"/>
    <s v="PE"/>
    <s v="Normal"/>
    <s v="28995 01 B"/>
    <n v="18803"/>
    <d v="2022-04-08T00:00:00"/>
    <d v="2022-07-08T00:00:00"/>
    <d v="2022-04-08T00:00:00"/>
    <s v="  /  /  "/>
    <n v="0"/>
    <s v="  /  /  "/>
    <n v="0"/>
    <s v="                                        "/>
    <s v="  /  /  "/>
    <s v="sa694"/>
    <d v="2022-04-13T00:00:00"/>
    <s v="Sem rota"/>
    <n v="44"/>
    <s v="30 DDF S/juros"/>
    <n v="0"/>
    <m/>
    <n v="0"/>
    <s v="Logber - Colatina Es"/>
    <s v="CIF"/>
    <n v="367.65999999999997"/>
    <n v="66677.11"/>
    <x v="18"/>
    <n v="367.65999999999997"/>
  </r>
  <r>
    <n v="15064"/>
    <x v="17"/>
    <n v="1838723032592"/>
    <s v="Brf S/A"/>
    <s v="Jundiai"/>
    <s v="SP"/>
    <n v="25720"/>
    <x v="23"/>
    <s v="V"/>
    <s v="PE"/>
    <s v="Normal"/>
    <s v="27724 00 B"/>
    <n v="105186923"/>
    <d v="2022-03-25T00:00:00"/>
    <d v="2022-07-08T00:00:00"/>
    <d v="2022-03-25T00:00:00"/>
    <s v="  /  /  "/>
    <n v="0"/>
    <s v="  /  /  "/>
    <n v="0"/>
    <s v="                                        "/>
    <s v="  /  /  "/>
    <s v="sa680"/>
    <d v="2022-03-31T00:00:00"/>
    <s v="Sem rota"/>
    <n v="482"/>
    <s v="150 DDF S/juros"/>
    <n v="0"/>
    <m/>
    <n v="0"/>
    <s v="Logber - Colatina Es"/>
    <s v="CIF"/>
    <n v="0"/>
    <n v="3100"/>
    <x v="18"/>
    <n v="0"/>
  </r>
  <r>
    <n v="15067"/>
    <x v="3"/>
    <n v="94534237000104"/>
    <s v="Carmak Revenda Loc de Maq e Veic Ltda"/>
    <s v="Sao Leopoldo"/>
    <s v="RS"/>
    <n v="25839"/>
    <x v="7"/>
    <s v="V"/>
    <s v="PE"/>
    <s v="Normal"/>
    <s v="28414 02 B"/>
    <m/>
    <d v="2022-03-31T00:00:00"/>
    <d v="2022-07-08T00:00:00"/>
    <d v="2022-04-06T00:00:00"/>
    <s v="  /  /  "/>
    <n v="0"/>
    <s v="  /  /  "/>
    <n v="0"/>
    <s v="                                        "/>
    <s v="  /  /  "/>
    <s v="sa686"/>
    <d v="2022-04-08T00:00:00"/>
    <s v="Sem rota"/>
    <n v="0"/>
    <m/>
    <n v="0"/>
    <m/>
    <n v="0"/>
    <s v="Logber - Colatina Es"/>
    <s v="CIF"/>
    <n v="626.54"/>
    <n v="38202.5"/>
    <x v="18"/>
    <n v="626.54"/>
  </r>
  <r>
    <n v="15057"/>
    <x v="0"/>
    <n v="871981000142"/>
    <s v="Centralsul Ltda"/>
    <s v="Arroio do Meio"/>
    <s v="RS"/>
    <n v="25841"/>
    <x v="12"/>
    <s v="V"/>
    <s v="PE"/>
    <s v="Normal"/>
    <s v="29134 02 C"/>
    <n v="14385"/>
    <d v="2022-03-31T00:00:00"/>
    <d v="2022-07-08T00:00:00"/>
    <d v="2022-04-04T00:00:00"/>
    <s v="  /  /  "/>
    <n v="0"/>
    <s v="  /  /  "/>
    <n v="0"/>
    <s v="                                        "/>
    <s v="  /  /  "/>
    <s v="sa687"/>
    <d v="2022-04-08T00:00:00"/>
    <s v="Sem rota"/>
    <n v="0"/>
    <m/>
    <n v="0"/>
    <m/>
    <n v="0"/>
    <s v="Logber - Colatina Es"/>
    <s v="CIF"/>
    <n v="4281.8999999999996"/>
    <n v="144301.21"/>
    <x v="18"/>
    <n v="4281.8999999999996"/>
  </r>
  <r>
    <n v="15064"/>
    <x v="17"/>
    <n v="1376079000112"/>
    <s v="Clarios Energy Solutions Brasil Ltda"/>
    <s v="Sorocaba"/>
    <s v="SP"/>
    <n v="25691"/>
    <x v="8"/>
    <s v="V"/>
    <s v="PE"/>
    <s v="Normal"/>
    <s v="28596 00 B"/>
    <s v="OC248168,"/>
    <d v="2022-03-22T00:00:00"/>
    <d v="2022-07-08T00:00:00"/>
    <d v="2022-03-22T00:00:00"/>
    <s v="  /  /  "/>
    <n v="0"/>
    <s v="  /  /  "/>
    <n v="0"/>
    <s v="                                        "/>
    <s v="  /  /  "/>
    <s v="sa677"/>
    <d v="2022-03-29T00:00:00"/>
    <s v="Sem rota"/>
    <n v="2000"/>
    <s v="28 DDF S/juros"/>
    <n v="0"/>
    <m/>
    <n v="0"/>
    <s v="Logber - Colatina Es"/>
    <s v="CIF"/>
    <n v="0.04"/>
    <n v="2101.14"/>
    <x v="18"/>
    <n v="0.04"/>
  </r>
  <r>
    <n v="15064"/>
    <x v="17"/>
    <n v="1376079000112"/>
    <s v="Clarios Energy Solutions Brasil Ltda"/>
    <s v="Sorocaba"/>
    <s v="SP"/>
    <n v="25692"/>
    <x v="0"/>
    <s v="V"/>
    <s v="PE"/>
    <s v="Normal"/>
    <s v="28596 00 B"/>
    <s v="OC248168"/>
    <d v="2022-03-22T00:00:00"/>
    <d v="2022-07-08T00:00:00"/>
    <d v="2022-03-22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m/>
    <s v="CIF"/>
    <n v="0"/>
    <n v="5265"/>
    <x v="18"/>
    <n v="0"/>
  </r>
  <r>
    <n v="15081"/>
    <x v="28"/>
    <n v="7667439000200"/>
    <s v="Comercial Ibiapina Ltda"/>
    <s v="Teresina"/>
    <s v="PI"/>
    <n v="25842"/>
    <x v="7"/>
    <s v="V"/>
    <s v="PE"/>
    <s v="Normal"/>
    <s v="29009 04 F"/>
    <m/>
    <d v="2022-03-31T00:00:00"/>
    <d v="2022-07-08T00:00:00"/>
    <d v="2022-04-05T00:00:00"/>
    <s v="  /  /  "/>
    <n v="0"/>
    <s v="  /  /  "/>
    <n v="0"/>
    <s v="                                        "/>
    <s v="  /  /  "/>
    <s v="sa689"/>
    <d v="2022-04-11T00:00:00"/>
    <s v="Sem rota"/>
    <n v="0"/>
    <m/>
    <n v="0"/>
    <m/>
    <n v="0"/>
    <m/>
    <s v="FOB"/>
    <n v="73546.73"/>
    <n v="1135750"/>
    <x v="18"/>
    <n v="73546.73"/>
  </r>
  <r>
    <n v="15067"/>
    <x v="3"/>
    <n v="2494715000173"/>
    <s v="Coop Central de Coop Unimed Rio Grande o"/>
    <s v="Canoas"/>
    <s v="RS"/>
    <n v="25804"/>
    <x v="12"/>
    <s v="V"/>
    <s v="PE"/>
    <s v="Normal"/>
    <s v="29079 02 C"/>
    <m/>
    <d v="2022-03-31T00:00:00"/>
    <d v="2022-07-08T00:00:00"/>
    <d v="2022-04-06T00:00:00"/>
    <s v="  /  /  "/>
    <n v="0"/>
    <s v="  /  /  "/>
    <n v="0"/>
    <s v="                                        "/>
    <s v="  /  /  "/>
    <s v="sa687"/>
    <d v="2022-04-08T00:00:00"/>
    <s v="Sem rota"/>
    <n v="2257"/>
    <s v="40% Conf/30%14ddf/saldo28ddf"/>
    <n v="0"/>
    <m/>
    <n v="0"/>
    <m/>
    <s v="CIF"/>
    <n v="1215.46"/>
    <n v="45894.63"/>
    <x v="18"/>
    <n v="1215.46"/>
  </r>
  <r>
    <n v="15077"/>
    <x v="30"/>
    <n v="30584194000342"/>
    <s v="Cromo Com e Dist de Mat Odonto-hospitala"/>
    <s v="Cotia"/>
    <s v="SP"/>
    <n v="25876"/>
    <x v="7"/>
    <s v="V"/>
    <s v="PE"/>
    <s v="Normal"/>
    <s v="28504 02 C"/>
    <m/>
    <d v="2022-04-07T00:00:00"/>
    <d v="2022-07-08T00:00:00"/>
    <d v="2022-04-12T00:00:00"/>
    <s v="  /  /  "/>
    <n v="0"/>
    <s v="  /  /  "/>
    <n v="0"/>
    <s v="                                        "/>
    <s v="  /  /  "/>
    <s v="sa694"/>
    <d v="2022-04-13T00:00:00"/>
    <s v="Sem rota"/>
    <n v="0"/>
    <m/>
    <n v="0"/>
    <m/>
    <n v="0"/>
    <s v="Logber - Colatina Es"/>
    <s v="CIF"/>
    <n v="3489.4500000000003"/>
    <n v="328409.64"/>
    <x v="18"/>
    <n v="3489.4500000000003"/>
  </r>
  <r>
    <n v="15070"/>
    <x v="14"/>
    <n v="22855387000109"/>
    <s v="Eletrogroup Mont Eletr e Manut Industria"/>
    <s v="Toledo"/>
    <s v="PR"/>
    <n v="25657"/>
    <x v="8"/>
    <s v="V"/>
    <s v="PE"/>
    <s v="Normal"/>
    <s v="28862 01 B"/>
    <m/>
    <d v="2022-03-17T00:00:00"/>
    <d v="2022-07-08T00:00:00"/>
    <d v="2022-03-17T00:00:00"/>
    <s v="  /  /  "/>
    <n v="0"/>
    <s v="  /  /  "/>
    <n v="0"/>
    <s v="                                        "/>
    <s v="  /  /  "/>
    <s v="sa674"/>
    <d v="2022-03-23T00:00:00"/>
    <s v="Sem rota"/>
    <n v="2000"/>
    <s v="28 DDF S/juros"/>
    <n v="0"/>
    <m/>
    <n v="0"/>
    <s v="Logber - Colatina Es"/>
    <s v="CIF"/>
    <n v="0"/>
    <n v="13525.75"/>
    <x v="18"/>
    <n v="0"/>
  </r>
  <r>
    <n v="15067"/>
    <x v="3"/>
    <n v="89723845000119"/>
    <s v="Industria de Pecas Inpel S/A"/>
    <s v="Sapucaia do Sul"/>
    <s v="RS"/>
    <n v="25878"/>
    <x v="7"/>
    <s v="V"/>
    <s v="PE"/>
    <s v="Normal"/>
    <s v="29275 00 B"/>
    <n v="46530"/>
    <d v="2022-04-08T00:00:00"/>
    <d v="2022-07-08T00:00:00"/>
    <d v="2022-04-12T00:00:00"/>
    <s v="  /  /  "/>
    <n v="0"/>
    <s v="  /  /  "/>
    <n v="0"/>
    <s v="                                        "/>
    <s v="  /  /  "/>
    <s v="sa694"/>
    <d v="2022-04-13T00:00:00"/>
    <s v="Sem rota"/>
    <n v="2257"/>
    <s v="40% Conf/30%14ddf/saldo28ddf"/>
    <n v="0"/>
    <m/>
    <n v="0"/>
    <s v="Logber - Colatina Es"/>
    <s v="CIF"/>
    <n v="357.5"/>
    <n v="12390"/>
    <x v="18"/>
    <n v="357.5"/>
  </r>
  <r>
    <n v="15070"/>
    <x v="14"/>
    <n v="3383709000373"/>
    <s v="J C Parro &amp; Cia Ltda"/>
    <s v="Sao Lourenco Cianorte"/>
    <s v="PR"/>
    <n v="26201"/>
    <x v="12"/>
    <s v="V"/>
    <s v="PE"/>
    <s v="Normal"/>
    <s v="29971 01 A"/>
    <m/>
    <d v="2022-05-24T00:00:00"/>
    <d v="2022-07-08T00:00:00"/>
    <d v="2022-05-26T00:00:00"/>
    <s v="  /  /  "/>
    <n v="0"/>
    <s v="  /  /  "/>
    <n v="0"/>
    <s v="                                        "/>
    <s v="  /  /  "/>
    <s v="sa740"/>
    <d v="2022-05-26T00:00:00"/>
    <s v="Sem rota"/>
    <n v="0"/>
    <m/>
    <n v="0"/>
    <m/>
    <n v="0"/>
    <s v="Logber - Colatina Es"/>
    <s v="CIF"/>
    <n v="1249.27"/>
    <n v="84148.75"/>
    <x v="18"/>
    <n v="1249.27"/>
  </r>
  <r>
    <n v="15070"/>
    <x v="14"/>
    <n v="3383709000373"/>
    <s v="J C Parro &amp; Cia Ltda"/>
    <s v="Sao Lourenco Cianorte"/>
    <s v="PR"/>
    <n v="26202"/>
    <x v="7"/>
    <s v="V"/>
    <s v="PE"/>
    <s v="Normal"/>
    <s v="20626 00 C"/>
    <m/>
    <d v="2022-05-24T00:00:00"/>
    <d v="2022-07-08T00:00:00"/>
    <d v="2022-05-24T00:00:00"/>
    <s v="  /  /  "/>
    <n v="0"/>
    <s v="  /  /  "/>
    <n v="0"/>
    <s v="                                        "/>
    <s v="  /  /  "/>
    <s v="sa747"/>
    <d v="2022-05-27T00:00:00"/>
    <s v="Sem rota"/>
    <n v="2000"/>
    <s v="28 DDF S/juros"/>
    <n v="0"/>
    <m/>
    <n v="0"/>
    <s v="Logber - Colatina Es"/>
    <s v="CIF"/>
    <n v="1.36"/>
    <n v="12092.64"/>
    <x v="18"/>
    <n v="1.36"/>
  </r>
  <r>
    <n v="15077"/>
    <x v="30"/>
    <n v="19576717000104"/>
    <s v="Kopell Distribuicao e Logistica Ltda"/>
    <s v="Sao Paulo"/>
    <s v="SP"/>
    <n v="25984"/>
    <x v="8"/>
    <s v="V"/>
    <s v="PE"/>
    <s v="Normal"/>
    <s v="29445 02 C"/>
    <m/>
    <d v="2022-04-26T00:00:00"/>
    <d v="2022-07-08T00:00:00"/>
    <d v="2022-04-28T00:00:00"/>
    <s v="  /  /  "/>
    <n v="0"/>
    <s v="  /  /  "/>
    <n v="0"/>
    <s v="                                        "/>
    <s v="  /  /  "/>
    <s v="sa713"/>
    <d v="2022-05-05T00:00:00"/>
    <s v="Sem rota"/>
    <n v="2257"/>
    <s v="40% Conf/30%14ddf/saldo28ddf"/>
    <n v="0"/>
    <m/>
    <n v="0"/>
    <s v="Logber - Colatina Es"/>
    <s v="CIF"/>
    <n v="745.37"/>
    <n v="139387.5"/>
    <x v="18"/>
    <n v="745.37"/>
  </r>
  <r>
    <n v="15080"/>
    <x v="29"/>
    <n v="20445801000178"/>
    <s v="Ottobock Ind Com Imp Exp de Prod Orto e"/>
    <s v="Vinhedo"/>
    <s v="SP"/>
    <n v="25874"/>
    <x v="7"/>
    <s v="V"/>
    <s v="PE"/>
    <s v="Normal"/>
    <s v="28523 00 D"/>
    <m/>
    <d v="2022-04-07T00:00:00"/>
    <d v="2022-07-08T00:00:00"/>
    <d v="2022-05-31T00:00:00"/>
    <s v="  /  /  "/>
    <n v="0"/>
    <s v="  /  /  "/>
    <n v="0"/>
    <s v="                                        "/>
    <s v="  /  /  "/>
    <s v="sa694"/>
    <d v="2022-04-13T00:00:00"/>
    <s v="Sem rota"/>
    <n v="0"/>
    <m/>
    <n v="0"/>
    <m/>
    <n v="0"/>
    <s v="Logber - Colatina Es"/>
    <s v="CIF"/>
    <n v="322.34000000000003"/>
    <n v="10004.93"/>
    <x v="18"/>
    <n v="322.34000000000003"/>
  </r>
  <r>
    <n v="15059"/>
    <x v="20"/>
    <n v="2278437000117"/>
    <s v="Pomerplast Ind e Com de Plasticos Ltda"/>
    <s v="Pomerode"/>
    <s v="SC"/>
    <n v="25861"/>
    <x v="12"/>
    <s v="V"/>
    <s v="PE"/>
    <s v="Normal"/>
    <s v="29299 00 B"/>
    <m/>
    <d v="2022-04-05T00:00:00"/>
    <d v="2022-07-08T00:00:00"/>
    <d v="2022-04-05T00:00:00"/>
    <s v="  /  /  "/>
    <n v="0"/>
    <s v="  /  /  "/>
    <n v="0"/>
    <s v="                                        "/>
    <s v="  /  /  "/>
    <s v="sa687"/>
    <d v="2022-04-08T00:00:00"/>
    <s v="Sem rota"/>
    <n v="208"/>
    <s v="14 Ddf  S/juros"/>
    <n v="0"/>
    <m/>
    <n v="0"/>
    <s v="Logber - Colatina Es"/>
    <s v="CIF"/>
    <n v="9.2899999999999991"/>
    <n v="722.75"/>
    <x v="18"/>
    <n v="9.2899999999999991"/>
  </r>
  <r>
    <n v="15067"/>
    <x v="3"/>
    <n v="4522379000665"/>
    <s v="Qualicoco Ltda"/>
    <s v="Rio Largo"/>
    <s v="AL"/>
    <n v="25801"/>
    <x v="7"/>
    <s v="V"/>
    <s v="PE"/>
    <s v="Normal"/>
    <s v="29307 01 A"/>
    <m/>
    <d v="2022-03-31T00:00:00"/>
    <d v="2022-07-08T00:00:00"/>
    <d v="2022-04-08T00:00:00"/>
    <s v="  /  /  "/>
    <n v="0"/>
    <s v="  /  /  "/>
    <n v="0"/>
    <s v="                                        "/>
    <s v="  /  /  "/>
    <s v="sa689"/>
    <d v="2022-04-11T00:00:00"/>
    <s v="Sem rota"/>
    <n v="2257"/>
    <s v="40% Conf/30%14ddf/saldo28ddf"/>
    <n v="0"/>
    <m/>
    <n v="0"/>
    <s v="Logber - Colatina Es"/>
    <s v="CIF"/>
    <n v="4657.1799999999994"/>
    <n v="194289.66"/>
    <x v="18"/>
    <n v="4657.1799999999994"/>
  </r>
  <r>
    <n v="15062"/>
    <x v="1"/>
    <n v="7757005000617"/>
    <s v="Trop Frutas do Brasil Ltda"/>
    <s v="Lavras"/>
    <s v="MG"/>
    <n v="25880"/>
    <x v="12"/>
    <s v="V"/>
    <s v="PE"/>
    <s v="Normal"/>
    <s v="27187 01 C"/>
    <m/>
    <d v="2022-04-08T00:00:00"/>
    <d v="2022-07-08T00:00:00"/>
    <d v="2022-04-12T00:00:00"/>
    <s v="  /  /  "/>
    <n v="0"/>
    <s v="  /  /  "/>
    <n v="0"/>
    <s v="                                        "/>
    <s v="  /  /  "/>
    <s v="sa697"/>
    <d v="2022-04-18T00:00:00"/>
    <s v="Sem rota"/>
    <n v="0"/>
    <m/>
    <n v="0"/>
    <m/>
    <n v="0"/>
    <s v="Logber - Colatina Es"/>
    <s v="CIF"/>
    <n v="398.17"/>
    <n v="208987.95"/>
    <x v="18"/>
    <n v="398.17"/>
  </r>
  <r>
    <n v="15064"/>
    <x v="17"/>
    <n v="7384827000195"/>
    <s v="Wago Eletroeletronicos Ltda"/>
    <s v="Jundiai"/>
    <s v="SP"/>
    <n v="25793"/>
    <x v="0"/>
    <s v="V"/>
    <s v="PE"/>
    <s v="Normal"/>
    <s v="28693 00 B"/>
    <m/>
    <d v="2022-03-31T00:00:00"/>
    <d v="2022-07-08T00:00:00"/>
    <d v="2022-03-31T00:00:00"/>
    <s v="  /  /  "/>
    <n v="0"/>
    <s v="  /  /  "/>
    <n v="0"/>
    <s v="                                        "/>
    <s v="  /  /  "/>
    <m/>
    <s v="/  /"/>
    <s v="Sem rota"/>
    <n v="2203"/>
    <s v="50% Conf e 50% 14ddf"/>
    <n v="0"/>
    <m/>
    <n v="0"/>
    <m/>
    <s v="CIF"/>
    <n v="0"/>
    <n v="7020"/>
    <x v="18"/>
    <n v="0"/>
  </r>
  <r>
    <n v="15057"/>
    <x v="0"/>
    <n v="74072513000659"/>
    <s v="Agro Comercial Afubra Ltda"/>
    <s v="Ararangua"/>
    <s v="SC"/>
    <n v="25667"/>
    <x v="8"/>
    <s v="V"/>
    <s v="PE"/>
    <s v="Normal"/>
    <s v="29081 00 A"/>
    <m/>
    <d v="2022-03-18T00:00:00"/>
    <d v="2022-07-15T00:00:00"/>
    <d v="2022-03-18T00:00:00"/>
    <s v="  /  /  "/>
    <n v="0"/>
    <s v="  /  /  "/>
    <n v="0"/>
    <s v="                                        "/>
    <s v="  /  /  "/>
    <s v="sa675"/>
    <d v="2022-03-24T00:00:00"/>
    <s v="Sem rota"/>
    <n v="0"/>
    <m/>
    <n v="0"/>
    <m/>
    <n v="0"/>
    <s v="Logber - Colatina Es"/>
    <s v="CIF"/>
    <n v="351.28"/>
    <n v="16272.2"/>
    <x v="18"/>
    <n v="351.28"/>
  </r>
  <r>
    <n v="15063"/>
    <x v="23"/>
    <n v="39350459000150"/>
    <s v="Agti Empreendimentos Ltda"/>
    <s v="Serra"/>
    <s v="ES"/>
    <n v="26290"/>
    <x v="12"/>
    <s v="V"/>
    <s v="PE"/>
    <s v="Normal"/>
    <s v="29222 01 B"/>
    <m/>
    <d v="2022-05-31T00:00:00"/>
    <d v="2022-07-15T00:00:00"/>
    <d v="2022-06-07T00:00:00"/>
    <s v="  /  /  "/>
    <n v="0"/>
    <s v="  /  /  "/>
    <n v="0"/>
    <s v="                                        "/>
    <s v="  /  /  "/>
    <s v="sa754"/>
    <d v="2022-06-07T00:00:00"/>
    <s v="Tims"/>
    <n v="0"/>
    <m/>
    <n v="0"/>
    <m/>
    <n v="0"/>
    <s v="Logber - Colatina Es"/>
    <s v="CIF"/>
    <n v="30731.239999999998"/>
    <n v="991200"/>
    <x v="18"/>
    <n v="30731.239999999998"/>
  </r>
  <r>
    <n v="15066"/>
    <x v="18"/>
    <n v="60498706013488"/>
    <s v="Cargill Agricola S/A"/>
    <s v="Uberlandia"/>
    <s v="MG"/>
    <n v="25317"/>
    <x v="6"/>
    <s v="V"/>
    <s v="PE"/>
    <s v="Normal"/>
    <s v="27427 03 D"/>
    <n v="4511206584"/>
    <d v="2022-01-21T00:00:00"/>
    <d v="2022-07-15T00:00:00"/>
    <d v="2022-03-09T00:00:00"/>
    <s v="  /  /  "/>
    <n v="0"/>
    <s v="  /  /  "/>
    <n v="0"/>
    <s v="                                        "/>
    <s v="  /  /  "/>
    <s v="sa640"/>
    <d v="2022-02-17T00:00:00"/>
    <s v="Sem rota"/>
    <n v="0"/>
    <m/>
    <n v="0"/>
    <m/>
    <n v="0"/>
    <s v="Logber - Colatina Es"/>
    <s v="CIF"/>
    <n v="1628.9"/>
    <n v="826000"/>
    <x v="18"/>
    <n v="1628.9"/>
  </r>
  <r>
    <n v="15074"/>
    <x v="21"/>
    <n v="45070190000232"/>
    <s v="Cebrace Cristal Plano Ltda"/>
    <s v="Jacarei"/>
    <s v="SP"/>
    <n v="25752"/>
    <x v="7"/>
    <s v="V"/>
    <s v="PE"/>
    <s v="Normal"/>
    <s v="27566 02 C"/>
    <n v="4500515784"/>
    <d v="2022-03-28T00:00:00"/>
    <d v="2022-07-15T00:00:00"/>
    <d v="2022-03-28T00:00:00"/>
    <s v="  /  /  "/>
    <n v="0"/>
    <s v="  /  /  "/>
    <n v="0"/>
    <s v="                                        "/>
    <s v="  /  /  "/>
    <s v="sa682"/>
    <d v="2022-04-05T00:00:00"/>
    <s v="Sem rota"/>
    <n v="0"/>
    <m/>
    <n v="0"/>
    <m/>
    <n v="0"/>
    <s v="Logber - Colatina Es"/>
    <s v="CIF"/>
    <n v="2.9099999999999997"/>
    <n v="36324.239999999998"/>
    <x v="18"/>
    <n v="2.9099999999999997"/>
  </r>
  <r>
    <n v="15059"/>
    <x v="20"/>
    <n v="43270628000209"/>
    <s v="Confeccoes Kacyumara Ltda"/>
    <s v="Brusque"/>
    <s v="SC"/>
    <n v="25894"/>
    <x v="7"/>
    <s v="V"/>
    <s v="PE"/>
    <s v="Normal"/>
    <s v="28473 01 B"/>
    <m/>
    <d v="2022-04-11T00:00:00"/>
    <d v="2022-07-15T00:00:00"/>
    <d v="2022-04-19T00:00:00"/>
    <s v="  /  /  "/>
    <n v="0"/>
    <s v="  /  /  "/>
    <n v="0"/>
    <s v="                                        "/>
    <s v="  /  /  "/>
    <s v="sa699"/>
    <d v="2022-04-20T00:00:00"/>
    <s v="Sem rota"/>
    <n v="2257"/>
    <s v="40% Conf/30%14ddf/saldo28ddf"/>
    <n v="0"/>
    <m/>
    <n v="0"/>
    <s v="Logber - Colatina Es"/>
    <s v="CIF"/>
    <n v="93.259999999999991"/>
    <n v="85996.93"/>
    <x v="18"/>
    <n v="93.259999999999991"/>
  </r>
  <r>
    <n v="15051"/>
    <x v="13"/>
    <n v="77765840000170"/>
    <s v="Contabilista Suprimentos para Escritorio"/>
    <s v="Curitiba"/>
    <s v="PR"/>
    <n v="25331"/>
    <x v="17"/>
    <s v="V"/>
    <s v="PE"/>
    <s v="Normal"/>
    <s v="26995 04 F"/>
    <m/>
    <d v="2022-01-24T00:00:00"/>
    <d v="2022-07-15T00:00:00"/>
    <d v="2022-02-16T00:00:00"/>
    <s v="  /  /  "/>
    <n v="0"/>
    <s v="  /  /  "/>
    <n v="0"/>
    <s v="                                        "/>
    <s v="  /  /  "/>
    <s v="sa648"/>
    <d v="2022-03-01T00:00:00"/>
    <s v="Sem rota"/>
    <n v="0"/>
    <m/>
    <n v="0"/>
    <m/>
    <n v="0"/>
    <s v="Logber - Colatina Es"/>
    <s v="CIF"/>
    <n v="674.62"/>
    <n v="175040.96"/>
    <x v="18"/>
    <n v="674.62"/>
  </r>
  <r>
    <n v="15051"/>
    <x v="13"/>
    <n v="77765840000170"/>
    <s v="Contabilista Suprimentos para Escritorio"/>
    <s v="Curitiba"/>
    <s v="PR"/>
    <n v="25332"/>
    <x v="9"/>
    <s v="V"/>
    <s v="PE"/>
    <s v="Normal"/>
    <s v="26995 04 F"/>
    <m/>
    <d v="2022-01-24T00:00:00"/>
    <d v="2022-07-15T00:00:00"/>
    <d v="2022-03-07T00:00:00"/>
    <s v="  /  /  "/>
    <n v="0"/>
    <s v="  /  /  "/>
    <n v="0"/>
    <s v="                                        "/>
    <s v="  /  /  "/>
    <s v="sa688"/>
    <d v="2022-04-11T00:00:00"/>
    <s v="Sem rota"/>
    <n v="0"/>
    <m/>
    <n v="0"/>
    <m/>
    <n v="0"/>
    <m/>
    <s v="CIF"/>
    <n v="0"/>
    <n v="1147905"/>
    <x v="18"/>
    <n v="0"/>
  </r>
  <r>
    <n v="15020"/>
    <x v="7"/>
    <n v="108"/>
    <s v="Embotelladoras Bolivianas Unidas S.a"/>
    <s v="La Paz"/>
    <s v="EX"/>
    <n v="25124"/>
    <x v="6"/>
    <s v="V"/>
    <s v="PE"/>
    <s v="Normal"/>
    <s v="27969 01 A"/>
    <n v="1470011020"/>
    <d v="2021-12-13T00:00:00"/>
    <d v="2022-07-15T00:00:00"/>
    <d v="2021-12-20T00:00:00"/>
    <s v="  /  /  "/>
    <n v="0"/>
    <s v="  /  /  "/>
    <n v="0"/>
    <s v="                                        "/>
    <s v="  /  /  "/>
    <s v="sa633"/>
    <d v="2022-02-11T00:00:00"/>
    <s v="Sem rota"/>
    <n v="0"/>
    <m/>
    <n v="0"/>
    <m/>
    <n v="0"/>
    <m/>
    <s v="FCA"/>
    <n v="294.27999999999997"/>
    <n v="220063.5"/>
    <x v="18"/>
    <n v="294.27999999999997"/>
  </r>
  <r>
    <n v="15020"/>
    <x v="7"/>
    <n v="0"/>
    <s v="Embotteladoras Bolivianas Unidas S/a"/>
    <s v="La Paz"/>
    <s v="EX"/>
    <n v="25176"/>
    <x v="16"/>
    <s v="O"/>
    <s v="PE"/>
    <s v="Normal"/>
    <s v="25471 00 C"/>
    <m/>
    <d v="2021-12-17T00:00:00"/>
    <d v="2022-07-15T00:00:00"/>
    <d v="2022-03-25T00:00:00"/>
    <s v="  /  /  "/>
    <n v="0"/>
    <s v="  /  /  "/>
    <n v="0"/>
    <s v="                                        "/>
    <s v="  /  /  "/>
    <s v="sa661"/>
    <d v="2022-03-14T00:00:00"/>
    <s v="Sem rota"/>
    <n v="0"/>
    <m/>
    <n v="0"/>
    <m/>
    <n v="0"/>
    <m/>
    <s v="CIF"/>
    <n v="210.06"/>
    <n v="47553.279999999999"/>
    <x v="18"/>
    <n v="210.06"/>
  </r>
  <r>
    <n v="15910"/>
    <x v="11"/>
    <n v="955719000186"/>
    <s v="Imporiente Comercio Exterior Ltda"/>
    <s v="Duque de Caxias"/>
    <s v="RJ"/>
    <n v="26199"/>
    <x v="12"/>
    <s v="V"/>
    <s v="PE"/>
    <s v="Normal"/>
    <s v="29668 02 C"/>
    <m/>
    <d v="2022-05-24T00:00:00"/>
    <d v="2022-07-15T00:00:00"/>
    <d v="2022-05-24T00:00:00"/>
    <s v="  /  /  "/>
    <n v="0"/>
    <s v="  /  /  "/>
    <n v="0"/>
    <s v="                                        "/>
    <s v="  /  /  "/>
    <s v="sa740"/>
    <d v="2022-05-26T00:00:00"/>
    <s v="Sem rota"/>
    <n v="2257"/>
    <s v="40% Conf/30%14ddf/saldo28ddf"/>
    <n v="0"/>
    <m/>
    <n v="0"/>
    <s v="Logber - Colatina Es"/>
    <s v="CIF"/>
    <n v="79297.7"/>
    <n v="1385517.95"/>
    <x v="18"/>
    <n v="79297.7"/>
  </r>
  <r>
    <n v="15051"/>
    <x v="13"/>
    <n v="11283356000287"/>
    <s v="Philco Eletronicos S/A"/>
    <s v="Manaus"/>
    <s v="AM"/>
    <n v="24576"/>
    <x v="6"/>
    <s v="V"/>
    <s v="PE"/>
    <s v="Normal"/>
    <s v="23386 02 F"/>
    <m/>
    <d v="2021-09-30T00:00:00"/>
    <d v="2022-07-15T00:00:00"/>
    <d v="2022-03-09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FOB"/>
    <n v="164406.51199999999"/>
    <n v="2660000"/>
    <x v="18"/>
    <n v="164406.51199999999"/>
  </r>
  <r>
    <n v="15051"/>
    <x v="13"/>
    <n v="11283356000287"/>
    <s v="Philco Eletronicos S/A"/>
    <s v="Manaus"/>
    <s v="AM"/>
    <n v="25258"/>
    <x v="10"/>
    <s v="V"/>
    <s v="PE"/>
    <s v="Normal"/>
    <s v="24592 02 E"/>
    <m/>
    <d v="2021-12-28T00:00:00"/>
    <d v="2022-07-15T00:00:00"/>
    <d v="2022-03-09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FOB"/>
    <n v="92139.198999999993"/>
    <n v="1580000"/>
    <x v="18"/>
    <n v="92139.198999999993"/>
  </r>
  <r>
    <n v="15057"/>
    <x v="0"/>
    <n v="3707937000190"/>
    <s v="Polobrio Comercio de Mat de Limpeza Ltda"/>
    <s v="Concordia"/>
    <s v="SC"/>
    <n v="25891"/>
    <x v="7"/>
    <s v="V"/>
    <s v="PE"/>
    <s v="Normal"/>
    <s v="29295 01 B"/>
    <m/>
    <d v="2022-04-11T00:00:00"/>
    <d v="2022-07-15T00:00:00"/>
    <d v="2022-04-13T00:00:00"/>
    <s v="  /  /  "/>
    <n v="0"/>
    <s v="  /  /  "/>
    <n v="0"/>
    <s v="                                        "/>
    <s v="  /  /  "/>
    <s v="sa697"/>
    <d v="2022-04-18T00:00:00"/>
    <s v="Sem rota"/>
    <n v="2257"/>
    <s v="40% Conf/30%14ddf/saldo28ddf"/>
    <n v="0"/>
    <m/>
    <n v="0"/>
    <s v="Logber - Colatina Es"/>
    <s v="CIF"/>
    <n v="2.8"/>
    <n v="4309.1400000000003"/>
    <x v="18"/>
    <n v="2.8"/>
  </r>
  <r>
    <n v="15057"/>
    <x v="0"/>
    <n v="4478981000138"/>
    <s v="Schulz &amp; Thurow Ltda"/>
    <s v="Pelotas"/>
    <s v="RS"/>
    <n v="25679"/>
    <x v="8"/>
    <s v="V"/>
    <s v="PE"/>
    <s v="Normal"/>
    <s v="29049 01 B"/>
    <m/>
    <d v="2022-03-21T00:00:00"/>
    <d v="2022-07-15T00:00:00"/>
    <d v="2022-03-22T00:00:00"/>
    <s v="  /  /  "/>
    <n v="0"/>
    <s v="  /  /  "/>
    <n v="0"/>
    <s v="                                        "/>
    <s v="  /  /  "/>
    <s v="sa676"/>
    <d v="2022-03-28T00:00:00"/>
    <s v="Sem rota"/>
    <n v="2257"/>
    <s v="40% Conf/30%14ddf/saldo28ddf"/>
    <n v="0"/>
    <m/>
    <n v="0"/>
    <s v="Logber - Colatina Es"/>
    <s v="CIF"/>
    <n v="0.93"/>
    <n v="3247.21"/>
    <x v="18"/>
    <n v="0.93"/>
  </r>
  <r>
    <n v="15076"/>
    <x v="31"/>
    <n v="61454393000106"/>
    <s v="Recofarma Industria do Amazonas Ltda"/>
    <s v="Manaus"/>
    <s v="AM"/>
    <n v="25255"/>
    <x v="10"/>
    <s v="V"/>
    <s v="PE"/>
    <s v="Normal"/>
    <s v="22888 01 E"/>
    <n v="4509095212"/>
    <d v="2021-12-29T00:00:00"/>
    <d v="2022-07-15T00:00:00"/>
    <d v="2022-01-11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m/>
    <s v="FOB"/>
    <n v="10744.035"/>
    <n v="215134.67"/>
    <x v="18"/>
    <n v="10744.035"/>
  </r>
  <r>
    <n v="15057"/>
    <x v="0"/>
    <n v="9228600000186"/>
    <s v="Sul Doces Distribuidora Ltda."/>
    <s v="Lajeado"/>
    <s v="RS"/>
    <n v="25907"/>
    <x v="8"/>
    <s v="V"/>
    <s v="PE"/>
    <s v="Normal"/>
    <s v="29394 02 B"/>
    <m/>
    <d v="2022-04-14T00:00:00"/>
    <d v="2022-07-15T00:00:00"/>
    <d v="2022-04-19T00:00:00"/>
    <s v="  /  /  "/>
    <n v="0"/>
    <s v="  /  /  "/>
    <n v="0"/>
    <s v="                                        "/>
    <s v="  /  /  "/>
    <s v="sa699"/>
    <d v="2022-04-20T00:00:00"/>
    <s v="Sem rota"/>
    <n v="0"/>
    <m/>
    <n v="0"/>
    <m/>
    <n v="0"/>
    <s v="Logber - Colatina Es"/>
    <s v="CIF"/>
    <n v="51.11"/>
    <n v="41797.589999999997"/>
    <x v="18"/>
    <n v="51.11"/>
  </r>
  <r>
    <n v="15067"/>
    <x v="3"/>
    <n v="87727277000107"/>
    <s v="Instituto Pasteur de Cosmiatria Ltda"/>
    <s v="Porto Alegre"/>
    <s v="RS"/>
    <n v="26112"/>
    <x v="12"/>
    <s v="V"/>
    <s v="PE"/>
    <s v="Normal"/>
    <s v="29202 02 C"/>
    <n v="19152"/>
    <d v="2022-05-12T00:00:00"/>
    <d v="2022-07-20T00:00:00"/>
    <d v="2022-05-16T00:00:00"/>
    <s v="  /  /  "/>
    <n v="0"/>
    <s v="  /  /  "/>
    <n v="0"/>
    <s v="                                        "/>
    <s v="  /  /  "/>
    <s v="sa728"/>
    <d v="2022-05-17T00:00:00"/>
    <s v="Sem rota"/>
    <n v="0"/>
    <m/>
    <n v="0"/>
    <m/>
    <n v="0"/>
    <s v="Logber - Colatina Es"/>
    <s v="CIF"/>
    <n v="3452.07"/>
    <n v="180142.34"/>
    <x v="18"/>
    <n v="3452.07"/>
  </r>
  <r>
    <n v="15057"/>
    <x v="0"/>
    <n v="37014225000107"/>
    <s v="Bbh Indústria de Máquinas Ltda"/>
    <s v="Campos Novos"/>
    <s v="SC"/>
    <n v="25934"/>
    <x v="12"/>
    <s v="V"/>
    <s v="PE"/>
    <s v="Normal"/>
    <s v="28565 03 C"/>
    <n v="252"/>
    <d v="2022-04-19T00:00:00"/>
    <d v="2022-07-22T00:00:00"/>
    <d v="2022-04-19T00:00:00"/>
    <s v="  /  /  "/>
    <n v="0"/>
    <s v="  /  /  "/>
    <n v="0"/>
    <s v="                                        "/>
    <s v="  /  /  "/>
    <s v="sa703"/>
    <d v="2022-04-27T00:00:00"/>
    <s v="Sem rota"/>
    <n v="0"/>
    <m/>
    <n v="0"/>
    <m/>
    <n v="0"/>
    <s v="Logber - Colatina Es"/>
    <s v="CIF"/>
    <n v="104.59"/>
    <n v="18700.43"/>
    <x v="18"/>
    <n v="104.59"/>
  </r>
  <r>
    <n v="15052"/>
    <x v="25"/>
    <n v="58538372000156"/>
    <s v="Bio-art- Equip Odontologicos Ltda"/>
    <s v="Sao Carlos"/>
    <s v="SP"/>
    <n v="25948"/>
    <x v="7"/>
    <s v="V"/>
    <s v="PE"/>
    <s v="Normal"/>
    <s v="29444 02 C"/>
    <n v="45550"/>
    <d v="2022-04-20T00:00:00"/>
    <d v="2022-07-22T00:00:00"/>
    <d v="2022-04-25T00:00:00"/>
    <s v="  /  /  "/>
    <n v="0"/>
    <s v="  /  /  "/>
    <n v="0"/>
    <s v="                                        "/>
    <s v="  /  /  "/>
    <s v="sa713"/>
    <d v="2022-05-05T00:00:00"/>
    <s v="Sem rota"/>
    <n v="2257"/>
    <s v="40% Conf/30%14ddf/saldo28ddf"/>
    <n v="0"/>
    <m/>
    <n v="0"/>
    <s v="Logber - Colatina Es"/>
    <s v="CIF"/>
    <n v="107.22"/>
    <n v="18760.53"/>
    <x v="18"/>
    <n v="107.22"/>
  </r>
  <r>
    <n v="15064"/>
    <x v="17"/>
    <n v="45569555000197"/>
    <s v="Catalent Brasil Ltda"/>
    <s v="Sorocaba"/>
    <s v="SP"/>
    <n v="25945"/>
    <x v="12"/>
    <s v="V"/>
    <s v="PE"/>
    <s v="Normal"/>
    <s v="21117 04 E"/>
    <s v="007962/1"/>
    <d v="2022-04-20T00:00:00"/>
    <d v="2022-07-22T00:00:00"/>
    <d v="2022-04-20T00:00:00"/>
    <s v="  /  /  "/>
    <n v="0"/>
    <s v="  /  /  "/>
    <n v="0"/>
    <s v="                                        "/>
    <s v="  /  /  "/>
    <s v="sa703"/>
    <d v="2022-04-27T00:00:00"/>
    <s v="Sem rota"/>
    <n v="2000"/>
    <s v="28 DDF S/juros"/>
    <n v="0"/>
    <m/>
    <n v="0"/>
    <s v="Logber - Colatina Es"/>
    <s v="CIF"/>
    <n v="2278.0499999999997"/>
    <n v="94542.17"/>
    <x v="18"/>
    <n v="2278.0499999999997"/>
  </r>
  <r>
    <n v="15057"/>
    <x v="0"/>
    <n v="97078463004952"/>
    <s v="Coop Triticola Reg Saoluizense Ltda"/>
    <s v="Sao Luiz Gonzaga"/>
    <s v="RS"/>
    <n v="26143"/>
    <x v="12"/>
    <s v="V"/>
    <s v="PE"/>
    <s v="Normal"/>
    <s v="29553 00 B"/>
    <m/>
    <d v="2022-05-17T00:00:00"/>
    <d v="2022-07-22T00:00:00"/>
    <d v="2022-05-17T00:00:00"/>
    <s v="  /  /  "/>
    <n v="0"/>
    <s v="  /  /  "/>
    <n v="0"/>
    <s v="                                        "/>
    <s v="  /  /  "/>
    <s v="sa738"/>
    <d v="2022-05-24T00:00:00"/>
    <s v="Sem rota"/>
    <n v="2000"/>
    <s v="28 DDF S/juros"/>
    <n v="0"/>
    <m/>
    <n v="0"/>
    <s v="Logber - Colatina Es"/>
    <s v="CIF"/>
    <n v="371.03"/>
    <n v="9215.06"/>
    <x v="18"/>
    <n v="371.03"/>
  </r>
  <r>
    <n v="15063"/>
    <x v="23"/>
    <n v="16582162000115"/>
    <s v="Coop de Con dos Particip da Rede Farmes"/>
    <s v="Vila Velha"/>
    <s v="ES"/>
    <n v="25879"/>
    <x v="8"/>
    <s v="V"/>
    <s v="PE"/>
    <s v="Normal"/>
    <s v="29192 02 B"/>
    <m/>
    <d v="2022-04-08T00:00:00"/>
    <d v="2022-07-22T00:00:00"/>
    <d v="2022-04-12T00:00:00"/>
    <s v="  /  /  "/>
    <n v="0"/>
    <s v="  /  /  "/>
    <n v="0"/>
    <s v="                                        "/>
    <s v="  /  /  "/>
    <s v="sa694"/>
    <d v="2022-04-13T00:00:00"/>
    <s v="Sem rota"/>
    <n v="0"/>
    <m/>
    <n v="0"/>
    <m/>
    <n v="0"/>
    <s v="Logber - Colatina Es"/>
    <s v="CIF"/>
    <n v="4086.2200000000007"/>
    <n v="106347.5"/>
    <x v="18"/>
    <n v="4086.2200000000007"/>
  </r>
  <r>
    <n v="15051"/>
    <x v="13"/>
    <n v="1287588000845"/>
    <s v="Dass Nordeste Calcados e Art. Esp. Ltda"/>
    <s v="Vitoria da Conquista"/>
    <s v="BA"/>
    <n v="25947"/>
    <x v="7"/>
    <s v="V"/>
    <s v="PE"/>
    <s v="Normal"/>
    <s v="29141 01 D"/>
    <n v="10007195"/>
    <d v="2022-04-20T00:00:00"/>
    <d v="2022-07-22T00:00:00"/>
    <d v="2022-04-20T00:00:00"/>
    <s v="  /  /  "/>
    <n v="0"/>
    <s v="  /  /  "/>
    <n v="0"/>
    <s v="                                        "/>
    <s v="  /  /  "/>
    <s v="sa713"/>
    <d v="2022-05-05T00:00:00"/>
    <s v="Sem rota"/>
    <n v="784"/>
    <s v="28/56/84/112 DDF S/juros"/>
    <n v="0"/>
    <m/>
    <n v="0"/>
    <m/>
    <s v="FOB"/>
    <n v="4443.17"/>
    <n v="145066.25"/>
    <x v="18"/>
    <n v="4443.17"/>
  </r>
  <r>
    <n v="15079"/>
    <x v="27"/>
    <n v="28990075000852"/>
    <s v="Diagnosticos Laboratoriais Especializada"/>
    <s v="Vespasiano"/>
    <s v="MG"/>
    <n v="26298"/>
    <x v="12"/>
    <s v="V"/>
    <s v="PE"/>
    <s v="Normal"/>
    <s v="29523 01 C"/>
    <m/>
    <d v="2022-05-31T00:00:00"/>
    <d v="2022-07-22T00:00:00"/>
    <d v="2022-06-09T00:00:00"/>
    <s v="  /  /  "/>
    <n v="0"/>
    <s v="  /  /  "/>
    <n v="0"/>
    <s v="                                        "/>
    <s v="  /  /  "/>
    <s v="sa757"/>
    <d v="2022-06-08T00:00:00"/>
    <s v="Sem rota"/>
    <n v="0"/>
    <m/>
    <n v="0"/>
    <m/>
    <n v="0"/>
    <s v="Logber - Colatina Es"/>
    <s v="CIF"/>
    <n v="1875.3400000000001"/>
    <n v="80000"/>
    <x v="18"/>
    <n v="1875.3400000000001"/>
  </r>
  <r>
    <n v="15074"/>
    <x v="21"/>
    <n v="58635830000175"/>
    <s v="Farmarin Industria e Comercio Ltda"/>
    <s v="Guarulhos"/>
    <s v="SP"/>
    <n v="25162"/>
    <x v="10"/>
    <s v="V"/>
    <s v="PE"/>
    <s v="Normal"/>
    <s v="16315 08 K"/>
    <n v="10905"/>
    <d v="2021-12-16T00:00:00"/>
    <d v="2022-07-22T00:00:00"/>
    <d v="2022-06-07T00:00:00"/>
    <s v="  /  /  "/>
    <n v="0"/>
    <s v="  /  /  "/>
    <n v="0"/>
    <s v="                                        "/>
    <s v="  /  /  "/>
    <s v="sa634"/>
    <d v="2022-02-11T00:00:00"/>
    <s v="Sem rota"/>
    <n v="600"/>
    <s v="30/60/90/120/ Ddf Sem Juros"/>
    <n v="0"/>
    <m/>
    <n v="0"/>
    <s v="Logber - Colatina Es"/>
    <s v="CIF"/>
    <n v="913.24999999999989"/>
    <n v="358277.5"/>
    <x v="18"/>
    <n v="913.24999999999989"/>
  </r>
  <r>
    <n v="15057"/>
    <x v="0"/>
    <n v="88674080000101"/>
    <s v="Tramontina Eletrik S/A"/>
    <s v="Carlos Barbosa"/>
    <s v="RS"/>
    <n v="25937"/>
    <x v="12"/>
    <s v="V"/>
    <s v="PE"/>
    <s v="Normal"/>
    <s v="29377 01 B"/>
    <n v="188544"/>
    <d v="2022-04-19T00:00:00"/>
    <d v="2022-07-22T00:00:00"/>
    <d v="2022-04-19T00:00:00"/>
    <s v="  /  /  "/>
    <n v="0"/>
    <s v="  /  /  "/>
    <n v="0"/>
    <s v="                                        "/>
    <s v="  /  /  "/>
    <s v="sa703"/>
    <d v="2022-04-27T00:00:00"/>
    <s v="Sem rota"/>
    <n v="119"/>
    <s v="28/56/84 Ddf S/juros"/>
    <n v="0"/>
    <m/>
    <n v="0"/>
    <s v="Logber - Colatina Es"/>
    <s v="CIF"/>
    <n v="4841.47"/>
    <n v="98087.5"/>
    <x v="18"/>
    <n v="4841.47"/>
  </r>
  <r>
    <n v="15059"/>
    <x v="20"/>
    <n v="58500398000610"/>
    <s v="Imb Textil S.A"/>
    <s v="Biguacu"/>
    <s v="SC"/>
    <n v="25479"/>
    <x v="7"/>
    <s v="V"/>
    <s v="PE"/>
    <s v="Normal"/>
    <s v="29174 01 B"/>
    <m/>
    <d v="2022-03-28T00:00:00"/>
    <d v="2022-07-22T00:00:00"/>
    <d v="2022-04-01T00:00:00"/>
    <s v="  /  /  "/>
    <n v="0"/>
    <s v="  /  /  "/>
    <n v="0"/>
    <s v="                                        "/>
    <s v="  /  /  "/>
    <s v="sa682"/>
    <d v="2022-04-05T00:00:00"/>
    <s v="Sem rota"/>
    <n v="2257"/>
    <s v="40% Conf/30%14ddf/saldo28ddf"/>
    <n v="0"/>
    <m/>
    <n v="0"/>
    <s v="Logber - Colatina Es"/>
    <s v="CIF"/>
    <n v="19.11"/>
    <n v="61950"/>
    <x v="18"/>
    <n v="19.11"/>
  </r>
  <r>
    <n v="15079"/>
    <x v="27"/>
    <n v="7159649000107"/>
    <s v="M K Locacao de Maquinas Ltda"/>
    <s v="Betim"/>
    <s v="MG"/>
    <n v="25813"/>
    <x v="8"/>
    <s v="V"/>
    <s v="PE"/>
    <s v="Normal"/>
    <s v="28753 00 E"/>
    <m/>
    <d v="2022-03-31T00:00:00"/>
    <d v="2022-07-22T00:00:00"/>
    <d v="2022-04-06T00:00:00"/>
    <s v="  /  /  "/>
    <n v="0"/>
    <s v="  /  /  "/>
    <n v="0"/>
    <s v="                                        "/>
    <s v="  /  /  "/>
    <s v="sa697"/>
    <d v="2022-04-18T00:00:00"/>
    <s v="Sem rota"/>
    <n v="2257"/>
    <s v="40% Conf/30%14ddf/saldo28ddf"/>
    <n v="0"/>
    <m/>
    <n v="0"/>
    <m/>
    <s v="CIF"/>
    <n v="207.55"/>
    <n v="153755.76999999999"/>
    <x v="18"/>
    <n v="207.55"/>
  </r>
  <r>
    <n v="15059"/>
    <x v="20"/>
    <n v="84229624000175"/>
    <s v="Metalurgica Fey Ltda"/>
    <s v="Indaial"/>
    <s v="SC"/>
    <n v="25818"/>
    <x v="8"/>
    <s v="V"/>
    <s v="PE"/>
    <s v="Normal"/>
    <s v="28470 03 D"/>
    <n v="4500015955"/>
    <d v="2022-03-31T00:00:00"/>
    <d v="2022-07-22T00:00:00"/>
    <d v="2022-04-07T00:00:00"/>
    <s v="  /  /  "/>
    <n v="0"/>
    <s v="  /  /  "/>
    <n v="0"/>
    <s v="                                        "/>
    <s v="  /  /  "/>
    <s v="sa697"/>
    <d v="2022-04-18T00:00:00"/>
    <s v="Sem rota"/>
    <n v="2257"/>
    <s v="40% Conf/30%14ddf/saldo28ddf"/>
    <n v="0"/>
    <m/>
    <n v="0"/>
    <s v="Logber - Colatina Es"/>
    <s v="CIF"/>
    <n v="1339.32"/>
    <n v="141906.82"/>
    <x v="18"/>
    <n v="1339.32"/>
  </r>
  <r>
    <n v="15062"/>
    <x v="1"/>
    <n v="59476770003769"/>
    <s v="Procter Gamble do Brasil Ltda"/>
    <s v="Seropedica"/>
    <s v="RJ"/>
    <n v="25809"/>
    <x v="13"/>
    <s v="V"/>
    <s v="PE"/>
    <s v="Normal"/>
    <s v="28134 05 I"/>
    <m/>
    <d v="2022-03-31T00:00:00"/>
    <d v="2022-07-22T00:00:00"/>
    <d v="2022-04-20T00:00:00"/>
    <s v="  /  /  "/>
    <n v="0"/>
    <s v="  /  /  "/>
    <n v="0"/>
    <s v="                                        "/>
    <s v="  /  /  "/>
    <s v="sa702"/>
    <d v="2022-04-27T00:00:00"/>
    <s v="Sem rota"/>
    <n v="944"/>
    <s v="90 DDF Sem Juros"/>
    <n v="0"/>
    <m/>
    <n v="0"/>
    <m/>
    <s v="CIF"/>
    <n v="24203.63"/>
    <n v="1128624.7"/>
    <x v="18"/>
    <n v="24203.63"/>
  </r>
  <r>
    <n v="15062"/>
    <x v="1"/>
    <n v="59476770003769"/>
    <s v="Procter Gamble do Brasil Ltda"/>
    <s v="Seropedica"/>
    <s v="RJ"/>
    <n v="25962"/>
    <x v="14"/>
    <s v="V"/>
    <s v="PE"/>
    <s v="Normal"/>
    <s v="28134 05 I"/>
    <m/>
    <d v="2022-03-31T00:00:00"/>
    <d v="2022-07-22T00:00:00"/>
    <d v="2022-04-25T00:00:00"/>
    <s v="  /  /  "/>
    <n v="0"/>
    <s v="  /  /  "/>
    <n v="0"/>
    <s v="                                        "/>
    <s v="  /  /  "/>
    <s v="sa720"/>
    <d v="2022-05-10T00:00:00"/>
    <s v="Sem rota"/>
    <n v="944"/>
    <s v="90 DDF Sem Juros"/>
    <n v="0"/>
    <m/>
    <n v="0"/>
    <s v="Logber - Colatina Es"/>
    <s v="CIF"/>
    <n v="566.82000000000005"/>
    <n v="55000"/>
    <x v="18"/>
    <n v="566.82000000000005"/>
  </r>
  <r>
    <n v="15062"/>
    <x v="1"/>
    <n v="59476770003769"/>
    <s v="Procter Gamble do Brasil Ltda"/>
    <s v="Seropedica"/>
    <s v="RJ"/>
    <n v="25963"/>
    <x v="0"/>
    <s v="V"/>
    <s v="PE"/>
    <s v="Normal"/>
    <s v="28134 05 I"/>
    <m/>
    <d v="2022-03-31T00:00:00"/>
    <d v="2022-07-22T00:00:00"/>
    <d v="2022-04-25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m/>
    <s v="CIF"/>
    <n v="0"/>
    <n v="523634.52"/>
    <x v="18"/>
    <n v="0"/>
  </r>
  <r>
    <n v="15075"/>
    <x v="5"/>
    <n v="94661428000200"/>
    <s v="Peter Chemical Industrial e Comercial Ei"/>
    <s v="Novo Hamburgo"/>
    <s v="RS"/>
    <n v="25952"/>
    <x v="7"/>
    <s v="V"/>
    <s v="PE"/>
    <s v="Normal"/>
    <s v="29266 00 B"/>
    <n v="1202"/>
    <d v="2022-04-20T00:00:00"/>
    <d v="2022-07-22T00:00:00"/>
    <d v="2022-05-05T00:00:00"/>
    <s v="  /  /  "/>
    <n v="0"/>
    <s v="  /  /  "/>
    <n v="0"/>
    <s v="                                        "/>
    <s v="  /  /  "/>
    <s v="sa715"/>
    <d v="2022-05-09T00:00:00"/>
    <s v="Sem rota"/>
    <n v="0"/>
    <m/>
    <n v="0"/>
    <m/>
    <n v="0"/>
    <s v="Logber - Colatina Es"/>
    <s v="CIF"/>
    <n v="1.59"/>
    <n v="17934.53"/>
    <x v="18"/>
    <n v="1.59"/>
  </r>
  <r>
    <n v="15057"/>
    <x v="0"/>
    <n v="21205440000155"/>
    <s v="Plasticos Vernier Eireli Epp"/>
    <s v="Santa Cruz do Sul"/>
    <s v="RS"/>
    <n v="25940"/>
    <x v="7"/>
    <s v="V"/>
    <s v="PE"/>
    <s v="Normal"/>
    <s v="28675 04 H"/>
    <m/>
    <d v="2022-04-19T00:00:00"/>
    <d v="2022-07-22T00:00:00"/>
    <d v="2022-04-20T00:00:00"/>
    <s v="  /  /  "/>
    <n v="0"/>
    <s v="  /  /  "/>
    <n v="0"/>
    <s v="                                        "/>
    <s v="  /  /  "/>
    <s v="sa701"/>
    <d v="2022-04-27T00:00:00"/>
    <s v="Sem rota"/>
    <n v="2257"/>
    <s v="40% Conf/30%14ddf/saldo28ddf"/>
    <n v="0"/>
    <m/>
    <n v="0"/>
    <s v="Logber - Colatina Es"/>
    <s v="CIF"/>
    <n v="501.48"/>
    <n v="36584.57"/>
    <x v="18"/>
    <n v="501.48"/>
  </r>
  <r>
    <n v="15067"/>
    <x v="3"/>
    <n v="18808950000102"/>
    <s v="Rm Artigos Funerarios Ltda"/>
    <s v="Caxias do Sul"/>
    <s v="RS"/>
    <n v="25796"/>
    <x v="8"/>
    <s v="V"/>
    <s v="PE"/>
    <s v="Normal"/>
    <s v="24125 02 C"/>
    <m/>
    <d v="2022-03-31T00:00:00"/>
    <d v="2022-07-22T00:00:00"/>
    <d v="2022-04-04T00:00:00"/>
    <s v="  /  /  "/>
    <n v="0"/>
    <s v="  /  /  "/>
    <n v="0"/>
    <s v="                                        "/>
    <s v="  /  /  "/>
    <s v="sa686"/>
    <d v="2022-04-08T00:00:00"/>
    <s v="Sem rota"/>
    <n v="0"/>
    <m/>
    <n v="0"/>
    <m/>
    <n v="0"/>
    <s v="Logber - Colatina Es"/>
    <s v="CIF"/>
    <n v="23.080000000000002"/>
    <n v="7743.75"/>
    <x v="18"/>
    <n v="23.080000000000002"/>
  </r>
  <r>
    <n v="15067"/>
    <x v="3"/>
    <n v="90347840000118"/>
    <s v="Tk Elevadores Brasil Ltda"/>
    <s v="Guaiba"/>
    <s v="RS"/>
    <n v="25791"/>
    <x v="8"/>
    <s v="V"/>
    <s v="PE"/>
    <s v="Normal"/>
    <s v="28946 01 B"/>
    <m/>
    <d v="2022-03-31T00:00:00"/>
    <d v="2022-07-22T00:00:00"/>
    <d v="2022-04-25T00:00:00"/>
    <s v="  /  /  "/>
    <n v="0"/>
    <s v="  /  /  "/>
    <n v="0"/>
    <s v="                                        "/>
    <s v="  /  /  "/>
    <s v="sa701"/>
    <d v="2022-04-27T00:00:00"/>
    <s v="Sem rota"/>
    <n v="2257"/>
    <s v="40% Conf/30%14ddf/saldo28ddf"/>
    <n v="0"/>
    <m/>
    <n v="0"/>
    <s v="Logber - Colatina Es"/>
    <s v="CIF"/>
    <n v="3742.4300000000007"/>
    <n v="390608.43"/>
    <x v="18"/>
    <n v="3742.4300000000007"/>
  </r>
  <r>
    <n v="15059"/>
    <x v="20"/>
    <n v="7175725001050"/>
    <s v="Weg Equipamentos Eletricos S/A"/>
    <s v="Jaragua do Sul"/>
    <s v="SC"/>
    <n v="25875"/>
    <x v="8"/>
    <s v="V"/>
    <s v="PE"/>
    <s v="Normal"/>
    <s v="27471 03 E"/>
    <n v="4512558893"/>
    <d v="2022-04-07T00:00:00"/>
    <d v="2022-07-22T00:00:00"/>
    <d v="2022-04-07T00:00:00"/>
    <s v="  /  /  "/>
    <n v="0"/>
    <s v="  /  /  "/>
    <n v="0"/>
    <s v="                                        "/>
    <s v="  /  /  "/>
    <s v="sa689"/>
    <d v="2022-04-11T00:00:00"/>
    <s v="Sem rota"/>
    <n v="2000"/>
    <s v="28 DDF S/juros"/>
    <n v="0"/>
    <m/>
    <n v="0"/>
    <s v="Logber - Colatina Es"/>
    <s v="CIF"/>
    <n v="273.04999999999995"/>
    <n v="21145.599999999999"/>
    <x v="18"/>
    <n v="273.04999999999995"/>
  </r>
  <r>
    <n v="15066"/>
    <x v="18"/>
    <n v="2003402005134"/>
    <s v="A D M do Brasil Ltda"/>
    <s v="Uberlandia"/>
    <s v="MG"/>
    <n v="25310"/>
    <x v="10"/>
    <s v="V"/>
    <s v="PE"/>
    <s v="Normal"/>
    <s v="16452 00 E"/>
    <n v="3952639"/>
    <d v="2022-01-20T00:00:00"/>
    <d v="2022-07-29T00:00:00"/>
    <d v="2022-01-20T00:00:00"/>
    <s v="  /  /  "/>
    <n v="0"/>
    <s v="  /  /  "/>
    <n v="0"/>
    <s v="                                        "/>
    <s v="  /  /  "/>
    <s v="sa634"/>
    <d v="2022-02-11T00:00:00"/>
    <s v="Sem rota"/>
    <n v="44"/>
    <s v="30 DDF S/juros"/>
    <n v="0"/>
    <m/>
    <n v="0"/>
    <s v="Logber - Colatina Es"/>
    <s v="CIF"/>
    <n v="204.49"/>
    <n v="61774.48"/>
    <x v="18"/>
    <n v="204.49"/>
  </r>
  <r>
    <n v="15066"/>
    <x v="18"/>
    <n v="2003402005134"/>
    <s v="A D M do Brasil Ltda"/>
    <s v="Uberlandia"/>
    <s v="MG"/>
    <n v="25311"/>
    <x v="0"/>
    <s v="V"/>
    <s v="PE"/>
    <s v="Normal"/>
    <s v="16452 00 E"/>
    <n v="3952639"/>
    <d v="2022-01-20T00:00:00"/>
    <d v="2022-07-29T00:00:00"/>
    <d v="2022-01-20T00:00:00"/>
    <s v="  /  /  "/>
    <n v="0"/>
    <s v="  /  /  "/>
    <n v="0"/>
    <s v="                                        "/>
    <s v="  /  /  "/>
    <m/>
    <s v="/  /"/>
    <s v="Sem rota"/>
    <n v="44"/>
    <s v="30 DDF S/juros"/>
    <n v="0"/>
    <m/>
    <n v="0"/>
    <m/>
    <s v="CIF"/>
    <n v="0"/>
    <n v="68250"/>
    <x v="18"/>
    <n v="0"/>
  </r>
  <r>
    <n v="15064"/>
    <x v="17"/>
    <n v="3887324000181"/>
    <s v="Adimax Industria e Comercio de Alimentos"/>
    <s v="Salto de Pirapora"/>
    <s v="SP"/>
    <n v="26293"/>
    <x v="12"/>
    <s v="V"/>
    <s v="PE"/>
    <s v="Normal"/>
    <s v="29910 01 C"/>
    <m/>
    <d v="2022-05-31T00:00:00"/>
    <d v="2022-07-29T00:00:00"/>
    <d v="2022-06-07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42473.57"/>
    <n v="661181.23"/>
    <x v="18"/>
    <n v="42473.57"/>
  </r>
  <r>
    <n v="15064"/>
    <x v="17"/>
    <n v="3887324000181"/>
    <s v="Adimax Industria e Comercio de Alimentos"/>
    <s v="Salto de Pirapora"/>
    <s v="SP"/>
    <n v="26294"/>
    <x v="14"/>
    <s v="V"/>
    <s v="PE"/>
    <s v="Normal"/>
    <s v="29910 01 C"/>
    <m/>
    <d v="2022-05-31T00:00:00"/>
    <d v="2022-07-29T00:00:00"/>
    <d v="2022-06-07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73130"/>
    <n v="1697521.98"/>
    <x v="18"/>
    <n v="73130"/>
  </r>
  <r>
    <n v="15073"/>
    <x v="16"/>
    <n v="1154956000534"/>
    <s v="Bela Tintas Ltda"/>
    <s v="Maua"/>
    <s v="SP"/>
    <n v="25970"/>
    <x v="12"/>
    <s v="V"/>
    <s v="PE"/>
    <s v="Normal"/>
    <s v="29375 02 B"/>
    <m/>
    <d v="2022-04-25T00:00:00"/>
    <d v="2022-07-29T00:00:00"/>
    <d v="2022-04-29T00:00:00"/>
    <s v="  /  /  "/>
    <n v="0"/>
    <s v="  /  /  "/>
    <n v="0"/>
    <s v="                                        "/>
    <s v="  /  /  "/>
    <s v="sa713"/>
    <d v="2022-05-05T00:00:00"/>
    <s v="Sem rota"/>
    <n v="2257"/>
    <s v="40% Conf/30%14ddf/saldo28ddf"/>
    <n v="0"/>
    <m/>
    <n v="0"/>
    <s v="Logber - Colatina Es"/>
    <s v="CIF"/>
    <n v="892.09"/>
    <n v="34072.5"/>
    <x v="18"/>
    <n v="892.09"/>
  </r>
  <r>
    <n v="15057"/>
    <x v="0"/>
    <n v="138093000115"/>
    <s v="Box Distribuidor Ltda"/>
    <s v="Santa Cruz do Sul"/>
    <s v="RS"/>
    <n v="26093"/>
    <x v="12"/>
    <s v="V"/>
    <s v="PE"/>
    <s v="Normal"/>
    <s v="29679 01 B"/>
    <m/>
    <d v="2022-05-10T00:00:00"/>
    <d v="2022-07-29T00:00:00"/>
    <d v="2022-05-12T00:00:00"/>
    <s v="  /  /  "/>
    <n v="0"/>
    <s v="  /  /  "/>
    <n v="0"/>
    <s v="                                        "/>
    <s v="  /  /  "/>
    <s v="sa726"/>
    <d v="2022-05-13T00:00:00"/>
    <s v="Sem rota"/>
    <n v="2239"/>
    <s v="30%conf. e Saldo 28/56/84 Ddf"/>
    <n v="0"/>
    <m/>
    <n v="0"/>
    <s v="Logber - Colatina Es"/>
    <s v="CIF"/>
    <n v="9837.7200000000012"/>
    <n v="227150"/>
    <x v="18"/>
    <n v="9837.7200000000012"/>
  </r>
  <r>
    <n v="15080"/>
    <x v="29"/>
    <n v="1377724000111"/>
    <s v="Brasalpla Brasil Ind. de Embalagens Ltda"/>
    <s v="Itapevi"/>
    <s v="SP"/>
    <n v="26231"/>
    <x v="12"/>
    <s v="V"/>
    <s v="PE"/>
    <s v="Normal"/>
    <s v="29811 01 B"/>
    <n v="129338"/>
    <d v="2022-05-26T00:00:00"/>
    <d v="2022-07-29T00:00:00"/>
    <d v="2022-05-26T00:00:00"/>
    <s v="  /  /  "/>
    <n v="0"/>
    <s v="  /  /  "/>
    <n v="0"/>
    <s v="                                        "/>
    <s v="  /  /  "/>
    <s v="sa750"/>
    <d v="2022-06-03T00:00:00"/>
    <s v="Sem rota"/>
    <n v="208"/>
    <s v="14 Ddf  S/juros"/>
    <n v="0"/>
    <m/>
    <n v="0"/>
    <s v="Logber - Colatina Es"/>
    <s v="CIF"/>
    <n v="174.82999999999998"/>
    <n v="7909.98"/>
    <x v="18"/>
    <n v="174.82999999999998"/>
  </r>
  <r>
    <n v="15057"/>
    <x v="0"/>
    <n v="91897876000138"/>
    <s v="Bremil S.A Ind de Prod Alimenticios"/>
    <s v="Arroio do Meio"/>
    <s v="RS"/>
    <n v="26342"/>
    <x v="7"/>
    <s v="V"/>
    <s v="PE"/>
    <s v="Normal"/>
    <s v="30056 00 B"/>
    <n v="84504"/>
    <d v="2022-06-09T00:00:00"/>
    <d v="2022-07-29T00:00:00"/>
    <d v="2022-06-09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s v="Logber - Colatina Es"/>
    <s v="CIF"/>
    <n v="22"/>
    <n v="505.93"/>
    <x v="18"/>
    <n v="22"/>
  </r>
  <r>
    <n v="15057"/>
    <x v="0"/>
    <n v="1838723024816"/>
    <s v="Brf S.A"/>
    <s v="Marau"/>
    <s v="RS"/>
    <n v="25468"/>
    <x v="13"/>
    <s v="V"/>
    <s v="PE"/>
    <s v="Normal"/>
    <s v="23173 02 F"/>
    <n v="104947784"/>
    <d v="2022-02-16T00:00:00"/>
    <d v="2022-07-29T00:00:00"/>
    <d v="2022-06-07T00:00:00"/>
    <s v="  /  /  "/>
    <n v="0"/>
    <s v="  /  /  "/>
    <n v="0"/>
    <s v="                                        "/>
    <s v="  /  /  "/>
    <s v="sa666"/>
    <d v="2022-03-18T00:00:00"/>
    <s v="Sem rota"/>
    <n v="575"/>
    <s v="180 Ddf S/j"/>
    <n v="0"/>
    <m/>
    <n v="0"/>
    <s v="Logber - Colatina Es"/>
    <s v="CIF"/>
    <n v="22403.109999999997"/>
    <n v="1744000"/>
    <x v="18"/>
    <n v="22403.109999999997"/>
  </r>
  <r>
    <n v="15077"/>
    <x v="30"/>
    <n v="45242914037955"/>
    <s v="C&amp;a Modas S.A"/>
    <s v="Sao Paulo"/>
    <s v="SP"/>
    <n v="26302"/>
    <x v="12"/>
    <s v="V"/>
    <s v="PE"/>
    <s v="Normal"/>
    <s v="29459 03 D"/>
    <m/>
    <d v="2022-05-31T00:00:00"/>
    <d v="2022-07-29T00:00:00"/>
    <d v="2022-06-09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s v="Logber - Colatina Es"/>
    <s v="CIF"/>
    <n v="30970"/>
    <n v="535867.5"/>
    <x v="18"/>
    <n v="30970"/>
  </r>
  <r>
    <n v="15059"/>
    <x v="20"/>
    <n v="82900713000176"/>
    <s v="Copal Alimentos Ltda"/>
    <s v="Sao Jose"/>
    <s v="SC"/>
    <n v="25548"/>
    <x v="7"/>
    <s v="V"/>
    <s v="PE"/>
    <s v="Normal"/>
    <s v="28714 02 B"/>
    <m/>
    <d v="2022-02-28T00:00:00"/>
    <d v="2022-07-29T00:00:00"/>
    <d v="2022-03-18T00:00:00"/>
    <s v="  /  /  "/>
    <n v="0"/>
    <s v="  /  /  "/>
    <n v="0"/>
    <s v="                                        "/>
    <s v="  /  /  "/>
    <s v="sa667"/>
    <d v="2022-03-18T00:00:00"/>
    <s v="Sem rota"/>
    <n v="0"/>
    <m/>
    <n v="0"/>
    <m/>
    <n v="0"/>
    <s v="Logber - Colatina Es"/>
    <s v="CIF"/>
    <n v="20130.57"/>
    <n v="688333.34"/>
    <x v="18"/>
    <n v="20130.57"/>
  </r>
  <r>
    <n v="15059"/>
    <x v="20"/>
    <n v="82900713000176"/>
    <s v="Copal Alimentos Ltda"/>
    <s v="Sao Jose"/>
    <s v="SC"/>
    <n v="26310"/>
    <x v="12"/>
    <s v="V"/>
    <s v="PE"/>
    <s v="Normal"/>
    <s v="30135 00 A"/>
    <m/>
    <d v="2022-06-03T00:00:00"/>
    <d v="2022-07-29T00:00:00"/>
    <d v="2022-06-03T00:00:00"/>
    <s v="  /  /  "/>
    <n v="0"/>
    <s v="  /  /  "/>
    <n v="0"/>
    <s v="                                        "/>
    <s v="  /  /  "/>
    <m/>
    <s v="/  /"/>
    <s v="Sem rota"/>
    <n v="2096"/>
    <s v="25/56/84 Ddf"/>
    <n v="0"/>
    <m/>
    <n v="0"/>
    <s v="Logber - Colatina Es"/>
    <s v="CIF"/>
    <n v="303"/>
    <n v="6401.5"/>
    <x v="18"/>
    <n v="303"/>
  </r>
  <r>
    <n v="15057"/>
    <x v="0"/>
    <n v="89677595000128"/>
    <s v="Coop Triticola de Espumoso Ltda Cotriel"/>
    <s v="Espumoso"/>
    <s v="RS"/>
    <n v="25999"/>
    <x v="7"/>
    <s v="V"/>
    <s v="PE"/>
    <s v="Normal"/>
    <s v="29214 00 B"/>
    <m/>
    <d v="2022-04-27T00:00:00"/>
    <d v="2022-07-29T00:00:00"/>
    <d v="2022-04-27T00:00:00"/>
    <s v="  /  /  "/>
    <n v="0"/>
    <s v="  /  /  "/>
    <n v="0"/>
    <s v="                                        "/>
    <s v="  /  /  "/>
    <s v="sa715"/>
    <d v="2022-05-09T00:00:00"/>
    <s v="Sem rota"/>
    <n v="2000"/>
    <s v="28 DDF S/juros"/>
    <n v="0"/>
    <m/>
    <n v="0"/>
    <s v="Logber - Colatina Es"/>
    <s v="CIF"/>
    <n v="0.28000000000000003"/>
    <n v="2467.6799999999998"/>
    <x v="18"/>
    <n v="0.28000000000000003"/>
  </r>
  <r>
    <n v="15059"/>
    <x v="20"/>
    <n v="84430149000109"/>
    <s v="Duas Rodas Industrial Ltda"/>
    <s v="Jaragua do Sul"/>
    <s v="SC"/>
    <n v="25997"/>
    <x v="7"/>
    <s v="V"/>
    <s v="PE"/>
    <s v="Normal"/>
    <s v="29506 01 A"/>
    <n v="4500286781"/>
    <d v="2022-04-27T00:00:00"/>
    <d v="2022-07-29T00:00:00"/>
    <d v="2022-05-04T00:00:00"/>
    <s v="  /  /  "/>
    <n v="0"/>
    <s v="  /  /  "/>
    <n v="0"/>
    <s v="                                        "/>
    <s v="  /  /  "/>
    <s v="sa713"/>
    <d v="2022-05-05T00:00:00"/>
    <s v="Sem rota"/>
    <n v="2257"/>
    <s v="40% Conf/30%14ddf/saldo28ddf"/>
    <n v="0"/>
    <m/>
    <n v="0"/>
    <s v="Logber - Colatina Es"/>
    <s v="CIF"/>
    <n v="554.59999999999991"/>
    <n v="36991.379999999997"/>
    <x v="18"/>
    <n v="554.59999999999991"/>
  </r>
  <r>
    <n v="15059"/>
    <x v="20"/>
    <n v="84430149000109"/>
    <s v="Duas Rodas Industrial Ltda"/>
    <s v="Jaragua do Sul"/>
    <s v="SC"/>
    <n v="25998"/>
    <x v="7"/>
    <s v="V"/>
    <s v="PE"/>
    <s v="Normal"/>
    <s v="29507 01 B"/>
    <n v="4500286781"/>
    <d v="2022-04-27T00:00:00"/>
    <d v="2022-07-29T00:00:00"/>
    <d v="2022-05-04T00:00:00"/>
    <s v="  /  /  "/>
    <n v="0"/>
    <s v="  /  /  "/>
    <n v="0"/>
    <s v="                                        "/>
    <s v="  /  /  "/>
    <s v="sa715"/>
    <d v="2022-05-09T00:00:00"/>
    <s v="Sem rota"/>
    <n v="2257"/>
    <s v="40% Conf/30%14ddf/saldo28ddf"/>
    <n v="0"/>
    <m/>
    <n v="0"/>
    <s v="Logber - Colatina Es"/>
    <s v="CIF"/>
    <n v="365.49"/>
    <n v="11357.5"/>
    <x v="18"/>
    <n v="365.49"/>
  </r>
  <r>
    <n v="15059"/>
    <x v="20"/>
    <n v="84430149000109"/>
    <s v="Duas Rodas Industrial Ltda"/>
    <s v="Jaragua do Sul"/>
    <s v="SC"/>
    <n v="26011"/>
    <x v="7"/>
    <s v="V"/>
    <s v="PE"/>
    <s v="Normal"/>
    <s v="29641 01 A"/>
    <n v="4500286481"/>
    <d v="2022-04-28T00:00:00"/>
    <d v="2022-07-29T00:00:00"/>
    <d v="2022-05-04T00:00:00"/>
    <s v="  /  /  "/>
    <n v="0"/>
    <s v="  /  /  "/>
    <n v="0"/>
    <s v="                                        "/>
    <s v="  /  /  "/>
    <s v="sa715"/>
    <d v="2022-05-09T00:00:00"/>
    <s v="Sem rota"/>
    <n v="2257"/>
    <s v="40% Conf/30%14ddf/saldo28ddf"/>
    <n v="0"/>
    <m/>
    <n v="0"/>
    <s v="Logber - Colatina Es"/>
    <s v="CIF"/>
    <n v="555.34"/>
    <n v="31191.83"/>
    <x v="18"/>
    <n v="555.34"/>
  </r>
  <r>
    <n v="15909"/>
    <x v="15"/>
    <n v="10970887003209"/>
    <s v="Fedex do Brasil Logistica e Transporte"/>
    <s v="Serra"/>
    <s v="ES"/>
    <n v="25555"/>
    <x v="8"/>
    <s v="V"/>
    <s v="PE"/>
    <s v="Normal"/>
    <s v="28610 10 F"/>
    <m/>
    <d v="2022-02-28T00:00:00"/>
    <d v="2022-07-29T00:00:00"/>
    <d v="2022-04-06T00:00:00"/>
    <s v="  /  /  "/>
    <n v="0"/>
    <s v="  /  /  "/>
    <n v="0"/>
    <s v="                                        "/>
    <s v="  /  /  "/>
    <s v="sa692"/>
    <d v="2022-04-13T00:00:00"/>
    <s v="Sem rota"/>
    <n v="0"/>
    <m/>
    <n v="0"/>
    <m/>
    <n v="0"/>
    <s v="Logber - Colatina Es"/>
    <s v="CIF"/>
    <n v="89364.969999999987"/>
    <n v="2397325.52"/>
    <x v="18"/>
    <n v="89364.969999999987"/>
  </r>
  <r>
    <n v="15909"/>
    <x v="15"/>
    <n v="10970887003209"/>
    <s v="Fedex do Brasil Logistica e Transporte"/>
    <s v="Serra"/>
    <s v="ES"/>
    <n v="25787"/>
    <x v="8"/>
    <s v="V"/>
    <s v="PE"/>
    <s v="Normal"/>
    <s v="28610 10 F"/>
    <m/>
    <d v="2022-02-28T00:00:00"/>
    <d v="2022-07-29T00:00:00"/>
    <d v="2022-04-11T00:00:00"/>
    <s v="  /  /  "/>
    <n v="0"/>
    <s v="  /  /  "/>
    <n v="0"/>
    <s v="                                        "/>
    <s v="  /  /  "/>
    <s v="sa692"/>
    <d v="2022-04-13T00:00:00"/>
    <s v="Sem rota"/>
    <n v="0"/>
    <m/>
    <n v="0"/>
    <m/>
    <n v="0"/>
    <s v="Logber - Colatina Es"/>
    <s v="CIF"/>
    <n v="75179.210000000006"/>
    <n v="2397325.52"/>
    <x v="18"/>
    <n v="75179.210000000006"/>
  </r>
  <r>
    <n v="15067"/>
    <x v="3"/>
    <n v="92695691000103"/>
    <s v="Kley Hertz Farmaceutica S.A"/>
    <s v="Porto Alegre"/>
    <s v="RS"/>
    <n v="26308"/>
    <x v="12"/>
    <s v="V"/>
    <s v="PE"/>
    <s v="Normal"/>
    <s v="24368 02 F"/>
    <n v="4500078535"/>
    <d v="2022-06-03T00:00:00"/>
    <d v="2022-07-29T00:00:00"/>
    <d v="2022-06-03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2495"/>
    <n v="57010"/>
    <x v="18"/>
    <n v="2495"/>
  </r>
  <r>
    <n v="15067"/>
    <x v="3"/>
    <n v="92695691000103"/>
    <s v="Kley Hertz Farmaceutica S.A"/>
    <s v="Porto Alegre"/>
    <s v="RS"/>
    <n v="26309"/>
    <x v="0"/>
    <s v="V"/>
    <s v="PE"/>
    <s v="Normal"/>
    <s v="24368 02 F"/>
    <n v="4500078535"/>
    <d v="2022-06-03T00:00:00"/>
    <d v="2022-07-29T00:00:00"/>
    <d v="2022-06-03T00:00:00"/>
    <s v="  /  /  "/>
    <n v="0"/>
    <s v="  /  /  "/>
    <n v="0"/>
    <s v="                                        "/>
    <s v="  /  /  "/>
    <m/>
    <s v="/  /"/>
    <s v="Sem rota"/>
    <n v="2203"/>
    <s v="50% Conf e 50% 14ddf"/>
    <n v="0"/>
    <m/>
    <n v="0"/>
    <s v="Rasador"/>
    <m/>
    <n v="0"/>
    <n v="7690"/>
    <x v="18"/>
    <n v="0"/>
  </r>
  <r>
    <n v="15067"/>
    <x v="3"/>
    <n v="2118988000113"/>
    <s v="Lm Grafica e Editora Eireli"/>
    <s v="Porto Alegre"/>
    <s v="RS"/>
    <n v="25968"/>
    <x v="7"/>
    <s v="V"/>
    <s v="PE"/>
    <s v="Normal"/>
    <s v="29483 01 A"/>
    <m/>
    <d v="2022-04-25T00:00:00"/>
    <d v="2022-07-29T00:00:00"/>
    <d v="2022-04-25T00:00:00"/>
    <s v="  /  /  "/>
    <n v="0"/>
    <s v="  /  /  "/>
    <n v="0"/>
    <s v="                                        "/>
    <s v="  /  /  "/>
    <s v="sa715"/>
    <d v="2022-05-09T00:00:00"/>
    <s v="Sem rota"/>
    <n v="0"/>
    <m/>
    <n v="0"/>
    <m/>
    <n v="0"/>
    <s v="Logber - Colatina Es"/>
    <s v="CIF"/>
    <n v="45.550000000000004"/>
    <n v="15922.89"/>
    <x v="18"/>
    <n v="45.550000000000004"/>
  </r>
  <r>
    <n v="15067"/>
    <x v="3"/>
    <n v="89776991000102"/>
    <s v="Moinho Estrela Ltda"/>
    <s v="Canoas"/>
    <s v="RS"/>
    <n v="25988"/>
    <x v="12"/>
    <s v="V"/>
    <s v="PE"/>
    <s v="Normal"/>
    <s v="29437 00 B"/>
    <n v="27621"/>
    <d v="2022-04-27T00:00:00"/>
    <d v="2022-07-29T00:00:00"/>
    <d v="2022-04-27T00:00:00"/>
    <s v="  /  /  "/>
    <n v="0"/>
    <s v="  /  /  "/>
    <n v="0"/>
    <s v="                                        "/>
    <s v="  /  /  "/>
    <s v="sa715"/>
    <d v="2022-05-09T00:00:00"/>
    <s v="Sem rota"/>
    <n v="2000"/>
    <s v="28 DDF S/juros"/>
    <n v="0"/>
    <m/>
    <n v="0"/>
    <s v="Logber - Colatina Es"/>
    <s v="CIF"/>
    <n v="22.66"/>
    <n v="2345.84"/>
    <x v="18"/>
    <n v="22.66"/>
  </r>
  <r>
    <n v="15057"/>
    <x v="0"/>
    <n v="42155311000170"/>
    <s v="Plastsul Industria de Embalagens Plastic"/>
    <s v="Getulio Vargas"/>
    <s v="RS"/>
    <n v="26095"/>
    <x v="7"/>
    <s v="V"/>
    <s v="PE"/>
    <s v="Normal"/>
    <s v="29610 01 B"/>
    <m/>
    <d v="2022-05-10T00:00:00"/>
    <d v="2022-07-29T00:00:00"/>
    <d v="2022-05-12T00:00:00"/>
    <s v="  /  /  "/>
    <n v="0"/>
    <s v="  /  /  "/>
    <n v="0"/>
    <s v="                                        "/>
    <s v="  /  /  "/>
    <s v="sa726"/>
    <d v="2022-05-13T00:00:00"/>
    <s v="Sem rota"/>
    <n v="2257"/>
    <s v="40% Conf/30%14ddf/saldo28ddf"/>
    <n v="0"/>
    <m/>
    <n v="0"/>
    <s v="Logber - Colatina Es"/>
    <s v="CIF"/>
    <n v="213.11"/>
    <n v="11246.76"/>
    <x v="18"/>
    <n v="213.11"/>
  </r>
  <r>
    <n v="15063"/>
    <x v="23"/>
    <n v="61150751003102"/>
    <s v="Prysmian Cabos e Sistemas do Brasil S.A"/>
    <s v="Cariacica"/>
    <s v="ES"/>
    <n v="25899"/>
    <x v="8"/>
    <s v="V"/>
    <s v="PE"/>
    <s v="Normal"/>
    <s v="28411 03 D"/>
    <n v="4500107763"/>
    <d v="2022-04-12T00:00:00"/>
    <d v="2022-07-29T00:00:00"/>
    <d v="2022-04-12T00:00:00"/>
    <s v="  /  /  "/>
    <n v="0"/>
    <s v="  /  /  "/>
    <n v="0"/>
    <s v="                                        "/>
    <s v="  /  /  "/>
    <s v="sa699"/>
    <d v="2022-04-20T00:00:00"/>
    <s v="Sem rota"/>
    <n v="44"/>
    <s v="30 DDF S/juros"/>
    <n v="0"/>
    <m/>
    <n v="0"/>
    <s v="Logber - Colatina Es"/>
    <s v="CIF"/>
    <n v="1583.81"/>
    <n v="53586.75"/>
    <x v="18"/>
    <n v="1583.81"/>
  </r>
  <r>
    <n v="15067"/>
    <x v="3"/>
    <n v="89729867000358"/>
    <s v="Sulbras Moldes e Plasticos Ltda"/>
    <s v="Salto"/>
    <s v="SP"/>
    <n v="26334"/>
    <x v="12"/>
    <s v="V"/>
    <s v="PE"/>
    <s v="Normal"/>
    <s v="30108 01 A"/>
    <m/>
    <d v="2022-06-08T00:00:00"/>
    <d v="2022-07-29T00:00:00"/>
    <d v="2022-06-08T00:00:00"/>
    <s v="  /  /  "/>
    <n v="0"/>
    <s v="  /  /  "/>
    <n v="0"/>
    <s v="                                        "/>
    <s v="  /  /  "/>
    <m/>
    <s v="/  /"/>
    <s v="Sem rota"/>
    <n v="2230"/>
    <s v="30%conf e Saldo 30/60/90 Ddf"/>
    <n v="0"/>
    <m/>
    <n v="0"/>
    <s v="Logber - Colatina Es"/>
    <s v="CIF"/>
    <n v="5118"/>
    <n v="89548.73"/>
    <x v="18"/>
    <n v="5118"/>
  </r>
  <r>
    <n v="15051"/>
    <x v="13"/>
    <n v="56548472000138"/>
    <s v="Textil Tecnicor Ltda"/>
    <s v="Guarulhos"/>
    <s v="SP"/>
    <n v="26337"/>
    <x v="8"/>
    <s v="V"/>
    <s v="PE"/>
    <s v="Normal"/>
    <s v="29973 00 C"/>
    <n v="10218947"/>
    <d v="2022-06-08T00:00:00"/>
    <d v="2022-07-29T00:00:00"/>
    <d v="2022-06-09T00:00:00"/>
    <s v="  /  /  "/>
    <n v="0"/>
    <s v="  /  /  "/>
    <n v="0"/>
    <s v="                                        "/>
    <s v="  /  /  "/>
    <m/>
    <s v="/  /"/>
    <s v="Sem rota"/>
    <n v="1091"/>
    <s v="28/56 DDF S/juros"/>
    <n v="0"/>
    <m/>
    <n v="0"/>
    <s v="Logber - Colatina Es"/>
    <s v="CIF"/>
    <n v="1239"/>
    <n v="32007.5"/>
    <x v="18"/>
    <n v="1239"/>
  </r>
  <r>
    <n v="15064"/>
    <x v="17"/>
    <n v="18928807000154"/>
    <s v="Uniar Com de Eletro-eletronicos e Servic"/>
    <s v="Extrema"/>
    <s v="MG"/>
    <n v="26189"/>
    <x v="12"/>
    <s v="V"/>
    <s v="PE"/>
    <s v="Normal"/>
    <s v="29918 01 A"/>
    <m/>
    <d v="2022-05-23T00:00:00"/>
    <d v="2022-07-29T00:00:00"/>
    <d v="2022-05-24T00:00:00"/>
    <s v="  /  /  "/>
    <n v="0"/>
    <s v="  /  /  "/>
    <n v="0"/>
    <s v="                                        "/>
    <s v="  /  /  "/>
    <s v="sa740"/>
    <d v="2022-05-26T00:00:00"/>
    <s v="Sem rota"/>
    <n v="2257"/>
    <s v="40% Conf/30%14ddf/saldo28ddf"/>
    <n v="0"/>
    <m/>
    <n v="0"/>
    <s v="Logber - Colatina Es"/>
    <s v="CIF"/>
    <n v="1135.74"/>
    <n v="42126"/>
    <x v="18"/>
    <n v="1135.74"/>
  </r>
  <r>
    <n v="15059"/>
    <x v="20"/>
    <n v="514179000103"/>
    <s v="Villa Germania Alimentos S/A"/>
    <s v="Indaial"/>
    <s v="SC"/>
    <n v="26320"/>
    <x v="6"/>
    <s v="V"/>
    <s v="PE"/>
    <s v="Normal"/>
    <s v="28674 00 B"/>
    <n v="14150"/>
    <d v="2022-06-07T00:00:00"/>
    <d v="2022-07-29T00:00:00"/>
    <d v="2022-06-07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s v="Logber - Colatina Es"/>
    <s v="CIF"/>
    <n v="184"/>
    <n v="4731.04"/>
    <x v="18"/>
    <n v="184"/>
  </r>
  <r>
    <n v="15057"/>
    <x v="0"/>
    <n v="89831788000191"/>
    <s v="Vinicola Geisse Ltda"/>
    <s v="Pinto Bandeira"/>
    <s v="RS"/>
    <n v="26051"/>
    <x v="8"/>
    <s v="V"/>
    <s v="PE"/>
    <s v="Normal"/>
    <s v="29213 02 C"/>
    <m/>
    <d v="2022-05-03T00:00:00"/>
    <d v="2022-07-29T00:00:00"/>
    <d v="2022-05-05T00:00:00"/>
    <s v="  /  /  "/>
    <n v="0"/>
    <s v="  /  /  "/>
    <n v="0"/>
    <s v="                                        "/>
    <s v="  /  /  "/>
    <s v="sa721"/>
    <d v="2022-05-10T00:00:00"/>
    <s v="Sem rota"/>
    <n v="0"/>
    <m/>
    <n v="0"/>
    <m/>
    <n v="0"/>
    <s v="Logber - Colatina Es"/>
    <s v="CIF"/>
    <n v="5296.04"/>
    <n v="109693.79"/>
    <x v="18"/>
    <n v="5296.04"/>
  </r>
  <r>
    <n v="15059"/>
    <x v="20"/>
    <n v="502654000113"/>
    <s v="Vitalin Alimentos Ltda"/>
    <s v="Jaragua do Sul"/>
    <s v="SC"/>
    <n v="26242"/>
    <x v="12"/>
    <s v="V"/>
    <s v="PE"/>
    <s v="Normal"/>
    <s v="29724 03 D"/>
    <m/>
    <d v="2022-05-27T00:00:00"/>
    <d v="2022-07-29T00:00:00"/>
    <d v="2022-06-01T00:00:00"/>
    <s v="  /  /  "/>
    <n v="0"/>
    <s v="  /  /  "/>
    <n v="0"/>
    <s v="                                        "/>
    <s v="  /  /  "/>
    <s v="sa750"/>
    <d v="2022-06-03T00:00:00"/>
    <s v="Sem rota"/>
    <n v="2257"/>
    <s v="40% Conf/30%14ddf/saldo28ddf"/>
    <n v="0"/>
    <m/>
    <n v="0"/>
    <s v="Logber - Colatina Es"/>
    <s v="CIF"/>
    <n v="1536.58"/>
    <n v="62698.559999999998"/>
    <x v="18"/>
    <n v="1536.58"/>
  </r>
  <r>
    <n v="15910"/>
    <x v="11"/>
    <n v="8146691000148"/>
    <s v="Viton 44 Ind Com e Exp de Alimentos Ltda"/>
    <s v="Rio de Janeiro"/>
    <s v="RJ"/>
    <n v="26291"/>
    <x v="10"/>
    <s v="V"/>
    <s v="PE"/>
    <s v="Normal"/>
    <s v="29730 01 B"/>
    <m/>
    <d v="2022-05-31T00:00:00"/>
    <d v="2022-07-29T00:00:00"/>
    <d v="2022-06-03T00:00:00"/>
    <s v="  /  /  "/>
    <n v="0"/>
    <s v="  /  /  "/>
    <n v="0"/>
    <s v="                                        "/>
    <s v="  /  /  "/>
    <m/>
    <s v="/  /"/>
    <s v="Sem rota"/>
    <n v="3012"/>
    <s v="40% Cofirmação / Saldo 30/60"/>
    <n v="0"/>
    <m/>
    <n v="0"/>
    <s v="Logber - Colatina Es"/>
    <s v="CIF"/>
    <n v="1380"/>
    <n v="31976.53"/>
    <x v="18"/>
    <n v="1380"/>
  </r>
  <r>
    <n v="15057"/>
    <x v="0"/>
    <n v="90070384000101"/>
    <s v="Wolfle e Schwalm Ltda"/>
    <s v="Cerro Grande do Sul"/>
    <s v="RS"/>
    <n v="26341"/>
    <x v="12"/>
    <s v="V"/>
    <s v="PE"/>
    <s v="Normal"/>
    <s v="29916 00 D"/>
    <m/>
    <d v="2022-06-09T00:00:00"/>
    <d v="2022-07-29T00:00:00"/>
    <d v="2022-06-09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533"/>
    <n v="12881.47"/>
    <x v="18"/>
    <n v="533"/>
  </r>
  <r>
    <n v="15057"/>
    <x v="0"/>
    <n v="74072513001035"/>
    <s v="Agro-comercial Afubra Ltda"/>
    <s v="Imbituva"/>
    <s v="PR"/>
    <n v="26174"/>
    <x v="12"/>
    <s v="V"/>
    <s v="PE"/>
    <s v="Normal"/>
    <s v="29871 01 B"/>
    <m/>
    <d v="2022-05-19T00:00:00"/>
    <d v="2022-08-05T00:00:00"/>
    <d v="2022-05-24T00:00:00"/>
    <s v="  /  /  "/>
    <n v="0"/>
    <s v="  /  /  "/>
    <n v="0"/>
    <s v="                                        "/>
    <s v="  /  /  "/>
    <s v="sa739"/>
    <d v="2022-05-25T00:00:00"/>
    <s v="Sem rota"/>
    <n v="0"/>
    <m/>
    <n v="0"/>
    <m/>
    <n v="0"/>
    <s v="Logber - Colatina Es"/>
    <s v="CIF"/>
    <n v="2639.43"/>
    <n v="78470"/>
    <x v="19"/>
    <n v="2639.43"/>
  </r>
  <r>
    <n v="15073"/>
    <x v="16"/>
    <n v="17469701004326"/>
    <s v="Arcelormittal Brasil S/A"/>
    <s v="Sao Paulo"/>
    <s v="SP"/>
    <n v="26243"/>
    <x v="12"/>
    <s v="V"/>
    <s v="PE"/>
    <s v="Normal"/>
    <s v="29809 00 B"/>
    <n v="4400544788"/>
    <d v="2022-05-27T00:00:00"/>
    <d v="2022-08-05T00:00:00"/>
    <d v="2022-05-27T00:00:00"/>
    <s v="  /  /  "/>
    <n v="0"/>
    <s v="  /  /  "/>
    <n v="0"/>
    <s v="                                        "/>
    <s v="  /  /  "/>
    <s v="sa756"/>
    <d v="2022-06-07T00:00:00"/>
    <s v="Sem rota"/>
    <n v="13"/>
    <s v="45 Ddf S/j"/>
    <n v="0"/>
    <m/>
    <n v="0"/>
    <s v="Logber - Colatina Es"/>
    <s v="CIF"/>
    <n v="403.37"/>
    <n v="27051.5"/>
    <x v="19"/>
    <n v="403.37"/>
  </r>
  <r>
    <n v="15077"/>
    <x v="30"/>
    <n v="6346545000130"/>
    <s v="Comercial Exp. Imp. Dist. Marc 4 Ltda"/>
    <s v="Sao Paulo"/>
    <s v="SP"/>
    <n v="26281"/>
    <x v="12"/>
    <s v="V"/>
    <s v="PE"/>
    <s v="Normal"/>
    <s v="29559 02 C"/>
    <m/>
    <d v="2022-05-31T00:00:00"/>
    <d v="2022-08-05T00:00:00"/>
    <d v="2022-05-31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474.60199999999998"/>
    <n v="16726.5"/>
    <x v="19"/>
    <n v="474.60199999999998"/>
  </r>
  <r>
    <n v="15052"/>
    <x v="25"/>
    <n v="43270628000110"/>
    <s v="Confeccoes Kacyumara Ltda"/>
    <s v="Americana"/>
    <s v="SP"/>
    <n v="26287"/>
    <x v="7"/>
    <s v="V"/>
    <s v="PE"/>
    <s v="Normal"/>
    <s v="29769 02 E"/>
    <m/>
    <d v="2022-05-31T00:00:00"/>
    <d v="2022-08-05T00:00:00"/>
    <d v="2022-06-03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m/>
    <s v="CIF"/>
    <n v="32882"/>
    <n v="569886.31000000006"/>
    <x v="19"/>
    <n v="32882"/>
  </r>
  <r>
    <n v="15075"/>
    <x v="5"/>
    <n v="2675611000750"/>
    <s v="Coopershoes Coop de Trab e Ind de Calc J"/>
    <s v="Morada Nova"/>
    <s v="CE"/>
    <n v="26253"/>
    <x v="12"/>
    <s v="V"/>
    <s v="PE"/>
    <s v="Normal"/>
    <s v="28377 10 H"/>
    <n v="182678"/>
    <d v="2022-05-30T00:00:00"/>
    <d v="2022-08-05T00:00:00"/>
    <d v="2022-06-06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20182"/>
    <n v="459934.35"/>
    <x v="19"/>
    <n v="20182"/>
  </r>
  <r>
    <n v="15057"/>
    <x v="0"/>
    <n v="87678132000821"/>
    <s v="Cooperativa Triticola Cacapavana Ltda"/>
    <s v="Piratini"/>
    <s v="RS"/>
    <n v="26283"/>
    <x v="12"/>
    <s v="V"/>
    <s v="PE"/>
    <s v="Normal"/>
    <s v="30058 01 B"/>
    <m/>
    <d v="2022-05-31T00:00:00"/>
    <d v="2022-08-05T00:00:00"/>
    <d v="2022-06-03T00:00:00"/>
    <s v="  /  /  "/>
    <n v="0"/>
    <s v="  /  /  "/>
    <n v="0"/>
    <s v="                                        "/>
    <s v="  /  /  "/>
    <s v="sa756"/>
    <d v="2022-06-07T00:00:00"/>
    <s v="Sem rota"/>
    <n v="2257"/>
    <s v="40% Conf/30%14ddf/saldo28ddf"/>
    <n v="0"/>
    <m/>
    <n v="0"/>
    <s v="Logber - Colatina Es"/>
    <s v="CIF"/>
    <n v="297.2"/>
    <n v="15836.74"/>
    <x v="19"/>
    <n v="297.2"/>
  </r>
  <r>
    <n v="15059"/>
    <x v="20"/>
    <n v="12403693000223"/>
    <s v="Forte Distribuição e Logística do Brasil"/>
    <s v="Itajai"/>
    <s v="SC"/>
    <n v="26282"/>
    <x v="12"/>
    <s v="V"/>
    <s v="PE"/>
    <s v="Normal"/>
    <s v="29858 02 D"/>
    <m/>
    <d v="2022-05-31T00:00:00"/>
    <d v="2022-08-05T00:00:00"/>
    <d v="2022-06-03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18934"/>
    <n v="346827.08"/>
    <x v="19"/>
    <n v="18934"/>
  </r>
  <r>
    <n v="15057"/>
    <x v="0"/>
    <n v="93976017000160"/>
    <s v="Mig Plus Agroindustrial Ltda"/>
    <s v="Casca"/>
    <s v="RS"/>
    <n v="26058"/>
    <x v="7"/>
    <s v="V"/>
    <s v="PE"/>
    <s v="Normal"/>
    <s v="29594 00 B"/>
    <n v="47230"/>
    <d v="2022-05-04T00:00:00"/>
    <d v="2022-08-05T00:00:00"/>
    <d v="2022-05-04T00:00:00"/>
    <s v="  /  /  "/>
    <n v="0"/>
    <s v="  /  /  "/>
    <n v="0"/>
    <s v="                                        "/>
    <s v="  /  /  "/>
    <s v="sa721"/>
    <d v="2022-05-10T00:00:00"/>
    <s v="Sem rota"/>
    <n v="2000"/>
    <s v="28 DDF S/juros"/>
    <n v="0"/>
    <m/>
    <n v="0"/>
    <s v="Logber - Colatina Es"/>
    <s v="CIF"/>
    <n v="136.04999999999998"/>
    <n v="4033.56"/>
    <x v="19"/>
    <n v="136.04999999999998"/>
  </r>
  <r>
    <n v="15907"/>
    <x v="8"/>
    <n v="64858525013980"/>
    <s v="Monsanto do Brasil Ltda"/>
    <s v="Camacari"/>
    <s v="BA"/>
    <n v="26076"/>
    <x v="12"/>
    <s v="V"/>
    <s v="PE"/>
    <s v="Normal"/>
    <s v="29042 00 B"/>
    <n v="6500514503"/>
    <d v="2022-05-06T00:00:00"/>
    <d v="2022-08-05T00:00:00"/>
    <d v="2022-05-06T00:00:00"/>
    <s v="  /  /  "/>
    <n v="0"/>
    <s v="  /  /  "/>
    <n v="0"/>
    <s v="                                        "/>
    <s v="  /  /  "/>
    <s v="sa721"/>
    <d v="2022-05-10T00:00:00"/>
    <s v="Sem rota"/>
    <n v="44"/>
    <s v="30 DDF S/juros"/>
    <n v="0"/>
    <m/>
    <n v="0"/>
    <s v="Logber - Colatina Es"/>
    <s v="CIF"/>
    <n v="1.0900000000000001"/>
    <n v="6711.25"/>
    <x v="19"/>
    <n v="1.0900000000000001"/>
  </r>
  <r>
    <n v="15069"/>
    <x v="6"/>
    <n v="60945169000570"/>
    <s v="Nissin Foods do Brasil Ltda"/>
    <s v="Gloria do Goita"/>
    <s v="PE"/>
    <n v="26271"/>
    <x v="7"/>
    <s v="V"/>
    <s v="PE"/>
    <s v="Normal"/>
    <s v="28385 01 E"/>
    <m/>
    <d v="2022-05-31T00:00:00"/>
    <d v="2022-08-05T00:00:00"/>
    <d v="2022-05-31T00:00:00"/>
    <s v="  /  /  "/>
    <n v="0"/>
    <s v="  /  /  "/>
    <n v="0"/>
    <s v="                                        "/>
    <s v="  /  /  "/>
    <s v="sa750"/>
    <d v="2022-06-03T00:00:00"/>
    <s v="Sem rota"/>
    <n v="0"/>
    <m/>
    <n v="0"/>
    <m/>
    <n v="0"/>
    <s v="Logber - Colatina Es"/>
    <s v="CIF"/>
    <n v="237.53"/>
    <n v="93888.77"/>
    <x v="19"/>
    <n v="237.53"/>
  </r>
  <r>
    <n v="15069"/>
    <x v="6"/>
    <n v="60945169000570"/>
    <s v="Nissin Foods do Brasil Ltda"/>
    <s v="Gloria do Goita"/>
    <s v="PE"/>
    <n v="26273"/>
    <x v="7"/>
    <s v="V"/>
    <s v="PE"/>
    <s v="Normal"/>
    <s v="29953 01 B"/>
    <m/>
    <d v="2022-05-31T00:00:00"/>
    <d v="2022-08-05T00:00:00"/>
    <d v="2022-05-31T00:00:00"/>
    <s v="  /  /  "/>
    <n v="0"/>
    <s v="  /  /  "/>
    <n v="0"/>
    <s v="                                        "/>
    <s v="  /  /  "/>
    <s v="sa756"/>
    <d v="2022-06-07T00:00:00"/>
    <s v="Sem rota"/>
    <n v="0"/>
    <m/>
    <n v="0"/>
    <m/>
    <n v="0"/>
    <s v="Logber - Colatina Es"/>
    <s v="CIF"/>
    <n v="225.16"/>
    <n v="44285.87"/>
    <x v="19"/>
    <n v="225.16"/>
  </r>
  <r>
    <n v="15063"/>
    <x v="23"/>
    <n v="46044053004607"/>
    <s v="Nortel Suprimentos Industriais Ltda"/>
    <s v="Serra"/>
    <s v="ES"/>
    <n v="26075"/>
    <x v="12"/>
    <s v="V"/>
    <s v="PE"/>
    <s v="Normal"/>
    <s v="28163 01 B"/>
    <n v="27499"/>
    <d v="2022-05-06T00:00:00"/>
    <d v="2022-08-05T00:00:00"/>
    <d v="2022-05-06T00:00:00"/>
    <s v="  /  /  "/>
    <n v="0"/>
    <s v="  /  /  "/>
    <n v="0"/>
    <s v="                                        "/>
    <s v="  /  /  "/>
    <s v="sa721"/>
    <d v="2022-05-10T00:00:00"/>
    <s v="Sem rota"/>
    <n v="0"/>
    <m/>
    <n v="0"/>
    <m/>
    <n v="0"/>
    <s v="Logber - Colatina Es"/>
    <s v="CIF"/>
    <n v="5501.21"/>
    <n v="202370"/>
    <x v="19"/>
    <n v="5501.21"/>
  </r>
  <r>
    <n v="15057"/>
    <x v="0"/>
    <n v="24230368000104"/>
    <s v="Ortomobil Industria e Comercio Ltda"/>
    <s v="Sao Pedro da Serra"/>
    <s v="RS"/>
    <n v="26300"/>
    <x v="12"/>
    <s v="V"/>
    <s v="PE"/>
    <s v="Normal"/>
    <s v="29832 03 C"/>
    <n v="3180"/>
    <d v="2022-05-31T00:00:00"/>
    <d v="2022-08-05T00:00:00"/>
    <d v="2022-06-06T00:00:00"/>
    <s v="  /  /  "/>
    <n v="0"/>
    <s v="  /  /  "/>
    <n v="0"/>
    <s v="                                        "/>
    <s v="  /  /  "/>
    <s v="sa756"/>
    <d v="2022-06-07T00:00:00"/>
    <s v="Sem rota"/>
    <n v="2257"/>
    <s v="40% Conf/30%14ddf/saldo28ddf"/>
    <n v="0"/>
    <m/>
    <n v="0"/>
    <s v="Logber - Colatina Es"/>
    <s v="CIF"/>
    <n v="254.25"/>
    <n v="10584.16"/>
    <x v="19"/>
    <n v="254.25"/>
  </r>
  <r>
    <n v="15064"/>
    <x v="17"/>
    <n v="29397307000150"/>
    <s v="Servicos Avancados de Proc de Solidos"/>
    <s v="Nazare Paulista"/>
    <s v="SP"/>
    <n v="26019"/>
    <x v="7"/>
    <s v="V"/>
    <s v="PE"/>
    <s v="Normal"/>
    <s v="28239 04 E"/>
    <n v="46160"/>
    <d v="2022-04-29T00:00:00"/>
    <d v="2022-08-05T00:00:00"/>
    <d v="2022-05-03T00:00:00"/>
    <s v="  /  /  "/>
    <n v="0"/>
    <s v="  /  /  "/>
    <n v="0"/>
    <s v="                                        "/>
    <s v="  /  /  "/>
    <s v="sa718"/>
    <d v="2022-05-09T00:00:00"/>
    <s v="Sem rota"/>
    <n v="0"/>
    <m/>
    <n v="0"/>
    <m/>
    <n v="0"/>
    <s v="Logber - Colatina Es"/>
    <s v="CIF"/>
    <n v="3625.63"/>
    <n v="139387.5"/>
    <x v="19"/>
    <n v="3625.63"/>
  </r>
  <r>
    <n v="15059"/>
    <x v="20"/>
    <n v="1333984000276"/>
    <s v="Segala's Alimentos Ltda"/>
    <s v="Gaspar"/>
    <s v="SC"/>
    <n v="25336"/>
    <x v="7"/>
    <s v="V"/>
    <s v="PE"/>
    <s v="Normal"/>
    <s v="27664 00 D"/>
    <m/>
    <d v="2022-01-25T00:00:00"/>
    <d v="2022-08-05T00:00:00"/>
    <d v="2022-01-27T00:00:00"/>
    <s v="  /  /  "/>
    <n v="0"/>
    <s v="  /  /  "/>
    <n v="0"/>
    <s v="                                        "/>
    <s v="  /  /  "/>
    <s v="sa639"/>
    <d v="2022-02-16T00:00:00"/>
    <s v="Sem rota"/>
    <n v="2257"/>
    <s v="40% Conf/30%14ddf/saldo28ddf"/>
    <n v="0"/>
    <m/>
    <n v="0"/>
    <s v="Logber - Colatina Es"/>
    <s v="CIF"/>
    <n v="170.22"/>
    <n v="20945.3"/>
    <x v="19"/>
    <n v="170.22"/>
  </r>
  <r>
    <n v="15059"/>
    <x v="20"/>
    <n v="1333984000276"/>
    <s v="Segala's Alimentos Ltda"/>
    <s v="Gaspar"/>
    <s v="SC"/>
    <n v="25337"/>
    <x v="11"/>
    <s v="V"/>
    <s v="PE"/>
    <s v="Normal"/>
    <s v="27664 00 D"/>
    <m/>
    <d v="2022-01-25T00:00:00"/>
    <d v="2022-08-05T00:00:00"/>
    <d v="2022-03-15T00:00:00"/>
    <s v="  /  /  "/>
    <n v="0"/>
    <s v="  /  /  "/>
    <n v="0"/>
    <s v="                                        "/>
    <s v="  /  /  "/>
    <s v="SA642"/>
    <d v="2022-02-18T00:00:00"/>
    <s v="Sem rota"/>
    <n v="2257"/>
    <s v="40% Conf/30%14ddf/saldo28ddf"/>
    <n v="0"/>
    <m/>
    <n v="0"/>
    <s v="Logber - Colatina Es"/>
    <s v="CIF"/>
    <n v="192.28"/>
    <n v="38166"/>
    <x v="19"/>
    <n v="192.28"/>
  </r>
  <r>
    <n v="15080"/>
    <x v="29"/>
    <n v="1236358000180"/>
    <s v="Sicar Ind e Com de Prod para Piscinas"/>
    <s v="Jardinopolis"/>
    <s v="SP"/>
    <n v="26331"/>
    <x v="7"/>
    <s v="V"/>
    <s v="PE"/>
    <s v="Normal"/>
    <s v="29676 02 D"/>
    <m/>
    <d v="2022-06-08T00:00:00"/>
    <d v="2022-08-05T00:00:00"/>
    <d v="2022-06-08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12935"/>
    <n v="207000"/>
    <x v="19"/>
    <n v="12935"/>
  </r>
  <r>
    <n v="15059"/>
    <x v="20"/>
    <n v="83259945000150"/>
    <s v="Supermercado Silveira Ltda"/>
    <s v="Garopaba"/>
    <s v="SC"/>
    <n v="26257"/>
    <x v="7"/>
    <s v="V"/>
    <s v="PE"/>
    <s v="Normal"/>
    <s v="29896 02 B"/>
    <m/>
    <d v="2022-05-30T00:00:00"/>
    <d v="2022-08-05T00:00:00"/>
    <d v="2022-06-09T00:00:00"/>
    <s v="  /  /  "/>
    <n v="0"/>
    <s v="  /  /  "/>
    <n v="0"/>
    <s v="                                        "/>
    <s v="  /  /  "/>
    <m/>
    <s v="/  /"/>
    <s v="Sem rota"/>
    <n v="2189"/>
    <s v="30%conf./saldo 14/28/56 Ddf"/>
    <n v="0"/>
    <m/>
    <n v="0"/>
    <s v="Logber - Colatina Es"/>
    <s v="CIF"/>
    <n v="452.38299999999998"/>
    <n v="10505.69"/>
    <x v="19"/>
    <n v="452.38299999999998"/>
  </r>
  <r>
    <n v="15074"/>
    <x v="21"/>
    <n v="1808103000226"/>
    <s v="Ticona Polymers Ltda"/>
    <s v="Suzano"/>
    <s v="SP"/>
    <n v="26285"/>
    <x v="12"/>
    <s v="V"/>
    <s v="PE"/>
    <s v="Normal"/>
    <s v="30134 00 B"/>
    <n v="4502456012"/>
    <d v="2022-05-31T00:00:00"/>
    <d v="2022-08-05T00:00:00"/>
    <d v="2022-06-01T00:00:00"/>
    <s v="  /  /  "/>
    <n v="0"/>
    <s v="  /  /  "/>
    <n v="0"/>
    <s v="                                        "/>
    <s v="  /  /  "/>
    <s v="sa756"/>
    <d v="2022-06-07T00:00:00"/>
    <s v="Sem rota"/>
    <n v="44"/>
    <s v="30 DDF S/juros"/>
    <n v="0"/>
    <m/>
    <n v="0"/>
    <m/>
    <s v="CIF"/>
    <n v="51.44"/>
    <n v="7743.75"/>
    <x v="19"/>
    <n v="51.44"/>
  </r>
  <r>
    <n v="15020"/>
    <x v="7"/>
    <n v="0"/>
    <s v="Tiendas Industiales Asociadas Tia S.a."/>
    <s v="Guayaquil"/>
    <s v="EX"/>
    <n v="26268"/>
    <x v="7"/>
    <s v="V"/>
    <s v="PE"/>
    <s v="Normal"/>
    <s v="29805 00 C"/>
    <n v="231926"/>
    <d v="2022-05-31T00:00:00"/>
    <d v="2022-08-05T00:00:00"/>
    <d v="2022-06-01T00:00:00"/>
    <s v="  /  /  "/>
    <n v="0"/>
    <s v="  /  /  "/>
    <n v="0"/>
    <s v="                                        "/>
    <s v="  /  /  "/>
    <s v="sa755"/>
    <d v="2022-06-07T00:00:00"/>
    <s v="Sem rota"/>
    <n v="0"/>
    <m/>
    <n v="0"/>
    <m/>
    <n v="0"/>
    <m/>
    <s v="FOB"/>
    <n v="13705.93"/>
    <n v="273137.93"/>
    <x v="19"/>
    <n v="13705.93"/>
  </r>
  <r>
    <n v="15073"/>
    <x v="16"/>
    <n v="6053214000102"/>
    <s v="Toyota Mat Hald Merc Ind e Com de Equip"/>
    <s v="Sao Bernardo do Campo"/>
    <s v="SP"/>
    <n v="25949"/>
    <x v="8"/>
    <s v="V"/>
    <s v="PE"/>
    <s v="Normal"/>
    <s v="29050 01 B"/>
    <n v="456204"/>
    <d v="2022-04-20T00:00:00"/>
    <d v="2022-08-05T00:00:00"/>
    <d v="2022-04-20T00:00:00"/>
    <s v="  /  /  "/>
    <n v="0"/>
    <s v="  /  /  "/>
    <n v="0"/>
    <s v="                                        "/>
    <s v="  /  /  "/>
    <s v="sa718"/>
    <d v="2022-05-09T00:00:00"/>
    <s v="Sem rota"/>
    <n v="44"/>
    <s v="30 DDF S/juros"/>
    <n v="0"/>
    <m/>
    <n v="0"/>
    <s v="Logber - Colatina Es"/>
    <s v="CIF"/>
    <n v="4071.5099999999998"/>
    <n v="198240"/>
    <x v="19"/>
    <n v="4071.5099999999998"/>
  </r>
  <r>
    <n v="15059"/>
    <x v="20"/>
    <n v="10885321000174"/>
    <s v="Weg Linhares Equipamentos Eletricos S.A"/>
    <s v="Linhares"/>
    <s v="ES"/>
    <n v="26052"/>
    <x v="12"/>
    <s v="V"/>
    <s v="PE"/>
    <s v="Normal"/>
    <s v="29402 00 B"/>
    <n v="4512804245"/>
    <d v="2022-05-03T00:00:00"/>
    <d v="2022-08-05T00:00:00"/>
    <d v="2022-05-03T00:00:00"/>
    <s v="  /  /  "/>
    <n v="0"/>
    <s v="  /  /  "/>
    <n v="0"/>
    <s v="                                        "/>
    <s v="  /  /  "/>
    <s v="sa718"/>
    <d v="2022-05-09T00:00:00"/>
    <s v="Sem rota"/>
    <n v="44"/>
    <s v="30 DDF S/juros"/>
    <n v="0"/>
    <m/>
    <n v="0"/>
    <s v="Logber - Colatina Es"/>
    <s v="CIF"/>
    <n v="60.48"/>
    <n v="1858.5"/>
    <x v="19"/>
    <n v="60.48"/>
  </r>
  <r>
    <n v="15910"/>
    <x v="11"/>
    <n v="1438784006995"/>
    <s v="Leroy Merlin Cmp Brasileira de Bricolage"/>
    <s v="Cajamar"/>
    <s v="SP"/>
    <n v="25063"/>
    <x v="19"/>
    <s v="V"/>
    <s v="FP"/>
    <s v="Normal"/>
    <s v="26376 02 F"/>
    <m/>
    <d v="2021-09-22T00:00:00"/>
    <d v="2022-08-10T00:00:00"/>
    <d v="2022-05-28T00:00:00"/>
    <d v="2022-05-28T00:00:00"/>
    <n v="6933"/>
    <d v="2022-05-28T00:00:00"/>
    <n v="6944"/>
    <s v="                                        "/>
    <s v="  /  /  "/>
    <s v="sa609"/>
    <d v="2022-02-02T00:00:00"/>
    <s v="Sem rota"/>
    <n v="0"/>
    <m/>
    <n v="0"/>
    <m/>
    <n v="0"/>
    <s v="Logber - Colatina Es"/>
    <s v="CIF"/>
    <n v="139910.66999999998"/>
    <n v="3176115.61"/>
    <x v="19"/>
    <n v="139910.66999999998"/>
  </r>
  <r>
    <n v="15910"/>
    <x v="11"/>
    <n v="1438784006995"/>
    <s v="Leroy Merlin Cmp Brasileira de Bricolage"/>
    <s v="Cajamar"/>
    <s v="SP"/>
    <n v="25064"/>
    <x v="19"/>
    <s v="V"/>
    <s v="FP"/>
    <s v="Normal"/>
    <s v="26376 02 F"/>
    <m/>
    <d v="2021-09-22T00:00:00"/>
    <d v="2022-08-10T00:00:00"/>
    <d v="2022-05-28T00:00:00"/>
    <d v="2022-05-28T00:00:00"/>
    <n v="6945"/>
    <d v="2022-05-28T00:00:00"/>
    <n v="6945"/>
    <s v="                                        "/>
    <s v="  /  /  "/>
    <s v="sa610"/>
    <d v="2022-02-02T00:00:00"/>
    <s v="Sem rota"/>
    <n v="0"/>
    <m/>
    <n v="0"/>
    <m/>
    <n v="0"/>
    <s v="Logber - Colatina Es"/>
    <s v="CIF"/>
    <n v="120960.59"/>
    <n v="3167665.97"/>
    <x v="19"/>
    <n v="120960.59"/>
  </r>
  <r>
    <n v="15073"/>
    <x v="16"/>
    <n v="1998069000119"/>
    <s v="Actos Comercio Importacao e Exportacao"/>
    <s v="Santo Andre"/>
    <s v="SP"/>
    <n v="26010"/>
    <x v="8"/>
    <s v="V"/>
    <s v="PE"/>
    <s v="Normal"/>
    <s v="29521 01 B"/>
    <m/>
    <d v="2022-04-28T00:00:00"/>
    <d v="2022-08-12T00:00:00"/>
    <d v="2022-05-02T00:00:00"/>
    <s v="  /  /  "/>
    <n v="0"/>
    <s v="  /  /  "/>
    <n v="0"/>
    <s v="                                        "/>
    <s v="  /  /  "/>
    <s v="sa718"/>
    <d v="2022-05-09T00:00:00"/>
    <s v="Sem rota"/>
    <n v="2257"/>
    <s v="40% Conf/30%14ddf/saldo28ddf"/>
    <n v="0"/>
    <m/>
    <n v="0"/>
    <s v="Logber - Colatina Es"/>
    <s v="CIF"/>
    <n v="1777.4299999999998"/>
    <n v="35621.25"/>
    <x v="19"/>
    <n v="1777.4299999999998"/>
  </r>
  <r>
    <n v="15067"/>
    <x v="3"/>
    <n v="2873606000167"/>
    <s v="Alminhana Com. e Representacoes Ltda"/>
    <s v="Porto Alegre"/>
    <s v="RS"/>
    <n v="26108"/>
    <x v="8"/>
    <s v="V"/>
    <s v="PE"/>
    <s v="Normal"/>
    <s v="29491 00 B"/>
    <m/>
    <d v="2022-05-11T00:00:00"/>
    <d v="2022-08-12T00:00:00"/>
    <d v="2022-05-11T00:00:00"/>
    <s v="  /  /  "/>
    <n v="0"/>
    <s v="  /  /  "/>
    <n v="0"/>
    <s v="                                        "/>
    <s v="  /  /  "/>
    <s v="sa728"/>
    <d v="2022-05-17T00:00:00"/>
    <s v="Sem rota"/>
    <n v="2001"/>
    <s v="14/28 DDF S/juros"/>
    <n v="0"/>
    <m/>
    <n v="0"/>
    <s v="Logber - Colatina Es"/>
    <s v="CIF"/>
    <n v="445.75"/>
    <n v="17273.73"/>
    <x v="19"/>
    <n v="445.75"/>
  </r>
  <r>
    <n v="15020"/>
    <x v="7"/>
    <n v="140"/>
    <s v="Granja Avicola Integral Sofia Ltda"/>
    <s v="Santa Cruz de La Siera"/>
    <s v="EX"/>
    <n v="25379"/>
    <x v="14"/>
    <s v="V"/>
    <s v="PE"/>
    <s v="Normal"/>
    <s v="27753 00 C"/>
    <m/>
    <d v="2022-01-31T00:00:00"/>
    <d v="2022-08-12T00:00:00"/>
    <d v="2022-02-02T00:00:00"/>
    <s v="  /  /  "/>
    <n v="0"/>
    <s v="  /  /  "/>
    <n v="0"/>
    <s v="                                        "/>
    <s v="  /  /  "/>
    <s v="sa642"/>
    <d v="2022-02-18T00:00:00"/>
    <s v="Nit 1028779020"/>
    <n v="0"/>
    <m/>
    <n v="0"/>
    <m/>
    <n v="0"/>
    <m/>
    <s v="FCA"/>
    <n v="84.18"/>
    <n v="235389.7"/>
    <x v="19"/>
    <n v="84.18"/>
  </r>
  <r>
    <n v="15057"/>
    <x v="0"/>
    <n v="92341312001159"/>
    <s v="Basso &amp; Pancotte Ltda"/>
    <s v="Sumare"/>
    <s v="SP"/>
    <n v="25971"/>
    <x v="8"/>
    <s v="V"/>
    <s v="PE"/>
    <s v="Normal"/>
    <s v="28996 06 F"/>
    <m/>
    <d v="2022-04-25T00:00:00"/>
    <d v="2022-08-12T00:00:00"/>
    <d v="2022-04-25T00:00:00"/>
    <s v="  /  /  "/>
    <n v="0"/>
    <s v="  /  /  "/>
    <n v="0"/>
    <s v="                                        "/>
    <s v="  /  /  "/>
    <s v="sa732"/>
    <d v="2022-05-19T00:00:00"/>
    <s v="(nova Veneza)"/>
    <n v="3012"/>
    <s v="40% Cofirmação / Saldo 30/60"/>
    <n v="0"/>
    <m/>
    <n v="0"/>
    <m/>
    <s v="CIF"/>
    <n v="29636.729999999996"/>
    <n v="945084.42"/>
    <x v="19"/>
    <n v="29636.729999999996"/>
  </r>
  <r>
    <n v="15057"/>
    <x v="0"/>
    <n v="92341312001159"/>
    <s v="Basso &amp; Pancotte Ltda"/>
    <s v="Sumare"/>
    <s v="SP"/>
    <n v="25972"/>
    <x v="17"/>
    <s v="V"/>
    <s v="PE"/>
    <s v="Normal"/>
    <s v="28996 06 F"/>
    <m/>
    <d v="2022-04-25T00:00:00"/>
    <d v="2022-08-12T00:00:00"/>
    <d v="2022-04-25T00:00:00"/>
    <s v="  /  /  "/>
    <n v="0"/>
    <s v="  /  /  "/>
    <n v="0"/>
    <s v="                                        "/>
    <s v="  /  /  "/>
    <m/>
    <s v="/  /"/>
    <s v="(nova Veneza)"/>
    <n v="3012"/>
    <s v="40% Cofirmação / Saldo 30/60"/>
    <n v="0"/>
    <m/>
    <n v="0"/>
    <s v="Logber - Colatina Es"/>
    <s v="CIF"/>
    <n v="18539"/>
    <n v="674985"/>
    <x v="19"/>
    <n v="18539"/>
  </r>
  <r>
    <n v="15057"/>
    <x v="0"/>
    <n v="92341312001159"/>
    <s v="Basso &amp; Pancotte Ltda"/>
    <s v="Sumare"/>
    <s v="SP"/>
    <n v="25973"/>
    <x v="18"/>
    <s v="V"/>
    <s v="PE"/>
    <s v="Normal"/>
    <s v="28996 06 F"/>
    <m/>
    <d v="2022-04-25T00:00:00"/>
    <d v="2022-08-12T00:00:00"/>
    <d v="2022-04-25T00:00:00"/>
    <s v="  /  /  "/>
    <n v="0"/>
    <s v="  /  /  "/>
    <n v="0"/>
    <s v="                                        "/>
    <s v="  /  /  "/>
    <m/>
    <s v="/  /"/>
    <s v="(nova Veneza)"/>
    <n v="3012"/>
    <s v="40% Cofirmação / Saldo 30/60"/>
    <n v="0"/>
    <m/>
    <n v="0"/>
    <s v="Logber - Colatina Es"/>
    <s v="CIF"/>
    <n v="9268"/>
    <n v="346906.58"/>
    <x v="19"/>
    <n v="9268"/>
  </r>
  <r>
    <n v="15057"/>
    <x v="0"/>
    <n v="92341312001159"/>
    <s v="Basso &amp; Pancotte Ltda"/>
    <s v="Sumare"/>
    <s v="SP"/>
    <n v="25974"/>
    <x v="15"/>
    <s v="V"/>
    <s v="PE"/>
    <s v="Normal"/>
    <s v="28996 06 F"/>
    <m/>
    <d v="2022-04-25T00:00:00"/>
    <d v="2022-08-12T00:00:00"/>
    <d v="2022-04-25T00:00:00"/>
    <s v="  /  /  "/>
    <n v="0"/>
    <s v="  /  /  "/>
    <n v="0"/>
    <s v="                                        "/>
    <s v="  /  /  "/>
    <m/>
    <s v="/  /"/>
    <s v="(nova Veneza)"/>
    <n v="3012"/>
    <s v="40% Cofirmação / Saldo 30/60"/>
    <n v="0"/>
    <m/>
    <n v="0"/>
    <s v="Logber - Colatina Es"/>
    <s v="CIF"/>
    <n v="3898"/>
    <n v="442624.49"/>
    <x v="19"/>
    <n v="3898"/>
  </r>
  <r>
    <n v="15057"/>
    <x v="0"/>
    <n v="92341312001159"/>
    <s v="Basso &amp; Pancotte Ltda"/>
    <s v="Sumare"/>
    <s v="SP"/>
    <n v="25975"/>
    <x v="24"/>
    <s v="V"/>
    <s v="PE"/>
    <s v="Normal"/>
    <s v="28996 06 F"/>
    <m/>
    <d v="2022-04-25T00:00:00"/>
    <d v="2022-08-12T00:00:00"/>
    <d v="2022-04-25T00:00:00"/>
    <s v="  /  /  "/>
    <n v="0"/>
    <s v="  /  /  "/>
    <n v="0"/>
    <s v="                                        "/>
    <s v="  /  /  "/>
    <s v="sa724"/>
    <d v="2022-05-11T00:00:00"/>
    <s v="(nova Veneza)"/>
    <n v="3012"/>
    <s v="40% Cofirmação / Saldo 30/60"/>
    <n v="0"/>
    <m/>
    <n v="0"/>
    <s v="Logber - Colatina Es"/>
    <s v="CIF"/>
    <n v="1863.4800000000005"/>
    <n v="715435"/>
    <x v="19"/>
    <n v="1863.4800000000005"/>
  </r>
  <r>
    <n v="15075"/>
    <x v="5"/>
    <n v="31546266000753"/>
    <s v="Casajoli Comercio de Bebidas Ltda"/>
    <s v="Canela"/>
    <s v="RS"/>
    <n v="26021"/>
    <x v="12"/>
    <s v="V"/>
    <s v="PE"/>
    <s v="Normal"/>
    <s v="27182 02 B"/>
    <m/>
    <d v="2022-04-29T00:00:00"/>
    <d v="2022-08-12T00:00:00"/>
    <d v="2022-05-02T00:00:00"/>
    <s v="  /  /  "/>
    <n v="0"/>
    <s v="  /  /  "/>
    <n v="0"/>
    <s v="                                        "/>
    <s v="  /  /  "/>
    <s v="sa718"/>
    <d v="2022-05-09T00:00:00"/>
    <s v="Sem rota"/>
    <n v="0"/>
    <m/>
    <n v="0"/>
    <m/>
    <n v="0"/>
    <s v="Logber - Colatina Es"/>
    <s v="CIF"/>
    <n v="5026.74"/>
    <n v="151777.5"/>
    <x v="19"/>
    <n v="5026.74"/>
  </r>
  <r>
    <n v="15059"/>
    <x v="20"/>
    <n v="84709955001699"/>
    <s v="Cia Industrial H. Carlos Schneider"/>
    <s v="Araquari"/>
    <s v="SC"/>
    <n v="25740"/>
    <x v="8"/>
    <s v="V"/>
    <s v="PE"/>
    <s v="Normal"/>
    <s v="28539 04 C"/>
    <m/>
    <d v="2022-03-25T00:00:00"/>
    <d v="2022-08-12T00:00:00"/>
    <d v="2022-05-16T00:00:00"/>
    <s v="  /  /  "/>
    <n v="0"/>
    <s v="  /  /  "/>
    <n v="0"/>
    <s v="                                        "/>
    <s v="  /  /  "/>
    <s v="sa696"/>
    <d v="2022-04-14T00:00:00"/>
    <s v="Sem rota"/>
    <n v="0"/>
    <m/>
    <n v="0"/>
    <m/>
    <n v="0"/>
    <s v="Logber - Colatina Es"/>
    <s v="CIF"/>
    <n v="74682.23"/>
    <n v="1863973.49"/>
    <x v="19"/>
    <n v="74682.23"/>
  </r>
  <r>
    <n v="15063"/>
    <x v="23"/>
    <n v="10923336000180"/>
    <s v="Comercial Delpupo Ltda"/>
    <s v="Afonso Claudio"/>
    <s v="ES"/>
    <n v="26102"/>
    <x v="7"/>
    <s v="V"/>
    <s v="PE"/>
    <s v="Normal"/>
    <s v="29774 01 B"/>
    <m/>
    <d v="2022-05-11T00:00:00"/>
    <d v="2022-08-12T00:00:00"/>
    <d v="2022-05-18T00:00:00"/>
    <s v="  /  /  "/>
    <n v="0"/>
    <s v="  /  /  "/>
    <n v="0"/>
    <s v="                                        "/>
    <s v="  /  /  "/>
    <s v="sa732"/>
    <d v="2022-05-19T00:00:00"/>
    <s v="Sem rota"/>
    <n v="2257"/>
    <s v="40% Conf/30%14ddf/saldo28ddf"/>
    <n v="0"/>
    <m/>
    <n v="0"/>
    <s v="Logber - Colatina Es"/>
    <s v="CIF"/>
    <n v="547.04999999999995"/>
    <n v="33040"/>
    <x v="19"/>
    <n v="547.04999999999995"/>
  </r>
  <r>
    <n v="15059"/>
    <x v="20"/>
    <n v="82900713000176"/>
    <s v="Copal Alimentos Ltda"/>
    <s v="Sao Jose"/>
    <s v="SC"/>
    <n v="26183"/>
    <x v="12"/>
    <s v="V"/>
    <s v="PE"/>
    <s v="Normal"/>
    <s v="29881 00 B"/>
    <m/>
    <d v="2022-05-20T00:00:00"/>
    <d v="2022-08-12T00:00:00"/>
    <d v="2022-05-20T00:00:00"/>
    <s v="  /  /  "/>
    <n v="0"/>
    <s v="  /  /  "/>
    <n v="0"/>
    <s v="                                        "/>
    <s v="  /  /  "/>
    <s v="sa747"/>
    <d v="2022-05-27T00:00:00"/>
    <s v="Sem rota"/>
    <n v="119"/>
    <s v="28/56/84 Ddf S/juros"/>
    <n v="0"/>
    <m/>
    <n v="0"/>
    <s v="Logber - Colatina Es"/>
    <s v="CIF"/>
    <n v="300.88"/>
    <n v="6401.5"/>
    <x v="19"/>
    <n v="300.88"/>
  </r>
  <r>
    <n v="15069"/>
    <x v="6"/>
    <n v="97837181003910"/>
    <s v="Dexco S.A"/>
    <s v="Joao Pessoa"/>
    <s v="PB"/>
    <n v="26177"/>
    <x v="7"/>
    <s v="V"/>
    <s v="PE"/>
    <s v="Normal"/>
    <s v="26593 01 C"/>
    <n v="4508801296"/>
    <d v="2022-05-20T00:00:00"/>
    <d v="2022-08-12T00:00:00"/>
    <d v="2022-05-20T00:00:00"/>
    <s v="  /  /  "/>
    <n v="0"/>
    <s v="  /  /  "/>
    <n v="0"/>
    <s v="                                        "/>
    <s v="  /  /  "/>
    <s v="sa739"/>
    <d v="2022-05-25T00:00:00"/>
    <s v="Sem rota"/>
    <n v="944"/>
    <s v="90 DDF Sem Juros"/>
    <n v="0"/>
    <m/>
    <n v="0"/>
    <s v="Logber - Colatina Es"/>
    <s v="CIF"/>
    <n v="1635.5100000000002"/>
    <n v="64015"/>
    <x v="19"/>
    <n v="1635.5100000000002"/>
  </r>
  <r>
    <n v="15069"/>
    <x v="6"/>
    <n v="97837181003910"/>
    <s v="Dexco S.A"/>
    <s v="Joao Pessoa"/>
    <s v="PB"/>
    <n v="26178"/>
    <x v="12"/>
    <s v="V"/>
    <s v="PE"/>
    <s v="Normal"/>
    <s v="29904 01 A"/>
    <n v="4508801296"/>
    <d v="2022-05-20T00:00:00"/>
    <d v="2022-08-12T00:00:00"/>
    <d v="2022-05-20T00:00:00"/>
    <s v="  /  /  "/>
    <n v="0"/>
    <s v="  /  /  "/>
    <n v="0"/>
    <s v="                                        "/>
    <s v="  /  /  "/>
    <s v="sa747"/>
    <d v="2022-05-27T00:00:00"/>
    <s v="Sem rota"/>
    <n v="944"/>
    <s v="90 DDF Sem Juros"/>
    <n v="0"/>
    <m/>
    <n v="0"/>
    <s v="Logber - Colatina Es"/>
    <s v="CIF"/>
    <n v="606.96"/>
    <n v="28910"/>
    <x v="19"/>
    <n v="606.96"/>
  </r>
  <r>
    <n v="15081"/>
    <x v="28"/>
    <n v="23577851000105"/>
    <s v="Donizete Distribuidora de Alimentos Ltda"/>
    <s v="Eusebio"/>
    <s v="CE"/>
    <n v="26105"/>
    <x v="12"/>
    <s v="V"/>
    <s v="PE"/>
    <s v="Normal"/>
    <s v="29545 00 D"/>
    <m/>
    <d v="2022-05-11T00:00:00"/>
    <d v="2022-08-12T00:00:00"/>
    <d v="2022-05-23T00:00:00"/>
    <s v="  /  /  "/>
    <n v="0"/>
    <s v="  /  /  "/>
    <n v="0"/>
    <s v="                                        "/>
    <s v="  /  /  "/>
    <s v="sa738"/>
    <d v="2022-05-24T00:00:00"/>
    <s v="Sem rota"/>
    <n v="0"/>
    <m/>
    <n v="0"/>
    <m/>
    <n v="0"/>
    <s v="Logber - Colatina Es"/>
    <s v="CIF"/>
    <n v="13736.619999999997"/>
    <n v="258125"/>
    <x v="19"/>
    <n v="13736.619999999997"/>
  </r>
  <r>
    <n v="15057"/>
    <x v="0"/>
    <n v="87546636000111"/>
    <s v="Farina S/A Componentes Automotivos"/>
    <s v="Bento Goncalves"/>
    <s v="RS"/>
    <n v="26227"/>
    <x v="7"/>
    <s v="V"/>
    <s v="PE"/>
    <s v="Normal"/>
    <s v="29330 03 D"/>
    <n v="4147"/>
    <d v="2022-05-26T00:00:00"/>
    <d v="2022-08-12T00:00:00"/>
    <d v="2022-05-28T00:00:00"/>
    <s v="  /  /  "/>
    <n v="0"/>
    <s v="  /  /  "/>
    <n v="0"/>
    <s v="                                        "/>
    <s v="  /  /  "/>
    <s v="sa756"/>
    <d v="2022-06-07T00:00:00"/>
    <s v="Sem rota"/>
    <n v="2257"/>
    <s v="40% Conf/30%14ddf/saldo28ddf"/>
    <n v="0"/>
    <m/>
    <n v="0"/>
    <s v="Logber - Colatina Es"/>
    <s v="CIF"/>
    <n v="0.49"/>
    <n v="9092.2000000000007"/>
    <x v="19"/>
    <n v="0.49"/>
  </r>
  <r>
    <n v="15059"/>
    <x v="20"/>
    <n v="9072082000235"/>
    <s v="Focalle - Engenharia Viaria Ltda"/>
    <s v="Florianopolis"/>
    <s v="SC"/>
    <n v="26103"/>
    <x v="0"/>
    <s v="V"/>
    <s v="PE"/>
    <s v="Normal"/>
    <s v="29276 03 D"/>
    <n v="97058"/>
    <d v="2022-05-11T00:00:00"/>
    <d v="2022-08-12T00:00:00"/>
    <d v="2022-05-16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m/>
    <s v="CIF"/>
    <n v="0"/>
    <n v="3920"/>
    <x v="19"/>
    <n v="0"/>
  </r>
  <r>
    <n v="15059"/>
    <x v="20"/>
    <n v="9072082000235"/>
    <s v="Focalle - Engenharia Viaria Ltda"/>
    <s v="Florianopolis"/>
    <s v="SC"/>
    <n v="26104"/>
    <x v="7"/>
    <s v="V"/>
    <s v="PE"/>
    <s v="Normal"/>
    <s v="29276 03 D"/>
    <n v="97056"/>
    <d v="2022-05-11T00:00:00"/>
    <d v="2022-08-12T00:00:00"/>
    <d v="2022-05-16T00:00:00"/>
    <s v="  /  /  "/>
    <n v="0"/>
    <s v="  /  /  "/>
    <n v="0"/>
    <s v="                                        "/>
    <s v="  /  /  "/>
    <s v="sa728"/>
    <d v="2022-05-17T00:00:00"/>
    <s v="Sem rota"/>
    <n v="2257"/>
    <s v="40% Conf/30%14ddf/saldo28ddf"/>
    <n v="0"/>
    <m/>
    <n v="0"/>
    <s v="Logber - Colatina Es"/>
    <s v="CIF"/>
    <n v="168.02"/>
    <n v="5100.55"/>
    <x v="19"/>
    <n v="168.02"/>
  </r>
  <r>
    <n v="15074"/>
    <x v="21"/>
    <n v="3157268000120"/>
    <s v="Gr Ind e Com de Produtos Quimicos S.A"/>
    <s v="Cruzeiro"/>
    <s v="SP"/>
    <n v="26175"/>
    <x v="7"/>
    <s v="V"/>
    <s v="PE"/>
    <s v="Normal"/>
    <s v="29508 01 B"/>
    <m/>
    <d v="2022-05-20T00:00:00"/>
    <d v="2022-08-12T00:00:00"/>
    <d v="2022-05-20T00:00:00"/>
    <s v="  /  /  "/>
    <n v="0"/>
    <s v="  /  /  "/>
    <n v="0"/>
    <s v="                                        "/>
    <s v="  /  /  "/>
    <s v="sa739"/>
    <d v="2022-05-25T00:00:00"/>
    <s v="Sem rota"/>
    <n v="0"/>
    <m/>
    <n v="0"/>
    <m/>
    <n v="0"/>
    <s v="Logber - Colatina Es"/>
    <s v="CIF"/>
    <n v="6184.98"/>
    <n v="134225.01"/>
    <x v="19"/>
    <n v="6184.98"/>
  </r>
  <r>
    <n v="15067"/>
    <x v="3"/>
    <n v="92080035000104"/>
    <s v="Perto S/A  Perifericos para Automacao"/>
    <s v="Gravatai"/>
    <s v="RS"/>
    <n v="26339"/>
    <x v="7"/>
    <s v="V"/>
    <s v="PE"/>
    <s v="Normal"/>
    <s v="29355 01 B"/>
    <n v="214827"/>
    <d v="2022-06-09T00:00:00"/>
    <d v="2022-08-12T00:00:00"/>
    <d v="2022-06-09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744"/>
    <n v="8337.44"/>
    <x v="19"/>
    <n v="744"/>
  </r>
  <r>
    <n v="15067"/>
    <x v="3"/>
    <n v="87727277000107"/>
    <s v="Instituto Pasteur de Cosmiatria Ltda"/>
    <s v="Porto Alegre"/>
    <s v="RS"/>
    <n v="26113"/>
    <x v="7"/>
    <s v="V"/>
    <s v="PE"/>
    <s v="Normal"/>
    <s v="29202 02 C"/>
    <n v="19152"/>
    <d v="2022-05-12T00:00:00"/>
    <d v="2022-08-12T00:00:00"/>
    <d v="2022-05-16T00:00:00"/>
    <s v="  /  /  "/>
    <n v="0"/>
    <s v="  /  /  "/>
    <n v="0"/>
    <s v="                                        "/>
    <s v="  /  /  "/>
    <s v="sa728"/>
    <d v="2022-05-17T00:00:00"/>
    <s v="Sem rota"/>
    <n v="0"/>
    <m/>
    <n v="0"/>
    <m/>
    <n v="0"/>
    <s v="Logber - Colatina Es"/>
    <s v="CIF"/>
    <n v="967.65000000000009"/>
    <n v="31520.16"/>
    <x v="19"/>
    <n v="967.65000000000009"/>
  </r>
  <r>
    <n v="15057"/>
    <x v="0"/>
    <n v="1639071000100"/>
    <s v="Mts Comercio e Representacoes Eireli"/>
    <s v="Chapeco"/>
    <s v="SC"/>
    <n v="26228"/>
    <x v="7"/>
    <s v="V"/>
    <s v="PE"/>
    <s v="Normal"/>
    <s v="22748 04 D"/>
    <m/>
    <d v="2022-05-26T00:00:00"/>
    <d v="2022-08-12T00:00:00"/>
    <d v="2022-05-27T00:00:00"/>
    <s v="  /  /  "/>
    <n v="0"/>
    <s v="  /  /  "/>
    <n v="0"/>
    <s v="                                        "/>
    <s v="  /  /  "/>
    <s v="sa756"/>
    <d v="2022-06-07T00:00:00"/>
    <s v="Sem rota"/>
    <n v="2235"/>
    <s v="50% Conf e Saldo 28ddf"/>
    <n v="0"/>
    <m/>
    <n v="0"/>
    <s v="Logber - Colatina Es"/>
    <s v="CIF"/>
    <n v="90.429999999999993"/>
    <n v="20826.04"/>
    <x v="19"/>
    <n v="90.429999999999993"/>
  </r>
  <r>
    <n v="15059"/>
    <x v="20"/>
    <n v="86375912000163"/>
    <s v="Mueller Eletrodomesticos Ltda"/>
    <s v="Timbo"/>
    <s v="SC"/>
    <n v="26118"/>
    <x v="8"/>
    <s v="V"/>
    <s v="PE"/>
    <s v="Normal"/>
    <s v="29575 02 B"/>
    <n v="4500034278"/>
    <d v="2022-05-12T00:00:00"/>
    <d v="2022-08-12T00:00:00"/>
    <d v="2022-06-03T00:00:00"/>
    <s v="  /  /  "/>
    <n v="0"/>
    <s v="  /  /  "/>
    <n v="0"/>
    <s v="                                        "/>
    <s v="  /  /  "/>
    <s v="sa738"/>
    <d v="2022-05-24T00:00:00"/>
    <s v="Sem rota"/>
    <n v="0"/>
    <m/>
    <n v="0"/>
    <m/>
    <n v="0"/>
    <s v="Logber - Colatina Es"/>
    <s v="CIF"/>
    <n v="1860.0700000000002"/>
    <n v="62703.73"/>
    <x v="19"/>
    <n v="1860.0700000000002"/>
  </r>
  <r>
    <n v="15057"/>
    <x v="0"/>
    <n v="8683268000187"/>
    <s v="Pescados do Porto Com de Peixes Ltda"/>
    <s v="Carlos Barbosa"/>
    <s v="RS"/>
    <n v="25140"/>
    <x v="10"/>
    <s v="V"/>
    <s v="PE"/>
    <s v="Normal"/>
    <s v="28015 02 C"/>
    <m/>
    <d v="2021-12-15T00:00:00"/>
    <d v="2022-08-12T00:00:00"/>
    <d v="2022-05-04T00:00:00"/>
    <s v="  /  /  "/>
    <n v="0"/>
    <s v="  /  /  "/>
    <n v="0"/>
    <s v="                                        "/>
    <s v="  /  /  "/>
    <s v="sa633"/>
    <d v="2022-02-11T00:00:00"/>
    <s v="Sem rota"/>
    <n v="0"/>
    <m/>
    <n v="0"/>
    <m/>
    <n v="0"/>
    <s v="Logber - Colatina Es"/>
    <s v="CIF"/>
    <n v="2952.78"/>
    <n v="1425833.33"/>
    <x v="19"/>
    <n v="2952.78"/>
  </r>
  <r>
    <n v="15075"/>
    <x v="5"/>
    <n v="89188973000100"/>
    <s v="Plasticos Suzuki Ltda"/>
    <s v="Estancia Velha"/>
    <s v="RS"/>
    <n v="26121"/>
    <x v="8"/>
    <s v="V"/>
    <s v="PE"/>
    <s v="Normal"/>
    <s v="29691 02 B"/>
    <n v="28880"/>
    <d v="2022-05-12T00:00:00"/>
    <d v="2022-08-12T00:00:00"/>
    <d v="2022-05-16T00:00:00"/>
    <s v="  /  /  "/>
    <n v="0"/>
    <s v="  /  /  "/>
    <n v="0"/>
    <s v="                                        "/>
    <s v="  /  /  "/>
    <s v="sa732"/>
    <d v="2022-05-19T00:00:00"/>
    <s v="Sem rota"/>
    <n v="2257"/>
    <s v="40% Conf/30%14ddf/saldo28ddf"/>
    <n v="0"/>
    <m/>
    <n v="0"/>
    <s v="Logber - Colatina Es"/>
    <s v="CIF"/>
    <n v="249.73"/>
    <n v="7791.25"/>
    <x v="19"/>
    <n v="249.73"/>
  </r>
  <r>
    <n v="15070"/>
    <x v="14"/>
    <n v="19471981000183"/>
    <s v="Prime Agro Produtos Agricolas Ltda"/>
    <s v="Toledo"/>
    <s v="PR"/>
    <n v="26008"/>
    <x v="7"/>
    <s v="V"/>
    <s v="PE"/>
    <s v="Normal"/>
    <s v="29428 03 C"/>
    <m/>
    <d v="2022-04-28T00:00:00"/>
    <d v="2022-08-12T00:00:00"/>
    <d v="2022-05-02T00:00:00"/>
    <s v="  /  /  "/>
    <n v="0"/>
    <s v="  /  /  "/>
    <n v="0"/>
    <s v="                                        "/>
    <s v="  /  /  "/>
    <s v="sa718"/>
    <d v="2022-05-09T00:00:00"/>
    <s v="Sem rota"/>
    <n v="0"/>
    <m/>
    <n v="0"/>
    <m/>
    <n v="0"/>
    <s v="Logber - Colatina Es"/>
    <s v="CIF"/>
    <n v="20270.78"/>
    <n v="709327.5"/>
    <x v="19"/>
    <n v="20270.78"/>
  </r>
  <r>
    <n v="15909"/>
    <x v="15"/>
    <n v="61585865288660"/>
    <s v="Raia Drogasil S.A"/>
    <s v="Cuiaba"/>
    <s v="MT"/>
    <n v="25992"/>
    <x v="8"/>
    <s v="V"/>
    <s v="PE"/>
    <s v="Normal"/>
    <s v="28747 05 F"/>
    <n v="4504521519"/>
    <d v="2022-04-27T00:00:00"/>
    <d v="2022-08-12T00:00:00"/>
    <d v="2022-04-27T00:00:00"/>
    <s v="  /  /  "/>
    <n v="0"/>
    <s v="  /  /  "/>
    <n v="0"/>
    <s v="                                        "/>
    <s v="  /  /  "/>
    <s v="sa731"/>
    <d v="2022-05-18T00:00:00"/>
    <s v="Sem rota"/>
    <n v="13"/>
    <s v="45 Ddf S/j"/>
    <n v="0"/>
    <m/>
    <n v="0"/>
    <s v="Logber - Colatina Es"/>
    <s v="CIF"/>
    <n v="172341.33000000002"/>
    <n v="3059399.28"/>
    <x v="19"/>
    <n v="172341.33000000002"/>
  </r>
  <r>
    <n v="15909"/>
    <x v="15"/>
    <n v="61585865288660"/>
    <s v="Raia Drogasil S.A"/>
    <s v="Cuiaba"/>
    <s v="MT"/>
    <n v="25993"/>
    <x v="8"/>
    <s v="V"/>
    <s v="PE"/>
    <s v="Normal"/>
    <s v="28747 05 F"/>
    <n v="4504521519"/>
    <d v="2022-04-27T00:00:00"/>
    <d v="2022-08-12T00:00:00"/>
    <d v="2022-04-27T00:00:00"/>
    <s v="  /  /  "/>
    <n v="0"/>
    <s v="  /  /  "/>
    <n v="0"/>
    <s v="                                        "/>
    <s v="  /  /  "/>
    <s v="sa730"/>
    <d v="2022-05-18T00:00:00"/>
    <s v="Sem rota"/>
    <n v="13"/>
    <s v="45 Ddf S/j"/>
    <n v="0"/>
    <m/>
    <n v="0"/>
    <s v="Logber - Colatina Es"/>
    <s v="CIF"/>
    <n v="96595.249999999985"/>
    <n v="1790867.87"/>
    <x v="19"/>
    <n v="96595.249999999985"/>
  </r>
  <r>
    <n v="15909"/>
    <x v="15"/>
    <n v="61585865288660"/>
    <s v="Raia Drogasil S.A"/>
    <s v="Cuiaba"/>
    <s v="MT"/>
    <n v="25994"/>
    <x v="8"/>
    <s v="V"/>
    <s v="PE"/>
    <s v="Normal"/>
    <s v="28747 05 F"/>
    <n v="4504521519"/>
    <d v="2022-04-27T00:00:00"/>
    <d v="2022-08-12T00:00:00"/>
    <d v="2022-04-27T00:00:00"/>
    <s v="  /  /  "/>
    <n v="0"/>
    <s v="  /  /  "/>
    <n v="0"/>
    <s v="                                        "/>
    <s v="  /  /  "/>
    <s v="sa733"/>
    <d v="2022-05-19T00:00:00"/>
    <s v="Sem rota"/>
    <n v="13"/>
    <s v="45 Ddf S/j"/>
    <n v="0"/>
    <m/>
    <n v="0"/>
    <s v="Logber - Colatina Es"/>
    <s v="CIF"/>
    <n v="114622.73000000001"/>
    <n v="2163965.35"/>
    <x v="19"/>
    <n v="114622.73000000001"/>
  </r>
  <r>
    <n v="15909"/>
    <x v="15"/>
    <n v="61585865288660"/>
    <s v="Raia Drogasil S.A"/>
    <s v="Cuiaba"/>
    <s v="MT"/>
    <n v="25995"/>
    <x v="8"/>
    <s v="V"/>
    <s v="PE"/>
    <s v="Normal"/>
    <s v="28747 05 F"/>
    <n v="4504521519"/>
    <d v="2022-04-27T00:00:00"/>
    <d v="2022-08-12T00:00:00"/>
    <d v="2022-04-27T00:00:00"/>
    <s v="  /  /  "/>
    <n v="0"/>
    <s v="  /  /  "/>
    <n v="0"/>
    <s v="                                        "/>
    <s v="  /  /  "/>
    <s v="sa736"/>
    <d v="2022-05-23T00:00:00"/>
    <s v="Sem rota"/>
    <n v="13"/>
    <s v="45 Ddf S/j"/>
    <n v="0"/>
    <m/>
    <n v="0"/>
    <s v="Logber - Colatina Es"/>
    <s v="CIF"/>
    <n v="88755.550000000017"/>
    <n v="1790867.87"/>
    <x v="19"/>
    <n v="88755.550000000017"/>
  </r>
  <r>
    <n v="15909"/>
    <x v="15"/>
    <n v="61585865288660"/>
    <s v="Raia Drogasil S.A"/>
    <s v="Cuiaba"/>
    <s v="MT"/>
    <n v="25996"/>
    <x v="17"/>
    <s v="V"/>
    <s v="PE"/>
    <s v="Normal"/>
    <s v="28747 05 F"/>
    <n v="4504521519"/>
    <d v="2022-04-27T00:00:00"/>
    <d v="2022-08-12T00:00:00"/>
    <d v="2022-04-27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s v="Logber - Colatina Es"/>
    <s v="CIF"/>
    <n v="24319"/>
    <n v="2211510"/>
    <x v="19"/>
    <n v="24319"/>
  </r>
  <r>
    <n v="15074"/>
    <x v="21"/>
    <n v="1631626000169"/>
    <s v="Sun Chemical do Brasil Ltda"/>
    <s v="Guarulhos"/>
    <s v="SP"/>
    <n v="26122"/>
    <x v="8"/>
    <s v="V"/>
    <s v="PE"/>
    <s v="Normal"/>
    <s v="29516 01 B"/>
    <m/>
    <d v="2022-05-13T00:00:00"/>
    <d v="2022-08-12T00:00:00"/>
    <d v="2022-05-27T00:00:00"/>
    <s v="  /  /  "/>
    <n v="0"/>
    <s v="  /  /  "/>
    <n v="0"/>
    <s v="                                        "/>
    <s v="  /  /  "/>
    <s v="sa748"/>
    <d v="2022-05-30T00:00:00"/>
    <s v="Sem rota"/>
    <n v="2051"/>
    <s v="40% na Conf. e Saldo 28ddf"/>
    <n v="0"/>
    <m/>
    <n v="0"/>
    <s v="Logber - Colatina Es"/>
    <s v="CIF"/>
    <n v="127.2"/>
    <n v="6195"/>
    <x v="19"/>
    <n v="127.2"/>
  </r>
  <r>
    <n v="15077"/>
    <x v="30"/>
    <n v="72801954000104"/>
    <s v="Thk Brasil Industria e Comercio Ltda"/>
    <s v="Sao Paulo"/>
    <s v="SP"/>
    <n v="26120"/>
    <x v="7"/>
    <s v="V"/>
    <s v="PE"/>
    <s v="Normal"/>
    <s v="29308 01 B"/>
    <s v="3748/2022"/>
    <d v="2022-05-12T00:00:00"/>
    <d v="2022-08-12T00:00:00"/>
    <d v="2022-05-17T00:00:00"/>
    <s v="  /  /  "/>
    <n v="0"/>
    <s v="  /  /  "/>
    <n v="0"/>
    <s v="                                        "/>
    <s v="  /  /  "/>
    <s v="sa732"/>
    <d v="2022-05-19T00:00:00"/>
    <s v="Sem rota"/>
    <n v="2257"/>
    <s v="40% Conf/30%14ddf/saldo28ddf"/>
    <n v="0"/>
    <m/>
    <n v="0"/>
    <s v="Logber - Colatina Es"/>
    <s v="CIF"/>
    <n v="711.65"/>
    <n v="20650"/>
    <x v="19"/>
    <n v="711.65"/>
  </r>
  <r>
    <n v="15907"/>
    <x v="8"/>
    <n v="15205628000109"/>
    <s v="Tramontina Nordeste S/A"/>
    <s v="Simoes Filho"/>
    <s v="BA"/>
    <n v="26119"/>
    <x v="8"/>
    <s v="V"/>
    <s v="PE"/>
    <s v="Normal"/>
    <s v="29826 00 A"/>
    <n v="1347"/>
    <d v="2022-05-12T00:00:00"/>
    <d v="2022-08-12T00:00:00"/>
    <d v="2022-05-16T00:00:00"/>
    <s v="  /  /  "/>
    <n v="0"/>
    <s v="  /  /  "/>
    <n v="0"/>
    <s v="                                        "/>
    <s v="  /  /  "/>
    <s v="sa728"/>
    <d v="2022-05-17T00:00:00"/>
    <s v="Sem rota"/>
    <n v="2257"/>
    <s v="40% Conf/30%14ddf/saldo28ddf"/>
    <n v="0"/>
    <m/>
    <n v="0"/>
    <s v="Logber - Colatina Es"/>
    <s v="CIF"/>
    <n v="2690.87"/>
    <n v="76363.7"/>
    <x v="19"/>
    <n v="2690.87"/>
  </r>
  <r>
    <n v="15067"/>
    <x v="3"/>
    <n v="2899104000105"/>
    <s v="Zobele do Brasil Ltda"/>
    <s v="Cachoeirinha"/>
    <s v="RS"/>
    <n v="26181"/>
    <x v="7"/>
    <s v="V"/>
    <s v="PE"/>
    <s v="Normal"/>
    <s v="29636 00 B"/>
    <n v="4500447358"/>
    <d v="2022-05-20T00:00:00"/>
    <d v="2022-08-12T00:00:00"/>
    <d v="2022-05-23T00:00:00"/>
    <s v="  /  /  "/>
    <n v="0"/>
    <s v="  /  /  "/>
    <n v="0"/>
    <s v="                                        "/>
    <s v="  /  /  "/>
    <s v="sa747"/>
    <d v="2022-05-27T00:00:00"/>
    <s v="Sem rota"/>
    <n v="2257"/>
    <s v="40% Conf/30%14ddf/saldo28ddf"/>
    <n v="0"/>
    <m/>
    <n v="0"/>
    <s v="Logber - Colatina Es"/>
    <s v="CIF"/>
    <n v="116.54"/>
    <n v="8776.25"/>
    <x v="19"/>
    <n v="116.54"/>
  </r>
  <r>
    <n v="15075"/>
    <x v="5"/>
    <n v="33971859000105"/>
    <s v="A L Sul Com de Comp para Calcados Ltda"/>
    <s v="Igrejinha"/>
    <s v="RS"/>
    <n v="26205"/>
    <x v="12"/>
    <s v="V"/>
    <s v="PE"/>
    <s v="Normal"/>
    <s v="29751 01 B"/>
    <m/>
    <d v="2022-05-24T00:00:00"/>
    <d v="2022-08-19T00:00:00"/>
    <d v="2022-05-27T00:00:00"/>
    <s v="  /  /  "/>
    <n v="0"/>
    <s v="  /  /  "/>
    <n v="0"/>
    <s v="                                        "/>
    <s v="  /  /  "/>
    <s v="sa748"/>
    <d v="2022-05-30T00:00:00"/>
    <s v="Sem rota"/>
    <n v="0"/>
    <m/>
    <n v="0"/>
    <m/>
    <n v="0"/>
    <s v="Logber - Colatina Es"/>
    <s v="CIF"/>
    <n v="99.72999999999999"/>
    <n v="7227.5"/>
    <x v="19"/>
    <n v="99.72999999999999"/>
  </r>
  <r>
    <n v="15069"/>
    <x v="6"/>
    <n v="1838723034617"/>
    <s v="Brf S.A"/>
    <s v="Vitoria de Santo Antao"/>
    <s v="PE"/>
    <n v="25421"/>
    <x v="10"/>
    <s v="V"/>
    <s v="PE"/>
    <s v="Normal"/>
    <s v="24622 03 E"/>
    <n v="104678065"/>
    <d v="2022-02-09T00:00:00"/>
    <d v="2022-08-19T00:00:00"/>
    <d v="2022-02-09T00:00:00"/>
    <s v="  /  /  "/>
    <n v="0"/>
    <s v="  /  /  "/>
    <n v="0"/>
    <s v="                                        "/>
    <s v="  /  /  "/>
    <s v="sa648"/>
    <d v="2022-03-01T00:00:00"/>
    <s v="Sem rota"/>
    <n v="482"/>
    <s v="150 DDF S/juros"/>
    <n v="0"/>
    <m/>
    <n v="0"/>
    <s v="Logber - Colatina Es"/>
    <s v="CIF"/>
    <n v="2225.19"/>
    <n v="406913.54"/>
    <x v="19"/>
    <n v="2225.19"/>
  </r>
  <r>
    <n v="15069"/>
    <x v="6"/>
    <n v="1838723034617"/>
    <s v="Brf S.A"/>
    <s v="Vitoria de Santo Antao"/>
    <s v="PE"/>
    <n v="25422"/>
    <x v="0"/>
    <s v="V"/>
    <s v="PE"/>
    <s v="Normal"/>
    <s v="24622 03 E"/>
    <n v="104678065"/>
    <d v="2022-02-09T00:00:00"/>
    <d v="2022-08-19T00:00:00"/>
    <d v="2022-02-09T00:00:00"/>
    <s v="  /  /  "/>
    <n v="0"/>
    <s v="  /  /  "/>
    <n v="0"/>
    <s v="                                        "/>
    <s v="  /  /  "/>
    <m/>
    <s v="/  /"/>
    <s v="Sem rota"/>
    <n v="482"/>
    <s v="150 DDF S/juros"/>
    <n v="0"/>
    <m/>
    <n v="0"/>
    <m/>
    <s v="CIF"/>
    <n v="0"/>
    <n v="29000"/>
    <x v="19"/>
    <n v="0"/>
  </r>
  <r>
    <n v="15057"/>
    <x v="0"/>
    <n v="1838723033998"/>
    <s v="Brf S.A"/>
    <s v="Chapeco"/>
    <s v="SC"/>
    <n v="26164"/>
    <x v="12"/>
    <s v="V"/>
    <s v="PE"/>
    <s v="Normal"/>
    <s v="29324 00 A"/>
    <n v="105534970"/>
    <d v="2022-05-19T00:00:00"/>
    <d v="2022-08-19T00:00:00"/>
    <d v="2022-05-19T00:00:00"/>
    <s v="  /  /  "/>
    <n v="0"/>
    <s v="  /  /  "/>
    <n v="0"/>
    <s v="                                        "/>
    <s v="  /  /  "/>
    <s v="sa756"/>
    <d v="2022-06-07T00:00:00"/>
    <s v="Sem rota"/>
    <n v="575"/>
    <s v="180 Ddf S/j"/>
    <n v="0"/>
    <m/>
    <n v="0"/>
    <s v="Logber - Colatina Es"/>
    <s v="CIF"/>
    <n v="0"/>
    <n v="44600"/>
    <x v="19"/>
    <n v="0"/>
  </r>
  <r>
    <n v="15063"/>
    <x v="23"/>
    <n v="45135215000158"/>
    <s v="Consorcio Cloges"/>
    <s v="Cariacica"/>
    <s v="ES"/>
    <n v="25767"/>
    <x v="12"/>
    <s v="V"/>
    <s v="PE"/>
    <s v="Normal"/>
    <s v="29091 03 C"/>
    <m/>
    <d v="2022-03-29T00:00:00"/>
    <d v="2022-08-19T00:00:00"/>
    <d v="2022-04-19T00:00:00"/>
    <s v="  /  /  "/>
    <n v="0"/>
    <s v="  /  /  "/>
    <n v="0"/>
    <s v="                                        "/>
    <s v="  /  /  "/>
    <s v="sa717"/>
    <d v="2022-05-09T00:00:00"/>
    <s v="Sem rota"/>
    <n v="0"/>
    <m/>
    <n v="0"/>
    <m/>
    <n v="0"/>
    <s v="Logber - Colatina Es"/>
    <s v="CIF"/>
    <n v="144488.44"/>
    <n v="2234349.41"/>
    <x v="19"/>
    <n v="144488.44"/>
  </r>
  <r>
    <n v="15063"/>
    <x v="23"/>
    <n v="45135215000158"/>
    <s v="Consorcio Cloges"/>
    <s v="Cariacica"/>
    <s v="ES"/>
    <n v="25768"/>
    <x v="12"/>
    <s v="V"/>
    <s v="PE"/>
    <s v="Normal"/>
    <s v="29091 03 C"/>
    <m/>
    <d v="2022-03-29T00:00:00"/>
    <d v="2022-08-19T00:00:00"/>
    <d v="2022-04-19T00:00:00"/>
    <s v="  /  /  "/>
    <n v="0"/>
    <s v="  /  /  "/>
    <n v="0"/>
    <s v="                                        "/>
    <s v="  /  /  "/>
    <s v="sa716"/>
    <d v="2022-05-09T00:00:00"/>
    <s v="Sem rota"/>
    <n v="0"/>
    <m/>
    <n v="0"/>
    <m/>
    <n v="0"/>
    <s v="Logber - Colatina Es"/>
    <s v="CIF"/>
    <n v="152542.54"/>
    <n v="2234349.41"/>
    <x v="19"/>
    <n v="152542.54"/>
  </r>
  <r>
    <n v="15057"/>
    <x v="0"/>
    <n v="17606425000141"/>
    <s v="Cuias Fracari Industria e Comercio Ltda"/>
    <s v="Santa Maria"/>
    <s v="RS"/>
    <n v="26277"/>
    <x v="8"/>
    <s v="V"/>
    <s v="PE"/>
    <s v="Normal"/>
    <s v="30055 01 B"/>
    <m/>
    <d v="2022-05-31T00:00:00"/>
    <d v="2022-08-19T00:00:00"/>
    <d v="2022-06-02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125"/>
    <n v="3817.15"/>
    <x v="19"/>
    <n v="125"/>
  </r>
  <r>
    <n v="15051"/>
    <x v="13"/>
    <n v="1287588000411"/>
    <s v="Dass Nordeste Cal e Art Esportivos S.A"/>
    <s v="Vitoria da Conquista"/>
    <s v="BA"/>
    <n v="26311"/>
    <x v="7"/>
    <s v="V"/>
    <s v="PE"/>
    <s v="Normal"/>
    <s v="28394 01 D"/>
    <n v="10184920"/>
    <d v="2022-06-03T00:00:00"/>
    <d v="2022-08-19T00:00:00"/>
    <d v="2022-06-03T00:00:00"/>
    <s v="  /  /  "/>
    <n v="0"/>
    <s v="  /  /  "/>
    <n v="0"/>
    <s v="                                        "/>
    <s v="  /  /  "/>
    <m/>
    <s v="/  /"/>
    <s v="Sem rota"/>
    <n v="2003"/>
    <s v="14/28/56 DDF S/juros"/>
    <n v="0"/>
    <m/>
    <n v="0"/>
    <m/>
    <s v="FOB"/>
    <n v="1496"/>
    <n v="27877.5"/>
    <x v="19"/>
    <n v="1496"/>
  </r>
  <r>
    <n v="15076"/>
    <x v="31"/>
    <n v="878013000168"/>
    <s v="E M K Comercial Ltda"/>
    <s v="Manaus"/>
    <s v="AM"/>
    <n v="26070"/>
    <x v="8"/>
    <s v="V"/>
    <s v="PE"/>
    <s v="Normal"/>
    <s v="29304 00 B"/>
    <m/>
    <d v="2022-05-05T00:00:00"/>
    <d v="2022-08-19T00:00:00"/>
    <d v="2022-05-16T00:00:00"/>
    <s v="  /  /  "/>
    <n v="0"/>
    <s v="  /  /  "/>
    <n v="0"/>
    <s v="                                        "/>
    <s v="  /  /  "/>
    <s v="sa738"/>
    <d v="2022-05-24T00:00:00"/>
    <s v="Sem rota"/>
    <n v="0"/>
    <m/>
    <n v="0"/>
    <m/>
    <n v="0"/>
    <s v="Logber - Colatina Es"/>
    <s v="CIF"/>
    <n v="3155.61"/>
    <n v="73507.5"/>
    <x v="19"/>
    <n v="3155.61"/>
  </r>
  <r>
    <n v="15074"/>
    <x v="21"/>
    <n v="61156113000175"/>
    <s v="Iochpe Maxion S/A"/>
    <s v="Cruzeiro"/>
    <s v="SP"/>
    <n v="26074"/>
    <x v="25"/>
    <s v="V"/>
    <s v="PE"/>
    <s v="Normal"/>
    <s v="27363 00 E"/>
    <n v="4500132982"/>
    <d v="2022-05-05T00:00:00"/>
    <d v="2022-08-19T00:00:00"/>
    <d v="2022-05-19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448"/>
    <n v="19583"/>
    <x v="19"/>
    <n v="448"/>
  </r>
  <r>
    <n v="15052"/>
    <x v="25"/>
    <n v="2916265036512"/>
    <s v="Jbs S.A"/>
    <s v="Guaicara"/>
    <s v="SP"/>
    <n v="26038"/>
    <x v="8"/>
    <s v="V"/>
    <s v="PE"/>
    <s v="Normal"/>
    <s v="27989 02 D"/>
    <s v="JBS-46667195"/>
    <d v="2022-04-29T00:00:00"/>
    <d v="2022-08-19T00:00:00"/>
    <d v="2022-05-02T00:00:00"/>
    <s v="  /  /  "/>
    <n v="0"/>
    <s v="  /  /  "/>
    <n v="0"/>
    <s v="                                        "/>
    <s v="  /  /  "/>
    <s v="sa725"/>
    <d v="2022-05-11T00:00:00"/>
    <s v="Sem rota"/>
    <n v="575"/>
    <s v="180 Ddf S/j"/>
    <n v="0"/>
    <m/>
    <n v="0"/>
    <m/>
    <s v="CIF"/>
    <n v="1114.7499999999998"/>
    <n v="99016.75"/>
    <x v="19"/>
    <n v="1114.7499999999998"/>
  </r>
  <r>
    <n v="15907"/>
    <x v="8"/>
    <n v="11907140000164"/>
    <s v="Krona Tubos e Conexoes do Nordeste Ltda"/>
    <s v="Marechal Deodoro"/>
    <s v="AL"/>
    <n v="26034"/>
    <x v="8"/>
    <s v="V"/>
    <s v="PE"/>
    <s v="Normal"/>
    <s v="24990 01 D"/>
    <n v="48061"/>
    <d v="2022-04-29T00:00:00"/>
    <d v="2022-08-19T00:00:00"/>
    <d v="2022-05-10T00:00:00"/>
    <s v="  /  /  "/>
    <n v="0"/>
    <s v="  /  /  "/>
    <n v="0"/>
    <s v="                                        "/>
    <s v="  /  /  "/>
    <s v="sa721"/>
    <d v="2022-05-10T00:00:00"/>
    <s v="Sem rota"/>
    <n v="2257"/>
    <s v="40% Conf/30%14ddf/saldo28ddf"/>
    <n v="0"/>
    <m/>
    <n v="0"/>
    <s v="Logber - Colatina Es"/>
    <s v="CIF"/>
    <n v="3276.9500000000003"/>
    <n v="149144.63"/>
    <x v="19"/>
    <n v="3276.9500000000003"/>
  </r>
  <r>
    <n v="15907"/>
    <x v="8"/>
    <n v="11907140000164"/>
    <s v="Krona Tubos e Conexoes do Nordeste Ltda"/>
    <s v="Marechal Deodoro"/>
    <s v="AL"/>
    <n v="26035"/>
    <x v="18"/>
    <s v="V"/>
    <s v="PE"/>
    <s v="Normal"/>
    <s v="24990 01 D"/>
    <n v="48061"/>
    <d v="2022-04-29T00:00:00"/>
    <d v="2022-08-19T00:00:00"/>
    <d v="2022-05-10T00:00:00"/>
    <s v="  /  /  "/>
    <n v="0"/>
    <s v="  /  /  "/>
    <n v="0"/>
    <s v="                                        "/>
    <s v="  /  /  "/>
    <s v="sa734"/>
    <d v="2022-05-23T00:00:00"/>
    <s v="Sem rota"/>
    <n v="0"/>
    <m/>
    <n v="0"/>
    <m/>
    <n v="0"/>
    <m/>
    <s v="CIF"/>
    <n v="1177.2099999999998"/>
    <n v="41537.480000000003"/>
    <x v="19"/>
    <n v="1177.2099999999998"/>
  </r>
  <r>
    <n v="15910"/>
    <x v="11"/>
    <n v="33069212000184"/>
    <s v="Merck S.A"/>
    <s v="Rio de Janeiro"/>
    <s v="RJ"/>
    <n v="26167"/>
    <x v="12"/>
    <s v="V"/>
    <s v="PE"/>
    <s v="Normal"/>
    <s v="29157 00 A"/>
    <n v="5010011798"/>
    <d v="2022-05-19T00:00:00"/>
    <d v="2022-08-19T00:00:00"/>
    <d v="2022-05-19T00:00:00"/>
    <s v="  /  /  "/>
    <n v="0"/>
    <s v="  /  /  "/>
    <n v="0"/>
    <s v="                                        "/>
    <s v="  /  /  "/>
    <s v="sa738"/>
    <d v="2022-05-24T00:00:00"/>
    <s v="Sem rota"/>
    <n v="879"/>
    <s v="60 Ddf S/j"/>
    <n v="0"/>
    <m/>
    <n v="0"/>
    <s v="Logber - Colatina Es"/>
    <s v="CIF"/>
    <n v="127.21000000000001"/>
    <n v="14568.58"/>
    <x v="19"/>
    <n v="127.21000000000001"/>
  </r>
  <r>
    <n v="15066"/>
    <x v="18"/>
    <n v="60409075004905"/>
    <s v="Nestle Brasil Ltda"/>
    <s v="Ituiutaba"/>
    <s v="MG"/>
    <n v="26059"/>
    <x v="7"/>
    <s v="V"/>
    <s v="PE"/>
    <s v="Normal"/>
    <s v="26825 04 H"/>
    <n v="4569435584"/>
    <d v="2022-05-04T00:00:00"/>
    <d v="2022-08-19T00:00:00"/>
    <d v="2022-05-04T00:00:00"/>
    <s v="  /  /  "/>
    <n v="0"/>
    <s v="  /  /  "/>
    <n v="0"/>
    <s v="                                        "/>
    <s v="  /  /  "/>
    <s v="sa721"/>
    <d v="2022-05-10T00:00:00"/>
    <s v="Sem rota"/>
    <n v="944"/>
    <s v="90 DDF Sem Juros"/>
    <n v="0"/>
    <m/>
    <n v="0"/>
    <s v="Logber - Colatina Es"/>
    <s v="CIF"/>
    <n v="1253.6299999999999"/>
    <n v="47180.09"/>
    <x v="19"/>
    <n v="1253.6299999999999"/>
  </r>
  <r>
    <n v="15066"/>
    <x v="18"/>
    <n v="60409075004905"/>
    <s v="Nestle Brasil Ltda"/>
    <s v="Ituiutaba"/>
    <s v="MG"/>
    <n v="26060"/>
    <x v="16"/>
    <s v="V"/>
    <s v="PE"/>
    <s v="Normal"/>
    <s v="26825 04 H"/>
    <n v="4569435584"/>
    <d v="2022-05-04T00:00:00"/>
    <d v="2022-08-19T00:00:00"/>
    <d v="2022-05-04T00:00:00"/>
    <s v="  /  /  "/>
    <n v="0"/>
    <s v="  /  /  "/>
    <n v="0"/>
    <s v="                                        "/>
    <s v="  /  /  "/>
    <s v="sa742"/>
    <d v="2022-05-26T00:00:00"/>
    <s v="Sem rota"/>
    <n v="944"/>
    <s v="90 DDF Sem Juros"/>
    <n v="0"/>
    <m/>
    <n v="0"/>
    <s v="Logber - Colatina Es"/>
    <s v="CIF"/>
    <n v="34576.300000000003"/>
    <n v="788938"/>
    <x v="19"/>
    <n v="34576.300000000003"/>
  </r>
  <r>
    <n v="15076"/>
    <x v="31"/>
    <n v="74557471000301"/>
    <s v="New Horizon Comercial Ltda"/>
    <s v="Manaus"/>
    <s v="AM"/>
    <n v="26165"/>
    <x v="12"/>
    <s v="V"/>
    <s v="PE"/>
    <s v="Normal"/>
    <s v="29700 00 B"/>
    <m/>
    <d v="2022-05-19T00:00:00"/>
    <d v="2022-08-19T00:00:00"/>
    <d v="2022-05-19T00:00:00"/>
    <s v="  /  /  "/>
    <n v="0"/>
    <s v="  /  /  "/>
    <n v="0"/>
    <s v="                                        "/>
    <s v="  /  /  "/>
    <s v="sa738"/>
    <d v="2022-05-24T00:00:00"/>
    <s v="Sem rota"/>
    <n v="2257"/>
    <s v="40% Conf/30%14ddf/saldo28ddf"/>
    <n v="0"/>
    <m/>
    <n v="0"/>
    <s v="Logber - Colatina Es"/>
    <s v="CIF"/>
    <n v="278.45"/>
    <n v="7370.83"/>
    <x v="19"/>
    <n v="278.45"/>
  </r>
  <r>
    <n v="15063"/>
    <x v="23"/>
    <n v="27485069000109"/>
    <s v="Empresa Luz e Força Santa Maria S/A"/>
    <s v="Colatina"/>
    <s v="ES"/>
    <n v="26124"/>
    <x v="8"/>
    <s v="V"/>
    <s v="PE"/>
    <s v="Normal"/>
    <s v="28651 01 B"/>
    <s v="84594/1"/>
    <d v="2022-05-13T00:00:00"/>
    <d v="2022-08-19T00:00:00"/>
    <d v="2022-05-26T00:00:00"/>
    <s v="  /  /  "/>
    <n v="0"/>
    <s v="  /  /  "/>
    <n v="0"/>
    <s v="                                        "/>
    <s v="  /  /  "/>
    <s v="sa748"/>
    <d v="2022-05-30T00:00:00"/>
    <s v="Sem rota"/>
    <n v="2257"/>
    <s v="40% Conf/30%14ddf/saldo28ddf"/>
    <n v="0"/>
    <m/>
    <n v="0"/>
    <s v="Logber - Colatina Es"/>
    <s v="CIF"/>
    <n v="3203.35"/>
    <n v="95506.25"/>
    <x v="19"/>
    <n v="3203.35"/>
  </r>
  <r>
    <n v="15057"/>
    <x v="0"/>
    <n v="90049792000181"/>
    <s v="Tramontina Garibaldi S/A Ind Met"/>
    <s v="Garibaldi"/>
    <s v="RS"/>
    <n v="26126"/>
    <x v="12"/>
    <s v="V"/>
    <s v="PE"/>
    <s v="Normal"/>
    <s v="29766 01 A"/>
    <n v="211414"/>
    <d v="2022-05-13T00:00:00"/>
    <d v="2022-08-19T00:00:00"/>
    <d v="2022-05-16T00:00:00"/>
    <s v="  /  /  "/>
    <n v="0"/>
    <s v="  /  /  "/>
    <n v="0"/>
    <s v="                                        "/>
    <s v="  /  /  "/>
    <s v="sa738"/>
    <d v="2022-05-24T00:00:00"/>
    <s v="Sem rota"/>
    <n v="2000"/>
    <s v="28 DDF S/juros"/>
    <n v="0"/>
    <m/>
    <n v="0"/>
    <s v="Logber - Colatina Es"/>
    <s v="CIF"/>
    <n v="411.31000000000006"/>
    <n v="8920.7999999999993"/>
    <x v="19"/>
    <n v="411.31000000000006"/>
  </r>
  <r>
    <n v="15064"/>
    <x v="17"/>
    <n v="18928807000154"/>
    <s v="Uniar Com de Eletro-eletronicos e Servic"/>
    <s v="Extrema"/>
    <s v="MG"/>
    <n v="26237"/>
    <x v="12"/>
    <s v="V"/>
    <s v="PE"/>
    <s v="Normal"/>
    <s v="30020 01 A"/>
    <m/>
    <d v="2022-05-27T00:00:00"/>
    <d v="2022-08-19T00:00:00"/>
    <d v="2022-06-01T00:00:00"/>
    <s v="  /  /  "/>
    <n v="0"/>
    <s v="  /  /  "/>
    <n v="0"/>
    <s v="                                        "/>
    <s v="  /  /  "/>
    <s v="sa756"/>
    <d v="2022-06-07T00:00:00"/>
    <s v="Sem rota"/>
    <n v="2257"/>
    <s v="40% Conf/30%14ddf/saldo28ddf"/>
    <n v="0"/>
    <m/>
    <n v="0"/>
    <s v="Logber - Colatina Es"/>
    <s v="CIF"/>
    <n v="3341.25"/>
    <n v="103250"/>
    <x v="19"/>
    <n v="3341.25"/>
  </r>
  <r>
    <n v="15054"/>
    <x v="2"/>
    <n v="24544420000105"/>
    <s v="Aviz Alimentos Ltda"/>
    <s v="Goiania"/>
    <s v="GO"/>
    <n v="26085"/>
    <x v="8"/>
    <s v="V"/>
    <s v="PE"/>
    <s v="Normal"/>
    <s v="29389 01 C"/>
    <m/>
    <d v="2022-05-09T00:00:00"/>
    <d v="2022-08-26T00:00:00"/>
    <d v="2022-05-11T00:00:00"/>
    <s v="  /  /  "/>
    <n v="0"/>
    <s v="  /  /  "/>
    <n v="0"/>
    <s v="                                        "/>
    <s v="  /  /  "/>
    <s v="sa725"/>
    <d v="2022-05-11T00:00:00"/>
    <s v="Sem rota"/>
    <n v="2081"/>
    <s v="30%conf 30%14ddf Saldo28/56ddf"/>
    <n v="0"/>
    <m/>
    <n v="0"/>
    <s v="Logber - Colatina Es"/>
    <s v="CIF"/>
    <n v="1667.88"/>
    <n v="60965"/>
    <x v="19"/>
    <n v="1667.88"/>
  </r>
  <r>
    <n v="15059"/>
    <x v="20"/>
    <n v="11281641000269"/>
    <s v="Biofhitus Laboratorio Nutraceutico Ltda"/>
    <s v="Icara"/>
    <s v="SC"/>
    <n v="26208"/>
    <x v="12"/>
    <s v="V"/>
    <s v="PE"/>
    <s v="Normal"/>
    <s v="29816 00 C"/>
    <m/>
    <d v="2022-05-25T00:00:00"/>
    <d v="2022-08-26T00:00:00"/>
    <d v="2022-06-09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252.89599999999999"/>
    <n v="5074.74"/>
    <x v="19"/>
    <n v="252.89599999999999"/>
  </r>
  <r>
    <n v="15059"/>
    <x v="20"/>
    <n v="11281641000269"/>
    <s v="Biofhitus Laboratorio Nutraceutico Ltda"/>
    <s v="Icara"/>
    <s v="SC"/>
    <n v="26210"/>
    <x v="12"/>
    <s v="V"/>
    <s v="PE"/>
    <s v="Normal"/>
    <s v="29970 00 C"/>
    <m/>
    <d v="2022-05-25T00:00:00"/>
    <d v="2022-08-26T00:00:00"/>
    <d v="2022-06-09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432"/>
    <n v="8523.2900000000009"/>
    <x v="19"/>
    <n v="432"/>
  </r>
  <r>
    <n v="15067"/>
    <x v="3"/>
    <n v="88059118000136"/>
    <s v="Bristol Ind de Maq Comercio, Imp e Exp"/>
    <s v="Sao Jeronimo"/>
    <s v="RS"/>
    <n v="26186"/>
    <x v="8"/>
    <s v="V"/>
    <s v="PE"/>
    <s v="Normal"/>
    <s v="29353 02 C"/>
    <n v="24177"/>
    <d v="2022-05-23T00:00:00"/>
    <d v="2022-08-26T00:00:00"/>
    <d v="2022-05-24T00:00:00"/>
    <s v="  /  /  "/>
    <n v="0"/>
    <s v="  /  /  "/>
    <n v="0"/>
    <s v="                                        "/>
    <s v="  /  /  "/>
    <s v="sa747"/>
    <d v="2022-05-27T00:00:00"/>
    <s v="Sem rota"/>
    <n v="0"/>
    <m/>
    <n v="0"/>
    <m/>
    <n v="0"/>
    <s v="Logber - Colatina Es"/>
    <s v="CIF"/>
    <n v="670.54"/>
    <n v="22890.53"/>
    <x v="19"/>
    <n v="670.54"/>
  </r>
  <r>
    <n v="15910"/>
    <x v="11"/>
    <n v="84046101057977"/>
    <s v="Bunge Alimentos S/A"/>
    <s v="Duque de Caxias"/>
    <s v="RJ"/>
    <n v="26169"/>
    <x v="7"/>
    <s v="V"/>
    <s v="PE"/>
    <s v="Normal"/>
    <s v="29599 00 A"/>
    <n v="4102790866"/>
    <d v="2022-05-19T00:00:00"/>
    <d v="2022-08-26T00:00:00"/>
    <d v="2022-05-24T00:00:00"/>
    <s v="  /  /  "/>
    <n v="0"/>
    <s v="  /  /  "/>
    <n v="0"/>
    <s v="                                        "/>
    <s v="  /  /  "/>
    <s v="sa739"/>
    <d v="2022-05-25T00:00:00"/>
    <s v="Sem rota"/>
    <n v="44"/>
    <s v="30 DDF S/juros"/>
    <n v="0"/>
    <m/>
    <n v="0"/>
    <s v="Logber - Colatina Es"/>
    <s v="CIF"/>
    <n v="11.75"/>
    <n v="5387.24"/>
    <x v="19"/>
    <n v="11.75"/>
  </r>
  <r>
    <n v="15910"/>
    <x v="11"/>
    <n v="84046101057977"/>
    <s v="Bunge Alimentos S/A"/>
    <s v="Duque de Caxias"/>
    <s v="RJ"/>
    <n v="26170"/>
    <x v="14"/>
    <s v="V"/>
    <s v="PE"/>
    <s v="Normal"/>
    <s v="29599 00 A"/>
    <n v="4102779382"/>
    <d v="2022-05-19T00:00:00"/>
    <d v="2022-08-26T00:00:00"/>
    <d v="2022-05-24T00:00:00"/>
    <s v="  /  /  "/>
    <n v="0"/>
    <s v="  /  /  "/>
    <n v="0"/>
    <s v="                                        "/>
    <s v="  /  /  "/>
    <s v="sa741"/>
    <d v="2022-05-26T00:00:00"/>
    <s v="Sem rota"/>
    <n v="44"/>
    <s v="30 DDF S/juros"/>
    <n v="0"/>
    <m/>
    <n v="0"/>
    <s v="Logber - Colatina Es"/>
    <s v="CIF"/>
    <n v="851.66000000000008"/>
    <n v="79520.91"/>
    <x v="19"/>
    <n v="851.66000000000008"/>
  </r>
  <r>
    <n v="15057"/>
    <x v="0"/>
    <n v="61064929003275"/>
    <s v="Corteva Agriscience do Brasil Ltda"/>
    <s v="Itumbiara"/>
    <s v="GO"/>
    <n v="24948"/>
    <x v="23"/>
    <s v="V"/>
    <s v="PE"/>
    <s v="Normal"/>
    <s v="24252 01 D"/>
    <n v="4300336075"/>
    <d v="2021-11-19T00:00:00"/>
    <d v="2022-08-26T00:00:00"/>
    <d v="2021-12-09T00:00:00"/>
    <s v="  /  /  "/>
    <n v="0"/>
    <s v="  /  /  "/>
    <n v="0"/>
    <s v="                                        "/>
    <s v="  /  /  "/>
    <s v="sa635"/>
    <d v="2022-02-11T00:00:00"/>
    <s v="Sem rota"/>
    <n v="944"/>
    <s v="90 DDF Sem Juros"/>
    <n v="0"/>
    <m/>
    <n v="0"/>
    <s v="Logber - Colatina Es"/>
    <s v="CIF"/>
    <n v="138.04"/>
    <n v="60000"/>
    <x v="19"/>
    <n v="138.04"/>
  </r>
  <r>
    <n v="15051"/>
    <x v="13"/>
    <n v="1287588000500"/>
    <s v="Dass Nordeste Calcados e Art Esportivos"/>
    <s v="Itaberaba"/>
    <s v="BA"/>
    <n v="26187"/>
    <x v="7"/>
    <s v="V"/>
    <s v="PE"/>
    <s v="Normal"/>
    <s v="29094 00 D"/>
    <n v="10143385"/>
    <d v="2022-05-23T00:00:00"/>
    <d v="2022-08-26T00:00:00"/>
    <d v="2022-05-23T00:00:00"/>
    <s v="  /  /  "/>
    <n v="0"/>
    <s v="  /  /  "/>
    <n v="0"/>
    <s v="                                        "/>
    <s v="  /  /  "/>
    <s v="sa747"/>
    <d v="2022-05-27T00:00:00"/>
    <s v="Sem rota"/>
    <n v="1223"/>
    <s v="14/28/56/84ddf"/>
    <n v="0"/>
    <m/>
    <n v="0"/>
    <m/>
    <s v="FOB"/>
    <n v="990.59"/>
    <n v="42542.1"/>
    <x v="19"/>
    <n v="990.59"/>
  </r>
  <r>
    <n v="15073"/>
    <x v="16"/>
    <n v="57506115000170"/>
    <s v="Ferkoda S/A Artefatos de Metais"/>
    <s v="Maua"/>
    <s v="SP"/>
    <n v="26188"/>
    <x v="12"/>
    <s v="V"/>
    <s v="PE"/>
    <s v="Normal"/>
    <s v="26976 02 D"/>
    <n v="52737"/>
    <d v="2022-05-23T00:00:00"/>
    <d v="2022-08-26T00:00:00"/>
    <d v="2022-06-06T00:00:00"/>
    <s v="  /  /  "/>
    <n v="0"/>
    <s v="  /  /  "/>
    <n v="0"/>
    <s v="                                        "/>
    <s v="  /  /  "/>
    <s v="sa756"/>
    <d v="2022-06-07T00:00:00"/>
    <s v="Sem rota"/>
    <n v="0"/>
    <m/>
    <n v="0"/>
    <m/>
    <n v="0"/>
    <s v="Logber - Colatina Es"/>
    <s v="CIF"/>
    <n v="651.41999999999996"/>
    <n v="26937.93"/>
    <x v="19"/>
    <n v="651.41999999999996"/>
  </r>
  <r>
    <n v="15068"/>
    <x v="24"/>
    <n v="2377798000110"/>
    <s v="Iccap Implementos Rodoviarios Ltda"/>
    <s v="Campo Grande"/>
    <s v="MS"/>
    <n v="25483"/>
    <x v="8"/>
    <s v="V"/>
    <s v="PE"/>
    <s v="Normal"/>
    <s v="23535 05 F"/>
    <m/>
    <d v="2022-02-18T00:00:00"/>
    <d v="2022-08-26T00:00:00"/>
    <d v="2022-02-22T00:00:00"/>
    <s v="  /  /  "/>
    <n v="0"/>
    <s v="  /  /  "/>
    <n v="0"/>
    <s v="                                        "/>
    <s v="  /  /  "/>
    <s v="sa650"/>
    <d v="2022-03-01T00:00:00"/>
    <s v="Sem rota"/>
    <n v="0"/>
    <m/>
    <n v="0"/>
    <m/>
    <n v="0"/>
    <s v="Logber - Colatina Es"/>
    <s v="CIF"/>
    <n v="2035.67"/>
    <n v="108053.19"/>
    <x v="19"/>
    <n v="2035.67"/>
  </r>
  <r>
    <n v="15068"/>
    <x v="24"/>
    <n v="2377798000110"/>
    <s v="Iccap Implementos Rodoviarios Ltda"/>
    <s v="Campo Grande"/>
    <s v="MS"/>
    <n v="25484"/>
    <x v="18"/>
    <s v="V"/>
    <s v="PE"/>
    <s v="Normal"/>
    <s v="23535 05 F"/>
    <m/>
    <d v="2022-02-18T00:00:00"/>
    <d v="2022-08-26T00:00:00"/>
    <d v="2022-02-22T00:00:00"/>
    <s v="  /  /  "/>
    <n v="0"/>
    <s v="  /  /  "/>
    <n v="0"/>
    <s v="                                        "/>
    <s v="  /  /  "/>
    <s v="sa664"/>
    <d v="2022-03-17T00:00:00"/>
    <s v="Sem rota"/>
    <n v="0"/>
    <m/>
    <n v="0"/>
    <m/>
    <n v="0"/>
    <s v="Logber - Colatina Es"/>
    <s v="CIF"/>
    <n v="1874.0500000000002"/>
    <n v="91394.84"/>
    <x v="19"/>
    <n v="1874.0500000000002"/>
  </r>
  <r>
    <n v="15057"/>
    <x v="0"/>
    <n v="1605234000125"/>
    <s v="Kemin Nutrisurance Nutricao Animal Ltda"/>
    <s v="Vargeao"/>
    <s v="SC"/>
    <n v="26236"/>
    <x v="7"/>
    <s v="V"/>
    <s v="PE"/>
    <s v="Normal"/>
    <s v="28829 05 F"/>
    <n v="1466661"/>
    <d v="2022-05-26T00:00:00"/>
    <d v="2022-08-26T00:00:00"/>
    <d v="2022-05-31T00:00:00"/>
    <s v="  /  /  "/>
    <n v="0"/>
    <s v="  /  /  "/>
    <n v="0"/>
    <s v="                                        "/>
    <s v="  /  /  "/>
    <s v="sa750"/>
    <d v="2022-06-03T00:00:00"/>
    <s v="Sem rota"/>
    <n v="0"/>
    <m/>
    <n v="0"/>
    <m/>
    <n v="0"/>
    <s v="Logber - Colatina Es"/>
    <s v="CIF"/>
    <n v="1130.1500000000001"/>
    <n v="413000"/>
    <x v="19"/>
    <n v="1130.1500000000001"/>
  </r>
  <r>
    <n v="15059"/>
    <x v="20"/>
    <n v="84229624000175"/>
    <s v="Metalurgica Fey Ltda"/>
    <s v="Indaial"/>
    <s v="SC"/>
    <n v="24951"/>
    <x v="22"/>
    <s v="V"/>
    <s v="PE"/>
    <s v="Normal"/>
    <s v="21535 03HG"/>
    <n v="4500011944"/>
    <d v="2021-11-19T00:00:00"/>
    <d v="2022-08-26T00:00:00"/>
    <d v="2022-01-25T00:00:00"/>
    <s v="  /  /  "/>
    <n v="0"/>
    <s v="  /  /  "/>
    <n v="0"/>
    <s v="                                        "/>
    <s v="  /  /  "/>
    <s v="sa635"/>
    <d v="2022-02-11T00:00:00"/>
    <s v="Sem rota"/>
    <n v="2257"/>
    <s v="40% Conf/30%14ddf/saldo28ddf"/>
    <n v="0"/>
    <m/>
    <n v="0"/>
    <s v="Logber - Colatina Es"/>
    <s v="CIF"/>
    <n v="0"/>
    <n v="104282.5"/>
    <x v="19"/>
    <n v="0"/>
  </r>
  <r>
    <n v="15057"/>
    <x v="0"/>
    <n v="95422218000906"/>
    <s v="Metalurgica Mor S.A"/>
    <s v="Sao Lourenco da Mata"/>
    <s v="PE"/>
    <n v="25498"/>
    <x v="10"/>
    <s v="V"/>
    <s v="PE"/>
    <s v="Normal"/>
    <s v="27595 02 C"/>
    <n v="236450"/>
    <d v="2022-02-22T00:00:00"/>
    <d v="2022-08-26T00:00:00"/>
    <d v="2022-02-23T00:00:00"/>
    <s v="  /  /  "/>
    <n v="0"/>
    <s v="  /  /  "/>
    <n v="0"/>
    <s v="                                        "/>
    <s v="  /  /  "/>
    <s v="sa649"/>
    <d v="2022-03-01T00:00:00"/>
    <s v="Sem rota"/>
    <n v="2235"/>
    <s v="50% Conf e Saldo 28ddf"/>
    <n v="0"/>
    <m/>
    <n v="0"/>
    <s v="Logber - Colatina Es"/>
    <s v="CIF"/>
    <n v="293.14"/>
    <n v="139387.5"/>
    <x v="19"/>
    <n v="293.14"/>
  </r>
  <r>
    <n v="15063"/>
    <x v="23"/>
    <n v="81611931003658"/>
    <s v="Oesa Comercio e Representacoes S.A"/>
    <s v="Linhares"/>
    <s v="ES"/>
    <n v="26327"/>
    <x v="8"/>
    <s v="V"/>
    <s v="PE"/>
    <s v="Normal"/>
    <s v="30062 00 A"/>
    <m/>
    <d v="2022-06-08T00:00:00"/>
    <d v="2022-08-26T00:00:00"/>
    <d v="2022-06-08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1167"/>
    <n v="29570.799999999999"/>
    <x v="19"/>
    <n v="1167"/>
  </r>
  <r>
    <n v="15063"/>
    <x v="23"/>
    <n v="81611931003658"/>
    <s v="Oesa Comercio e Representacoes S.A"/>
    <s v="Linhares"/>
    <s v="ES"/>
    <n v="26328"/>
    <x v="0"/>
    <s v="V"/>
    <s v="PE"/>
    <s v="Normal"/>
    <s v="30062 00 A"/>
    <m/>
    <d v="2022-06-08T00:00:00"/>
    <d v="2022-08-26T00:00:00"/>
    <d v="2022-06-08T00:00:00"/>
    <s v="  /  /  "/>
    <n v="0"/>
    <s v="  /  /  "/>
    <n v="0"/>
    <s v="                                        "/>
    <s v="  /  /  "/>
    <m/>
    <s v="/  /"/>
    <s v="Sem rota"/>
    <n v="2203"/>
    <s v="50% Conf e 50% 14ddf"/>
    <n v="0"/>
    <m/>
    <n v="0"/>
    <m/>
    <s v="CIF"/>
    <n v="0"/>
    <n v="8100"/>
    <x v="19"/>
    <n v="0"/>
  </r>
  <r>
    <n v="15063"/>
    <x v="23"/>
    <n v="2431320000393"/>
    <s v="Quality Imoveis e Logistica Ltda"/>
    <s v="Guarapari"/>
    <s v="ES"/>
    <n v="25826"/>
    <x v="8"/>
    <s v="V"/>
    <s v="PE"/>
    <s v="Normal"/>
    <s v="29163 08 J"/>
    <m/>
    <d v="2022-03-31T00:00:00"/>
    <d v="2022-08-26T00:00:00"/>
    <d v="2022-04-12T00:00:00"/>
    <s v="  /  /  "/>
    <n v="0"/>
    <s v="  /  /  "/>
    <n v="0"/>
    <s v="                                        "/>
    <s v="  /  /  "/>
    <s v="sa700"/>
    <d v="2022-04-20T00:00:00"/>
    <s v="Sem rota"/>
    <n v="2051"/>
    <s v="40% na Conf. e Saldo 28ddf"/>
    <n v="0"/>
    <m/>
    <n v="0"/>
    <s v="Logber - Colatina Es"/>
    <s v="CIF"/>
    <n v="0"/>
    <n v="1536282.74"/>
    <x v="19"/>
    <n v="0"/>
  </r>
  <r>
    <n v="15063"/>
    <x v="23"/>
    <n v="2431320000393"/>
    <s v="Quality Imoveis e Logistica Ltda"/>
    <s v="Guarapari"/>
    <s v="ES"/>
    <n v="26347"/>
    <x v="0"/>
    <s v="V"/>
    <s v="PE"/>
    <s v="Normal"/>
    <s v="29163 08 J"/>
    <m/>
    <d v="2022-06-09T00:00:00"/>
    <d v="2022-08-26T00:00:00"/>
    <d v="2022-06-09T00:00:00"/>
    <s v="  /  /  "/>
    <n v="0"/>
    <s v="  /  /  "/>
    <n v="0"/>
    <s v="                                        "/>
    <s v="  /  /  "/>
    <m/>
    <s v="/  /"/>
    <s v="Sem rota"/>
    <n v="2051"/>
    <s v="40% na Conf. e Saldo 28ddf"/>
    <n v="0"/>
    <m/>
    <n v="0"/>
    <m/>
    <s v="CIF"/>
    <n v="0"/>
    <n v="108247.42"/>
    <x v="19"/>
    <n v="0"/>
  </r>
  <r>
    <n v="15054"/>
    <x v="2"/>
    <n v="947027000196"/>
    <s v="Transcol Transportes e Logistica Ltda"/>
    <s v="Rio Verde"/>
    <s v="GO"/>
    <n v="26301"/>
    <x v="12"/>
    <s v="V"/>
    <s v="PE"/>
    <s v="Normal"/>
    <s v="29693 03 B"/>
    <m/>
    <d v="2022-05-31T00:00:00"/>
    <d v="2022-08-26T00:00:00"/>
    <d v="2022-06-03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76889"/>
    <n v="1532586.21"/>
    <x v="19"/>
    <n v="76889"/>
  </r>
  <r>
    <n v="15052"/>
    <x v="25"/>
    <n v="1511345000172"/>
    <s v="T S Tech do Brasil Ltda"/>
    <s v="Leme"/>
    <s v="SP"/>
    <n v="25574"/>
    <x v="14"/>
    <s v="V"/>
    <s v="PE"/>
    <s v="Normal"/>
    <s v="22658 01 C"/>
    <n v="11804"/>
    <d v="2022-03-04T00:00:00"/>
    <d v="2022-08-26T00:00:00"/>
    <d v="2022-05-16T00:00:00"/>
    <s v="  /  /  "/>
    <n v="0"/>
    <s v="  /  /  "/>
    <n v="0"/>
    <s v="                                        "/>
    <s v="  /  /  "/>
    <s v="sa672"/>
    <d v="2022-03-22T00:00:00"/>
    <s v="Sem rota"/>
    <n v="0"/>
    <m/>
    <n v="0"/>
    <m/>
    <n v="0"/>
    <s v="Logber - Colatina Es"/>
    <s v="CIF"/>
    <n v="260.90000000000003"/>
    <n v="70159.199999999997"/>
    <x v="19"/>
    <n v="260.90000000000003"/>
  </r>
  <r>
    <n v="15063"/>
    <x v="23"/>
    <n v="17469701010482"/>
    <s v="Arcelormittal Brasil S.A"/>
    <s v="Serra"/>
    <s v="ES"/>
    <n v="26241"/>
    <x v="8"/>
    <s v="V"/>
    <s v="PE"/>
    <s v="Normal"/>
    <s v="29650 01 B"/>
    <n v="4400544548"/>
    <d v="2022-05-27T00:00:00"/>
    <d v="2022-09-02T00:00:00"/>
    <d v="2022-06-01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s v="Logber - Colatina Es"/>
    <s v="CIF"/>
    <n v="1069"/>
    <n v="29570.799999999999"/>
    <x v="20"/>
    <n v="1069"/>
  </r>
  <r>
    <n v="15079"/>
    <x v="27"/>
    <n v="26657341000128"/>
    <s v="Arroba Alimentos Ltda"/>
    <s v="Rochedo de Minas"/>
    <s v="MG"/>
    <n v="26239"/>
    <x v="12"/>
    <s v="V"/>
    <s v="PE"/>
    <s v="Normal"/>
    <s v="25951 01 B"/>
    <m/>
    <d v="2022-05-27T00:00:00"/>
    <d v="2022-09-02T00:00:00"/>
    <d v="2022-06-02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1699"/>
    <n v="51625"/>
    <x v="20"/>
    <n v="1699"/>
  </r>
  <r>
    <n v="15067"/>
    <x v="3"/>
    <n v="13062579000169"/>
    <s v="Cdnl Administracao de Bens S/a."/>
    <s v="Esteio"/>
    <s v="RS"/>
    <n v="25591"/>
    <x v="6"/>
    <s v="V"/>
    <s v="PE"/>
    <s v="Normal"/>
    <s v="28479 04 E"/>
    <n v="4503537785"/>
    <d v="2022-03-08T00:00:00"/>
    <d v="2022-09-02T00:00:00"/>
    <d v="2022-05-05T00:00:00"/>
    <s v="  /  /  "/>
    <n v="0"/>
    <s v="  /  /  "/>
    <n v="0"/>
    <s v="                                        "/>
    <s v="  /  /  "/>
    <s v="sa672"/>
    <d v="2022-03-22T00:00:00"/>
    <s v="Sem rota"/>
    <n v="0"/>
    <m/>
    <n v="0"/>
    <m/>
    <n v="0"/>
    <s v="Logber - Colatina Es"/>
    <s v="CIF"/>
    <n v="2991.4900000000002"/>
    <n v="448970.8"/>
    <x v="20"/>
    <n v="2991.4900000000002"/>
  </r>
  <r>
    <n v="15057"/>
    <x v="0"/>
    <n v="83310441006662"/>
    <s v="Cooperativa Central Aurora Alimentos"/>
    <s v="Xaxim"/>
    <s v="SC"/>
    <n v="26179"/>
    <x v="10"/>
    <s v="V"/>
    <s v="PE"/>
    <s v="Normal"/>
    <s v="29125 00 B"/>
    <n v="3212349"/>
    <d v="2022-05-20T00:00:00"/>
    <d v="2022-09-02T00:00:00"/>
    <d v="2022-05-20T00:00:00"/>
    <s v="  /  /  "/>
    <n v="0"/>
    <s v="  /  /  "/>
    <n v="0"/>
    <s v="                                        "/>
    <s v="  /  /  "/>
    <m/>
    <s v="/  /"/>
    <s v="Sem rota"/>
    <n v="44"/>
    <s v="30 DDF S/juros"/>
    <n v="0"/>
    <m/>
    <n v="0"/>
    <s v="Logber - Colatina Es"/>
    <s v="CIF"/>
    <n v="332.2"/>
    <n v="8715.34"/>
    <x v="20"/>
    <n v="332.2"/>
  </r>
  <r>
    <n v="15075"/>
    <x v="5"/>
    <n v="2675611000750"/>
    <s v="Coopershoes Coop de Trab e Ind de Calc J"/>
    <s v="Morada Nova"/>
    <s v="CE"/>
    <n v="26254"/>
    <x v="8"/>
    <s v="V"/>
    <s v="PE"/>
    <s v="Normal"/>
    <s v="28377 10 H"/>
    <n v="182678"/>
    <d v="2022-05-30T00:00:00"/>
    <d v="2022-09-02T00:00:00"/>
    <d v="2022-06-06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1628"/>
    <n v="134116.59"/>
    <x v="20"/>
    <n v="1628"/>
  </r>
  <r>
    <n v="15074"/>
    <x v="21"/>
    <n v="58635830000175"/>
    <s v="Farmarin Industria e Comercio Ltda"/>
    <s v="Guarulhos"/>
    <s v="SP"/>
    <n v="25501"/>
    <x v="12"/>
    <s v="V"/>
    <s v="PE"/>
    <s v="Normal"/>
    <s v="27503 04 J"/>
    <n v="11327"/>
    <d v="2022-02-22T00:00:00"/>
    <d v="2022-09-02T00:00:00"/>
    <d v="2022-02-22T00:00:00"/>
    <s v="  /  /  "/>
    <n v="0"/>
    <s v="  /  /  "/>
    <n v="0"/>
    <s v="                                        "/>
    <s v="  /  /  "/>
    <s v="sa649"/>
    <d v="2022-03-01T00:00:00"/>
    <s v="Sem rota"/>
    <n v="0"/>
    <m/>
    <n v="0"/>
    <m/>
    <n v="0"/>
    <s v="Logber - Colatina Es"/>
    <s v="CIF"/>
    <n v="1226.9000000000001"/>
    <n v="46512.68"/>
    <x v="20"/>
    <n v="1226.9000000000001"/>
  </r>
  <r>
    <n v="15074"/>
    <x v="21"/>
    <n v="58635830000175"/>
    <s v="Farmarin Industria e Comercio Ltda"/>
    <s v="Guarulhos"/>
    <s v="SP"/>
    <n v="25502"/>
    <x v="16"/>
    <s v="V"/>
    <s v="PE"/>
    <s v="Normal"/>
    <s v="27503 04 J"/>
    <n v="11327"/>
    <d v="2022-02-22T00:00:00"/>
    <d v="2022-09-02T00:00:00"/>
    <d v="2022-02-22T00:00:00"/>
    <s v="  /  /  "/>
    <n v="0"/>
    <s v="  /  /  "/>
    <n v="0"/>
    <s v="                                        "/>
    <s v="  /  /  "/>
    <s v="sa672"/>
    <d v="2022-03-22T00:00:00"/>
    <s v="Sem rota"/>
    <n v="0"/>
    <m/>
    <n v="0"/>
    <m/>
    <n v="0"/>
    <s v="Logber - Colatina Es"/>
    <s v="CIF"/>
    <n v="11890.75"/>
    <n v="684413.97"/>
    <x v="20"/>
    <n v="11890.75"/>
  </r>
  <r>
    <n v="15063"/>
    <x v="23"/>
    <n v="1066650000100"/>
    <s v="Frigorifico Nordeste Alimentos Ltda"/>
    <s v="Teixeira de Freitas"/>
    <s v="BA"/>
    <n v="26292"/>
    <x v="10"/>
    <s v="V"/>
    <s v="PE"/>
    <s v="Normal"/>
    <s v="29779 03 C"/>
    <n v="57916"/>
    <d v="2022-05-31T00:00:00"/>
    <d v="2022-09-02T00:00:00"/>
    <d v="2022-06-03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3907"/>
    <n v="134225"/>
    <x v="20"/>
    <n v="3907"/>
  </r>
  <r>
    <n v="15074"/>
    <x v="21"/>
    <n v="48138812000124"/>
    <s v="Industria de Telas Metalicas Mm"/>
    <s v="Itaquaquecetuba"/>
    <s v="SP"/>
    <n v="26222"/>
    <x v="7"/>
    <s v="V"/>
    <s v="PE"/>
    <s v="Normal"/>
    <s v="29245 01 B"/>
    <m/>
    <d v="2022-05-26T00:00:00"/>
    <d v="2022-09-02T00:00:00"/>
    <d v="2022-05-26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29088.868999999999"/>
    <n v="464625"/>
    <x v="20"/>
    <n v="29088.868999999999"/>
  </r>
  <r>
    <n v="15020"/>
    <x v="7"/>
    <n v="0"/>
    <s v="Osan S.a."/>
    <s v="Montevideo"/>
    <s v="EX"/>
    <n v="26326"/>
    <x v="17"/>
    <s v="V"/>
    <s v="PE"/>
    <s v="Normal"/>
    <s v="29540 00 B"/>
    <m/>
    <d v="2022-06-08T00:00:00"/>
    <d v="2022-09-02T00:00:00"/>
    <d v="2022-06-08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1138"/>
    <n v="93497.65"/>
    <x v="20"/>
    <n v="1138"/>
  </r>
  <r>
    <n v="15069"/>
    <x v="6"/>
    <n v="35874355000275"/>
    <s v="Ventos de Sao Joaquim Energias Renovavei"/>
    <s v="Varzea Nova"/>
    <s v="BA"/>
    <n v="26161"/>
    <x v="8"/>
    <s v="V"/>
    <s v="PE"/>
    <s v="Normal"/>
    <s v="29593 01 D"/>
    <n v="4500011730"/>
    <d v="2022-05-18T00:00:00"/>
    <d v="2022-09-02T00:00:00"/>
    <d v="2022-05-28T00:00:00"/>
    <s v="  /  /  "/>
    <n v="0"/>
    <s v="  /  /  "/>
    <n v="0"/>
    <s v="                                        "/>
    <s v="  /  /  "/>
    <s v="sa748"/>
    <d v="2022-05-30T00:00:00"/>
    <s v="Sem rota"/>
    <n v="0"/>
    <m/>
    <n v="0"/>
    <m/>
    <n v="0"/>
    <s v="Logber - Colatina Es"/>
    <s v="CIF"/>
    <n v="1199.8900000000001"/>
    <n v="52755.38"/>
    <x v="20"/>
    <n v="1199.8900000000001"/>
  </r>
  <r>
    <n v="15080"/>
    <x v="29"/>
    <n v="1377724000464"/>
    <s v="Brasalpla Brasil Ind de Embalagens Ltda"/>
    <s v="Louveira"/>
    <s v="SP"/>
    <n v="25707"/>
    <x v="10"/>
    <s v="V"/>
    <s v="PE"/>
    <s v="Normal"/>
    <s v="28628 00 C"/>
    <n v="157304"/>
    <d v="2022-03-24T00:00:00"/>
    <d v="2022-09-09T00:00:00"/>
    <d v="2022-03-24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2230"/>
    <n v="61950"/>
    <x v="20"/>
    <n v="2230"/>
  </r>
  <r>
    <n v="15080"/>
    <x v="29"/>
    <n v="1377724000464"/>
    <s v="Brasalpla Brasil Ind de Embalagens Ltda"/>
    <s v="Louveira"/>
    <s v="SP"/>
    <n v="25708"/>
    <x v="7"/>
    <s v="V"/>
    <s v="PE"/>
    <s v="Normal"/>
    <s v="28558 01 D"/>
    <n v="157304"/>
    <d v="2022-03-24T00:00:00"/>
    <d v="2022-09-09T00:00:00"/>
    <d v="2022-03-24T00:00:00"/>
    <s v="  /  /  "/>
    <n v="0"/>
    <s v="  /  /  "/>
    <n v="0"/>
    <s v="                                        "/>
    <s v="  /  /  "/>
    <s v="sa677"/>
    <d v="2022-03-29T00:00:00"/>
    <s v="Sem rota"/>
    <n v="2257"/>
    <s v="40% Conf/30%14ddf/saldo28ddf"/>
    <n v="0"/>
    <m/>
    <n v="0"/>
    <s v="Logber - Colatina Es"/>
    <s v="CIF"/>
    <n v="412.95000000000005"/>
    <n v="41730.82"/>
    <x v="20"/>
    <n v="412.95000000000005"/>
  </r>
  <r>
    <n v="15080"/>
    <x v="29"/>
    <n v="1377724000464"/>
    <s v="Brasalpla Brasil Ind de Embalagens Ltda"/>
    <s v="Louveira"/>
    <s v="SP"/>
    <n v="25709"/>
    <x v="10"/>
    <s v="V"/>
    <s v="PE"/>
    <s v="Normal"/>
    <s v="28558 01 D"/>
    <n v="157304"/>
    <d v="2022-03-24T00:00:00"/>
    <d v="2022-09-09T00:00:00"/>
    <d v="2022-03-24T00:00:00"/>
    <s v="  /  /  "/>
    <n v="0"/>
    <s v="  /  /  "/>
    <n v="0"/>
    <s v="                                        "/>
    <s v="  /  /  "/>
    <s v="sa678"/>
    <d v="2022-03-30T00:00:00"/>
    <s v="Sem rota"/>
    <n v="2257"/>
    <s v="40% Conf/30%14ddf/saldo28ddf"/>
    <n v="0"/>
    <m/>
    <n v="0"/>
    <s v="Logber - Colatina Es"/>
    <s v="CIF"/>
    <n v="3898.2400000000002"/>
    <n v="304156.62"/>
    <x v="20"/>
    <n v="3898.2400000000002"/>
  </r>
  <r>
    <n v="15070"/>
    <x v="14"/>
    <n v="1838723010513"/>
    <s v="Brf S.A"/>
    <s v="Londrina"/>
    <s v="PR"/>
    <n v="25527"/>
    <x v="13"/>
    <s v="V"/>
    <s v="PE"/>
    <s v="Normal"/>
    <s v="27473 00 B"/>
    <n v="104978949"/>
    <d v="2022-02-25T00:00:00"/>
    <d v="2022-09-09T00:00:00"/>
    <d v="2022-02-25T00:00:00"/>
    <s v="  /  /  "/>
    <n v="0"/>
    <s v="  /  /  "/>
    <n v="0"/>
    <s v="                                        "/>
    <s v="  /  /  "/>
    <s v="sa661"/>
    <d v="2022-03-14T00:00:00"/>
    <s v="Sem rota"/>
    <n v="575"/>
    <s v="180 Ddf S/j"/>
    <n v="0"/>
    <m/>
    <n v="0"/>
    <s v="Logber - Colatina Es"/>
    <s v="CIF"/>
    <n v="586.80999999999995"/>
    <n v="30000"/>
    <x v="20"/>
    <n v="586.80999999999995"/>
  </r>
  <r>
    <n v="15069"/>
    <x v="6"/>
    <n v="60945169000570"/>
    <s v="Nissin Foods do Brasil Ltda"/>
    <s v="Gloria do Goita"/>
    <s v="PE"/>
    <n v="26269"/>
    <x v="10"/>
    <s v="V"/>
    <s v="PE"/>
    <s v="Normal"/>
    <s v="28499 01 C"/>
    <m/>
    <d v="2022-05-31T00:00:00"/>
    <d v="2022-09-09T00:00:00"/>
    <d v="2022-05-31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18737"/>
    <n v="388729.52"/>
    <x v="20"/>
    <n v="18737"/>
  </r>
  <r>
    <n v="15069"/>
    <x v="6"/>
    <n v="60945169000570"/>
    <s v="Nissin Foods do Brasil Ltda"/>
    <s v="Gloria do Goita"/>
    <s v="PE"/>
    <n v="26272"/>
    <x v="6"/>
    <s v="V"/>
    <s v="PE"/>
    <s v="Normal"/>
    <s v="28500 03 D"/>
    <m/>
    <d v="2022-05-31T00:00:00"/>
    <d v="2022-09-09T00:00:00"/>
    <d v="2022-05-31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67585"/>
    <n v="1323095.8400000001"/>
    <x v="20"/>
    <n v="67585"/>
  </r>
  <r>
    <n v="15055"/>
    <x v="4"/>
    <n v="2036483000614"/>
    <s v="Continental do Brasil Prod. Automotivos"/>
    <s v="Camacari"/>
    <s v="BA"/>
    <n v="25675"/>
    <x v="0"/>
    <s v="V"/>
    <s v="PE"/>
    <s v="Normal"/>
    <s v="24933 00 D"/>
    <n v="4900521035"/>
    <d v="2022-03-18T00:00:00"/>
    <d v="2022-09-14T00:00:00"/>
    <d v="2022-03-21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m/>
    <s v="CIF"/>
    <n v="0"/>
    <n v="30555"/>
    <x v="20"/>
    <n v="0"/>
  </r>
  <r>
    <n v="15064"/>
    <x v="17"/>
    <n v="7814284000107"/>
    <s v="Castelo Alimentos S.A"/>
    <s v="Jundiai"/>
    <s v="SP"/>
    <n v="25722"/>
    <x v="6"/>
    <s v="V"/>
    <s v="PE"/>
    <s v="Normal"/>
    <s v="23970 00 D"/>
    <n v="56995"/>
    <d v="2022-03-25T00:00:00"/>
    <d v="2022-09-16T00:00:00"/>
    <d v="2022-03-25T00:00:00"/>
    <s v="  /  /  "/>
    <n v="0"/>
    <s v="  /  /  "/>
    <n v="0"/>
    <s v="                                        "/>
    <s v="  /  /  "/>
    <s v="sa708"/>
    <d v="2022-05-03T00:00:00"/>
    <s v="Sem rota"/>
    <n v="2257"/>
    <s v="40% Conf/30%14ddf/saldo28ddf"/>
    <n v="0"/>
    <m/>
    <n v="0"/>
    <s v="Logber - Colatina Es"/>
    <s v="CIF"/>
    <n v="562.82999999999993"/>
    <n v="54206.25"/>
    <x v="20"/>
    <n v="562.82999999999993"/>
  </r>
  <r>
    <n v="15057"/>
    <x v="0"/>
    <n v="61064929003275"/>
    <s v="Corteva Agriscience do Brasil Ltda"/>
    <s v="Itumbiara"/>
    <s v="GO"/>
    <n v="26130"/>
    <x v="23"/>
    <s v="V"/>
    <s v="PE"/>
    <s v="Normal"/>
    <s v="28894 01 B"/>
    <n v="4300352481"/>
    <d v="2022-05-13T00:00:00"/>
    <d v="2022-09-16T00:00:00"/>
    <d v="2022-05-16T00:00:00"/>
    <s v="  /  /  "/>
    <n v="0"/>
    <s v="  /  /  "/>
    <n v="0"/>
    <s v="                                        "/>
    <s v="  /  /  "/>
    <s v="sa735"/>
    <d v="2022-05-23T00:00:00"/>
    <s v="Sem rota"/>
    <n v="944"/>
    <s v="90 DDF Sem Juros"/>
    <n v="0"/>
    <m/>
    <n v="0"/>
    <s v="Logber - Colatina Es"/>
    <s v="CIF"/>
    <n v="319.20000000000005"/>
    <n v="66433.5"/>
    <x v="20"/>
    <n v="319.20000000000005"/>
  </r>
  <r>
    <n v="15057"/>
    <x v="0"/>
    <n v="10981304000130"/>
    <s v="Luminescence Ltda"/>
    <s v="Bento Goncalves"/>
    <s v="RS"/>
    <n v="26128"/>
    <x v="22"/>
    <s v="V"/>
    <s v="PE"/>
    <s v="Normal"/>
    <s v="29645 01 B"/>
    <m/>
    <d v="2022-05-13T00:00:00"/>
    <d v="2022-09-16T00:00:00"/>
    <d v="2022-05-16T00:00:00"/>
    <s v="  /  /  "/>
    <n v="0"/>
    <s v="  /  /  "/>
    <n v="0"/>
    <s v="                                        "/>
    <s v="  /  /  "/>
    <m/>
    <s v="/  /"/>
    <s v="Sem rota"/>
    <n v="2235"/>
    <s v="50% Conf e Saldo 28ddf"/>
    <n v="0"/>
    <m/>
    <n v="0"/>
    <s v="Logber - Colatina Es"/>
    <s v="CIF"/>
    <n v="372"/>
    <n v="12390"/>
    <x v="20"/>
    <n v="372"/>
  </r>
  <r>
    <n v="15054"/>
    <x v="2"/>
    <n v="81804684001905"/>
    <s v="Transportes e Armazenagem Zilli Ltda"/>
    <s v="Brasilia"/>
    <s v="DF"/>
    <n v="25758"/>
    <x v="12"/>
    <s v="V"/>
    <s v="PE"/>
    <s v="Normal"/>
    <s v="29110 01 B"/>
    <m/>
    <d v="2022-03-29T00:00:00"/>
    <d v="2022-09-16T00:00:00"/>
    <d v="2022-03-30T00:00:00"/>
    <s v="  /  /  "/>
    <n v="0"/>
    <s v="  /  /  "/>
    <n v="0"/>
    <s v="                                        "/>
    <s v="  /  /  "/>
    <s v="sa680"/>
    <d v="2022-03-31T00:00:00"/>
    <s v="Sem rota"/>
    <n v="2257"/>
    <s v="40% Conf/30%14ddf/saldo28ddf"/>
    <n v="0"/>
    <m/>
    <n v="0"/>
    <s v="Logber - Colatina Es"/>
    <s v="CIF"/>
    <n v="120026.27000000002"/>
    <n v="2239156.63"/>
    <x v="20"/>
    <n v="120026.27000000002"/>
  </r>
  <r>
    <n v="15057"/>
    <x v="0"/>
    <n v="88212113016014"/>
    <s v="Comercio de Medicamentos Brair Ltda"/>
    <s v="Passo Fundo"/>
    <s v="RS"/>
    <n v="24919"/>
    <x v="12"/>
    <s v="V"/>
    <s v="PE"/>
    <s v="Normal"/>
    <s v="25559 10 H"/>
    <m/>
    <d v="2021-11-17T00:00:00"/>
    <d v="2022-09-22T00:00:00"/>
    <d v="2022-05-25T00:00:00"/>
    <s v="  /  /  "/>
    <n v="0"/>
    <s v="  /  /  "/>
    <n v="0"/>
    <s v="                                        "/>
    <s v="  /  /  "/>
    <s v="sa602"/>
    <d v="2022-02-01T00:00:00"/>
    <s v="Sem rota"/>
    <n v="0"/>
    <m/>
    <n v="0"/>
    <m/>
    <n v="0"/>
    <s v="Logber - Colatina Es"/>
    <s v="CIF"/>
    <n v="62378.630000000005"/>
    <n v="2453416.67"/>
    <x v="20"/>
    <n v="62378.630000000005"/>
  </r>
  <r>
    <n v="15057"/>
    <x v="0"/>
    <n v="88212113016014"/>
    <s v="Comercio de Medicamentos Brair Ltda"/>
    <s v="Passo Fundo"/>
    <s v="RS"/>
    <n v="24920"/>
    <x v="12"/>
    <s v="V"/>
    <s v="PE"/>
    <s v="Normal"/>
    <s v="25559 10 H"/>
    <m/>
    <d v="2021-11-17T00:00:00"/>
    <d v="2022-09-22T00:00:00"/>
    <d v="2022-02-02T00:00:00"/>
    <s v="  /  /  "/>
    <n v="0"/>
    <s v="  /  /  "/>
    <n v="0"/>
    <s v="                                        "/>
    <s v="  /  /  "/>
    <s v="sa600"/>
    <d v="2022-01-27T00:00:00"/>
    <s v="Sem rota"/>
    <n v="0"/>
    <m/>
    <n v="0"/>
    <m/>
    <n v="0"/>
    <s v="Logber - Colatina Es"/>
    <s v="CIF"/>
    <n v="125636.95999999999"/>
    <n v="2453416.67"/>
    <x v="20"/>
    <n v="125636.95999999999"/>
  </r>
  <r>
    <n v="15057"/>
    <x v="0"/>
    <n v="88212113016014"/>
    <s v="Comercio de Medicamentos Brair Ltda"/>
    <s v="Passo Fundo"/>
    <s v="RS"/>
    <n v="24921"/>
    <x v="8"/>
    <s v="V"/>
    <s v="PE"/>
    <s v="Normal"/>
    <s v="25559 10 H"/>
    <m/>
    <d v="2021-11-17T00:00:00"/>
    <d v="2022-09-22T00:00:00"/>
    <d v="2022-02-02T00:00:00"/>
    <s v="  /  /  "/>
    <n v="0"/>
    <s v="  /  /  "/>
    <n v="0"/>
    <s v="                                        "/>
    <s v="  /  /  "/>
    <s v="sa605"/>
    <d v="2022-02-02T00:00:00"/>
    <s v="Sem rota"/>
    <n v="0"/>
    <m/>
    <n v="0"/>
    <m/>
    <n v="0"/>
    <s v="Logber - Colatina Es"/>
    <s v="CIF"/>
    <n v="20717.22"/>
    <n v="778800"/>
    <x v="20"/>
    <n v="20717.22"/>
  </r>
  <r>
    <n v="15057"/>
    <x v="0"/>
    <n v="88212113016014"/>
    <s v="Comercio de Medicamentos Brair Ltda"/>
    <s v="Passo Fundo"/>
    <s v="RS"/>
    <n v="24922"/>
    <x v="8"/>
    <s v="V"/>
    <s v="PE"/>
    <s v="Normal"/>
    <s v="25559 10 H"/>
    <m/>
    <d v="2021-11-17T00:00:00"/>
    <d v="2022-09-22T00:00:00"/>
    <d v="2022-02-02T00:00:00"/>
    <s v="  /  /  "/>
    <n v="0"/>
    <s v="  /  /  "/>
    <n v="0"/>
    <s v="                                        "/>
    <s v="  /  /  "/>
    <s v="sa605"/>
    <d v="2022-02-02T00:00:00"/>
    <s v="Sem rota"/>
    <n v="0"/>
    <m/>
    <n v="0"/>
    <m/>
    <n v="0"/>
    <s v="Logber - Colatina Es"/>
    <s v="CIF"/>
    <n v="33349.17"/>
    <n v="792566.67"/>
    <x v="20"/>
    <n v="33349.17"/>
  </r>
  <r>
    <n v="15057"/>
    <x v="0"/>
    <n v="88212113016014"/>
    <s v="Comercio de Medicamentos Brair Ltda"/>
    <s v="Passo Fundo"/>
    <s v="RS"/>
    <n v="24923"/>
    <x v="17"/>
    <s v="V"/>
    <s v="PE"/>
    <s v="Normal"/>
    <s v="25559 10 H"/>
    <m/>
    <d v="2021-11-17T00:00:00"/>
    <d v="2022-09-22T00:00:00"/>
    <d v="2022-02-02T00:00:00"/>
    <s v="  /  /  "/>
    <n v="0"/>
    <s v="  /  /  "/>
    <n v="0"/>
    <s v="                                        "/>
    <s v="  /  /  "/>
    <s v="sa616"/>
    <d v="2022-02-16T00:00:00"/>
    <s v="Sem rota"/>
    <n v="0"/>
    <m/>
    <n v="0"/>
    <m/>
    <n v="0"/>
    <s v="Logber - Colatina Es"/>
    <s v="CIF"/>
    <n v="16230.510000000002"/>
    <n v="4683000"/>
    <x v="20"/>
    <n v="16230.510000000002"/>
  </r>
  <r>
    <n v="15057"/>
    <x v="0"/>
    <n v="88212113016014"/>
    <s v="Comercio de Medicamentos Brair Ltda"/>
    <s v="Passo Fundo"/>
    <s v="RS"/>
    <n v="24924"/>
    <x v="18"/>
    <s v="V"/>
    <s v="PE"/>
    <s v="Normal"/>
    <s v="25559 10 H"/>
    <m/>
    <d v="2021-11-17T00:00:00"/>
    <d v="2022-09-22T00:00:00"/>
    <d v="2022-02-02T00:00:00"/>
    <s v="  /  /  "/>
    <n v="0"/>
    <s v="  /  /  "/>
    <n v="0"/>
    <s v="                                        "/>
    <s v="  /  /  "/>
    <s v="sa641"/>
    <d v="2022-02-17T00:00:00"/>
    <s v="Sem rota"/>
    <n v="0"/>
    <m/>
    <n v="0"/>
    <m/>
    <n v="0"/>
    <s v="Logber - Colatina Es"/>
    <s v="CIF"/>
    <n v="3612.079999999999"/>
    <n v="201583.34"/>
    <x v="20"/>
    <n v="3612.079999999999"/>
  </r>
  <r>
    <n v="15057"/>
    <x v="0"/>
    <n v="88212113016014"/>
    <s v="Comercio de Medicamentos Brair Ltda"/>
    <s v="Passo Fundo"/>
    <s v="RS"/>
    <n v="24925"/>
    <x v="15"/>
    <s v="V"/>
    <s v="PE"/>
    <s v="Normal"/>
    <s v="25559 10 H"/>
    <m/>
    <d v="2021-11-17T00:00:00"/>
    <d v="2022-09-22T00:00:00"/>
    <d v="2022-02-02T00:00:00"/>
    <s v="  /  /  "/>
    <n v="0"/>
    <s v="  /  /  "/>
    <n v="0"/>
    <s v="                                        "/>
    <s v="  /  /  "/>
    <s v="sa643"/>
    <d v="2022-02-21T00:00:00"/>
    <s v="Sem rota"/>
    <n v="0"/>
    <m/>
    <n v="0"/>
    <m/>
    <n v="0"/>
    <s v="Logber - Colatina Es"/>
    <s v="CIF"/>
    <n v="780.58999999999992"/>
    <n v="711933.33"/>
    <x v="20"/>
    <n v="780.58999999999992"/>
  </r>
  <r>
    <n v="15079"/>
    <x v="27"/>
    <n v="7150233001191"/>
    <s v="Granja Brasilia Agroindustrial Avicola L"/>
    <s v="Ibirite"/>
    <s v="MG"/>
    <n v="25873"/>
    <x v="0"/>
    <s v="V"/>
    <s v="PE"/>
    <s v="Normal"/>
    <s v="28432 00 C"/>
    <n v="194168"/>
    <d v="2022-03-31T00:00:00"/>
    <d v="2022-09-23T00:00:00"/>
    <d v="2022-04-12T00:00:00"/>
    <s v="  /  /  "/>
    <n v="0"/>
    <s v="  /  /  "/>
    <n v="0"/>
    <s v="                                        "/>
    <s v="  /  /  "/>
    <m/>
    <s v="/  /"/>
    <s v="Sem rota"/>
    <n v="2203"/>
    <s v="50% Conf e 50% 14ddf"/>
    <n v="0"/>
    <m/>
    <n v="0"/>
    <m/>
    <s v="CIF"/>
    <n v="0"/>
    <n v="49535"/>
    <x v="20"/>
    <n v="0"/>
  </r>
  <r>
    <n v="15062"/>
    <x v="1"/>
    <n v="10915021000190"/>
    <s v="Top Alto Participacoes e Comercio Ltda"/>
    <s v="Duque de Caxias"/>
    <s v="RJ"/>
    <n v="25807"/>
    <x v="10"/>
    <s v="V"/>
    <s v="PE"/>
    <s v="Normal"/>
    <s v="28450 04 D"/>
    <m/>
    <d v="2022-03-31T00:00:00"/>
    <d v="2022-09-23T00:00:00"/>
    <d v="2022-04-26T00:00:00"/>
    <s v="  /  /  "/>
    <n v="0"/>
    <s v="  /  /  "/>
    <n v="0"/>
    <s v="                                        "/>
    <s v="  /  /  "/>
    <s v="sa707"/>
    <d v="2022-05-03T00:00:00"/>
    <s v="Sem rota"/>
    <n v="0"/>
    <m/>
    <n v="0"/>
    <m/>
    <n v="0"/>
    <m/>
    <s v="CIF"/>
    <n v="6398.7300000000005"/>
    <n v="298554.21999999997"/>
    <x v="20"/>
    <n v="6398.7300000000005"/>
  </r>
  <r>
    <n v="15067"/>
    <x v="3"/>
    <n v="212675000366"/>
    <s v="Abt Comercial Eletrica Ltda"/>
    <s v="Porto Alegre"/>
    <s v="RS"/>
    <n v="25765"/>
    <x v="4"/>
    <s v="V"/>
    <s v="PE"/>
    <s v="Normal"/>
    <s v="28084 02 C"/>
    <m/>
    <d v="2022-03-29T00:00:00"/>
    <d v="2022-09-30T00:00:00"/>
    <d v="2022-03-31T00:00:00"/>
    <s v="  /  /  "/>
    <n v="0"/>
    <s v="  /  /  "/>
    <n v="0"/>
    <s v="                                        "/>
    <s v="  /  /  "/>
    <s v="sa709"/>
    <d v="2022-05-03T00:00:00"/>
    <s v="Sem rota"/>
    <n v="0"/>
    <m/>
    <n v="0"/>
    <m/>
    <n v="0"/>
    <s v="Logber - Colatina Es"/>
    <s v="CIF"/>
    <n v="2549.9599999999996"/>
    <n v="91319.46"/>
    <x v="20"/>
    <n v="2549.9599999999996"/>
  </r>
  <r>
    <n v="15064"/>
    <x v="17"/>
    <n v="776574002523"/>
    <s v="Americanas S.A"/>
    <s v="Benevides"/>
    <s v="PA"/>
    <n v="26152"/>
    <x v="7"/>
    <s v="V"/>
    <s v="PE"/>
    <s v="Normal"/>
    <s v="29830 01 A"/>
    <s v="P2201/2"/>
    <d v="2022-05-18T00:00:00"/>
    <d v="2022-09-30T00:00:00"/>
    <d v="2022-05-18T00:00:00"/>
    <s v="  /  /  "/>
    <n v="0"/>
    <s v="  /  /  "/>
    <n v="0"/>
    <s v="                                        "/>
    <s v="  /  /  "/>
    <s v="sa743"/>
    <d v="2022-05-27T00:00:00"/>
    <s v="Sem rota"/>
    <n v="879"/>
    <s v="60 Ddf S/j"/>
    <n v="0"/>
    <m/>
    <n v="0"/>
    <s v="Logber - Colatina Es"/>
    <s v="CIF"/>
    <n v="308"/>
    <n v="1586142.33"/>
    <x v="20"/>
    <n v="308"/>
  </r>
  <r>
    <n v="15064"/>
    <x v="17"/>
    <n v="776574002523"/>
    <s v="Americanas S.A"/>
    <s v="Benevides"/>
    <s v="PA"/>
    <n v="26153"/>
    <x v="7"/>
    <s v="V"/>
    <s v="PE"/>
    <s v="Normal"/>
    <s v="29830 01 A"/>
    <s v="P2201/2"/>
    <d v="2022-05-18T00:00:00"/>
    <d v="2022-09-30T00:00:00"/>
    <d v="2022-05-18T00:00:00"/>
    <s v="  /  /  "/>
    <n v="0"/>
    <s v="  /  /  "/>
    <n v="0"/>
    <s v="                                        "/>
    <s v="  /  /  "/>
    <s v="sa744"/>
    <d v="2022-05-27T00:00:00"/>
    <s v="Sem rota"/>
    <n v="879"/>
    <s v="60 Ddf S/j"/>
    <n v="0"/>
    <m/>
    <n v="0"/>
    <s v="Logber - Colatina Es"/>
    <s v="CIF"/>
    <n v="75198.7"/>
    <n v="562824.69999999995"/>
    <x v="20"/>
    <n v="75198.7"/>
  </r>
  <r>
    <n v="15064"/>
    <x v="17"/>
    <n v="776574002523"/>
    <s v="Americanas S.A"/>
    <s v="Benevides"/>
    <s v="PA"/>
    <n v="26154"/>
    <x v="18"/>
    <s v="V"/>
    <s v="PE"/>
    <s v="Normal"/>
    <s v="29830 01 A"/>
    <s v="P2201/2"/>
    <d v="2022-05-18T00:00:00"/>
    <d v="2022-09-30T00:00:00"/>
    <d v="2022-05-18T00:00:00"/>
    <s v="  /  /  "/>
    <n v="0"/>
    <s v="  /  /  "/>
    <n v="0"/>
    <s v="                                        "/>
    <s v="  /  /  "/>
    <m/>
    <s v="/  /"/>
    <s v="Sem rota"/>
    <n v="879"/>
    <s v="60 Ddf S/j"/>
    <n v="0"/>
    <m/>
    <n v="0"/>
    <s v="Logber - Colatina Es"/>
    <s v="CIF"/>
    <n v="131145"/>
    <n v="1653400.07"/>
    <x v="20"/>
    <n v="131145"/>
  </r>
  <r>
    <n v="15064"/>
    <x v="17"/>
    <n v="776574002523"/>
    <s v="Americanas S.A"/>
    <s v="Benevides"/>
    <s v="PA"/>
    <n v="26155"/>
    <x v="15"/>
    <s v="V"/>
    <s v="PE"/>
    <s v="Normal"/>
    <s v="29830 01 A"/>
    <s v="P2201"/>
    <d v="2022-05-18T00:00:00"/>
    <d v="2022-09-30T00:00:00"/>
    <d v="2022-05-18T00:00:00"/>
    <s v="  /  /  "/>
    <n v="0"/>
    <s v="  /  /  "/>
    <n v="0"/>
    <s v="                                        "/>
    <s v="  /  /  "/>
    <m/>
    <s v="/  /"/>
    <s v="Sem rota"/>
    <n v="879"/>
    <s v="60 Ddf S/j"/>
    <n v="0"/>
    <m/>
    <n v="0"/>
    <s v="Logber - Colatina Es"/>
    <s v="CIF"/>
    <n v="20990"/>
    <n v="1151650.5"/>
    <x v="20"/>
    <n v="20990"/>
  </r>
  <r>
    <n v="15064"/>
    <x v="17"/>
    <n v="776574003171"/>
    <s v="Americanas S.A"/>
    <s v="Simoes Filho"/>
    <s v="BA"/>
    <n v="26157"/>
    <x v="7"/>
    <s v="V"/>
    <s v="PE"/>
    <s v="Normal"/>
    <s v="29268 03 C"/>
    <s v="P2202/2"/>
    <d v="2022-05-18T00:00:00"/>
    <d v="2022-09-30T00:00:00"/>
    <d v="2022-05-18T00:00:00"/>
    <s v="  /  /  "/>
    <n v="0"/>
    <s v="  /  /  "/>
    <n v="0"/>
    <s v="                                        "/>
    <s v="  /  /  "/>
    <s v="sa745"/>
    <d v="2022-05-27T00:00:00"/>
    <s v="Sem rota"/>
    <n v="879"/>
    <s v="60 Ddf S/j"/>
    <n v="0"/>
    <m/>
    <n v="0"/>
    <s v="Logber - Colatina Es"/>
    <s v="CIF"/>
    <n v="308"/>
    <n v="1586142.33"/>
    <x v="20"/>
    <n v="308"/>
  </r>
  <r>
    <n v="15064"/>
    <x v="17"/>
    <n v="776574003171"/>
    <s v="Americanas S.A"/>
    <s v="Simoes Filho"/>
    <s v="BA"/>
    <n v="26158"/>
    <x v="7"/>
    <s v="V"/>
    <s v="PE"/>
    <s v="Normal"/>
    <s v="29268 03 C"/>
    <s v="P2202/2"/>
    <d v="2022-05-18T00:00:00"/>
    <d v="2022-09-30T00:00:00"/>
    <d v="2022-05-18T00:00:00"/>
    <s v="  /  /  "/>
    <n v="0"/>
    <s v="  /  /  "/>
    <n v="0"/>
    <s v="                                        "/>
    <s v="  /  /  "/>
    <s v="sa746"/>
    <d v="2022-05-27T00:00:00"/>
    <s v="Sem rota"/>
    <n v="879"/>
    <s v="60 Ddf S/j"/>
    <n v="0"/>
    <m/>
    <n v="0"/>
    <s v="Logber - Colatina Es"/>
    <s v="CIF"/>
    <n v="75198.7"/>
    <n v="562824.69999999995"/>
    <x v="20"/>
    <n v="75198.7"/>
  </r>
  <r>
    <n v="15064"/>
    <x v="17"/>
    <n v="776574003171"/>
    <s v="Americanas S.A"/>
    <s v="Simoes Filho"/>
    <s v="BA"/>
    <n v="26159"/>
    <x v="18"/>
    <s v="V"/>
    <s v="PE"/>
    <s v="Normal"/>
    <s v="29268 03 C"/>
    <s v="P2202/2"/>
    <d v="2022-05-18T00:00:00"/>
    <d v="2022-09-30T00:00:00"/>
    <d v="2022-05-18T00:00:00"/>
    <s v="  /  /  "/>
    <n v="0"/>
    <s v="  /  /  "/>
    <n v="0"/>
    <s v="                                        "/>
    <s v="  /  /  "/>
    <m/>
    <s v="/  /"/>
    <s v="Sem rota"/>
    <n v="879"/>
    <s v="60 Ddf S/j"/>
    <n v="0"/>
    <m/>
    <n v="0"/>
    <s v="Logber - Colatina Es"/>
    <s v="CIF"/>
    <n v="131145"/>
    <n v="1653400.07"/>
    <x v="20"/>
    <n v="131145"/>
  </r>
  <r>
    <n v="15064"/>
    <x v="17"/>
    <n v="776574003171"/>
    <s v="Americanas S.A"/>
    <s v="Simoes Filho"/>
    <s v="BA"/>
    <n v="26160"/>
    <x v="15"/>
    <s v="V"/>
    <s v="PE"/>
    <s v="Normal"/>
    <s v="29268 03 C"/>
    <s v="P2202/2"/>
    <d v="2022-05-18T00:00:00"/>
    <d v="2022-09-30T00:00:00"/>
    <d v="2022-05-18T00:00:00"/>
    <s v="  /  /  "/>
    <n v="0"/>
    <s v="  /  /  "/>
    <n v="0"/>
    <s v="                                        "/>
    <s v="  /  /  "/>
    <m/>
    <s v="/  /"/>
    <s v="Sem rota"/>
    <n v="879"/>
    <s v="60 Ddf S/j"/>
    <n v="0"/>
    <m/>
    <n v="0"/>
    <s v="Logber - Colatina Es"/>
    <s v="CIF"/>
    <n v="20990"/>
    <n v="1151650.5"/>
    <x v="20"/>
    <n v="20990"/>
  </r>
  <r>
    <n v="15059"/>
    <x v="20"/>
    <n v="15644558000187"/>
    <s v="Farias Log Eireli"/>
    <s v="Palhoca"/>
    <s v="SC"/>
    <n v="25003"/>
    <x v="23"/>
    <s v="V"/>
    <s v="PE"/>
    <s v="Normal"/>
    <s v="26456 02 B"/>
    <m/>
    <d v="2021-11-26T00:00:00"/>
    <d v="2022-09-30T00:00:00"/>
    <d v="2021-12-21T00:00:00"/>
    <s v="  /  /  "/>
    <n v="0"/>
    <s v="  /  /  "/>
    <n v="0"/>
    <s v="                                        "/>
    <s v="  /  /  "/>
    <s v="sa634"/>
    <d v="2022-02-11T00:00:00"/>
    <s v="Sem rota"/>
    <n v="0"/>
    <m/>
    <n v="0"/>
    <m/>
    <n v="0"/>
    <s v="Logber - Colatina Es"/>
    <s v="CIF"/>
    <n v="548.08000000000004"/>
    <n v="285000"/>
    <x v="20"/>
    <n v="548.08000000000004"/>
  </r>
  <r>
    <n v="15057"/>
    <x v="0"/>
    <n v="1257995002268"/>
    <s v="Goiasminas Ind de Laticinios Ltda"/>
    <s v="Passo Fundo"/>
    <s v="RS"/>
    <n v="26256"/>
    <x v="10"/>
    <s v="V"/>
    <s v="PE"/>
    <s v="Normal"/>
    <s v="28014 00 C"/>
    <s v="F50413"/>
    <d v="2022-05-30T00:00:00"/>
    <d v="2022-09-30T00:00:00"/>
    <d v="2022-06-06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1440"/>
    <n v="52022.42"/>
    <x v="20"/>
    <n v="1440"/>
  </r>
  <r>
    <n v="15067"/>
    <x v="3"/>
    <n v="4229761001142"/>
    <s v="Videolar Innova S.A"/>
    <s v="Triunfo"/>
    <s v="RS"/>
    <n v="25935"/>
    <x v="6"/>
    <s v="V"/>
    <s v="PE"/>
    <s v="Normal"/>
    <s v="28220 04 E"/>
    <m/>
    <d v="2022-04-19T00:00:00"/>
    <d v="2022-09-30T00:00:00"/>
    <d v="2022-05-20T00:00:00"/>
    <s v="  /  /  "/>
    <n v="0"/>
    <s v="  /  /  "/>
    <n v="0"/>
    <s v="                                        "/>
    <s v="  /  /  "/>
    <s v="sa719"/>
    <d v="2022-05-09T00:00:00"/>
    <s v="Sem rota"/>
    <n v="2257"/>
    <s v="40% Conf/30%14ddf/saldo28ddf"/>
    <n v="0"/>
    <m/>
    <n v="0"/>
    <s v="Logber - Colatina Es"/>
    <s v="CIF"/>
    <n v="10152.57"/>
    <n v="387025.78"/>
    <x v="20"/>
    <n v="10152.57"/>
  </r>
  <r>
    <n v="15057"/>
    <x v="0"/>
    <n v="1838723024816"/>
    <s v="Brf S.A"/>
    <s v="Marau"/>
    <s v="RS"/>
    <n v="25933"/>
    <x v="6"/>
    <s v="V"/>
    <s v="PE"/>
    <s v="Normal"/>
    <s v="28211 00 C"/>
    <n v="105328656"/>
    <d v="2022-04-19T00:00:00"/>
    <d v="2022-10-07T00:00:00"/>
    <d v="2022-04-19T00:00:00"/>
    <s v="  /  /  "/>
    <n v="0"/>
    <s v="  /  /  "/>
    <n v="0"/>
    <s v="                                        "/>
    <s v="  /  /  "/>
    <m/>
    <s v="/  /"/>
    <s v="Sem rota"/>
    <n v="575"/>
    <s v="180 Ddf S/j"/>
    <n v="0"/>
    <m/>
    <n v="0"/>
    <s v="Logber - Colatina Es"/>
    <s v="CIF"/>
    <n v="1355"/>
    <n v="44285.55"/>
    <x v="21"/>
    <n v="1355"/>
  </r>
  <r>
    <n v="15074"/>
    <x v="21"/>
    <n v="61156113000175"/>
    <s v="Iochpe Maxion S/A"/>
    <s v="Cruzeiro"/>
    <s v="SP"/>
    <n v="25745"/>
    <x v="21"/>
    <s v="V"/>
    <s v="PE"/>
    <s v="Normal"/>
    <s v="23222 00 I"/>
    <n v="4500133681"/>
    <d v="2022-03-28T00:00:00"/>
    <d v="2022-10-07T00:00:00"/>
    <d v="2022-04-07T00:00:00"/>
    <s v="  /  /  "/>
    <n v="0"/>
    <s v="  /  /  "/>
    <n v="0"/>
    <s v="                                        "/>
    <s v="  /  /  "/>
    <s v="sa709"/>
    <d v="2022-05-03T00:00:00"/>
    <s v="Sem rota"/>
    <n v="0"/>
    <m/>
    <n v="0"/>
    <m/>
    <n v="0"/>
    <s v="Logber - Colatina Es"/>
    <s v="CIF"/>
    <n v="274.11"/>
    <n v="92213"/>
    <x v="21"/>
    <n v="274.11"/>
  </r>
  <r>
    <n v="15055"/>
    <x v="4"/>
    <n v="2036483000614"/>
    <s v="Continental do Brasil Prod. Automotivos"/>
    <s v="Camacari"/>
    <s v="BA"/>
    <n v="25673"/>
    <x v="6"/>
    <s v="V"/>
    <s v="PE"/>
    <s v="Normal"/>
    <s v="24933 00 D"/>
    <n v="4501528067"/>
    <d v="2022-03-18T00:00:00"/>
    <d v="2022-10-14T00:00:00"/>
    <d v="2022-03-21T00:00:00"/>
    <s v="  /  /  "/>
    <n v="0"/>
    <s v="  /  /  "/>
    <n v="0"/>
    <s v="                                        "/>
    <s v="  /  /  "/>
    <s v="sa680"/>
    <d v="2022-03-31T00:00:00"/>
    <s v="Sem rota"/>
    <n v="13"/>
    <s v="45 Ddf S/j"/>
    <n v="0"/>
    <m/>
    <n v="0"/>
    <s v="Logber - Colatina Es"/>
    <s v="CIF"/>
    <n v="1219.1100000000001"/>
    <n v="78653.789999999994"/>
    <x v="21"/>
    <n v="1219.1100000000001"/>
  </r>
  <r>
    <n v="15055"/>
    <x v="4"/>
    <n v="2036483000614"/>
    <s v="Continental do Brasil Prod. Automotivos"/>
    <s v="Camacari"/>
    <s v="BA"/>
    <n v="25674"/>
    <x v="6"/>
    <s v="V"/>
    <s v="PE"/>
    <s v="Normal"/>
    <s v="25496 00 C"/>
    <n v="4501528067"/>
    <d v="2022-03-18T00:00:00"/>
    <d v="2022-10-14T00:00:00"/>
    <d v="2022-03-21T00:00:00"/>
    <s v="  /  /  "/>
    <n v="0"/>
    <s v="  /  /  "/>
    <n v="0"/>
    <s v="                                        "/>
    <s v="  /  /  "/>
    <s v="sa680"/>
    <d v="2022-03-31T00:00:00"/>
    <s v="Sem rota"/>
    <n v="13"/>
    <s v="45 Ddf S/j"/>
    <n v="0"/>
    <m/>
    <n v="0"/>
    <s v="Logber - Colatina Es"/>
    <s v="CIF"/>
    <n v="286.73"/>
    <n v="89471.29"/>
    <x v="21"/>
    <n v="286.73"/>
  </r>
  <r>
    <n v="15055"/>
    <x v="4"/>
    <n v="2036483000614"/>
    <s v="Continental do Brasil Prod. Automotivos"/>
    <s v="Camacari"/>
    <s v="BA"/>
    <n v="25676"/>
    <x v="0"/>
    <s v="V"/>
    <s v="PE"/>
    <s v="Normal"/>
    <s v="25496 00 C"/>
    <n v="4900521035"/>
    <d v="2022-03-18T00:00:00"/>
    <d v="2022-10-14T00:00:00"/>
    <d v="2022-03-21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m/>
    <s v="CIF"/>
    <n v="0"/>
    <n v="30555"/>
    <x v="21"/>
    <n v="0"/>
  </r>
  <r>
    <n v="15067"/>
    <x v="3"/>
    <n v="92665611000177"/>
    <s v="Dimed S/A Distribuidora de Medicamentos"/>
    <s v="Eldorado do Sul"/>
    <s v="RS"/>
    <n v="25539"/>
    <x v="12"/>
    <s v="V"/>
    <s v="PE"/>
    <s v="Normal"/>
    <s v="28029 02 D"/>
    <m/>
    <d v="2022-02-25T00:00:00"/>
    <d v="2022-10-21T00:00:00"/>
    <d v="2022-03-18T00:00:00"/>
    <s v="  /  /  "/>
    <n v="0"/>
    <s v="  /  /  "/>
    <n v="0"/>
    <s v="                                        "/>
    <s v="  /  /  "/>
    <s v="sa671"/>
    <d v="2022-03-22T00:00:00"/>
    <s v="Sem rota"/>
    <n v="0"/>
    <m/>
    <n v="0"/>
    <m/>
    <n v="0"/>
    <s v="Logber - Colatina Es"/>
    <s v="CIF"/>
    <n v="7816.51"/>
    <n v="1910125"/>
    <x v="21"/>
    <n v="7816.51"/>
  </r>
  <r>
    <n v="15067"/>
    <x v="3"/>
    <n v="92665611000177"/>
    <s v="Dimed S/A Distribuidora de Medicamentos"/>
    <s v="Eldorado do Sul"/>
    <s v="RS"/>
    <n v="25557"/>
    <x v="12"/>
    <s v="V"/>
    <s v="PE"/>
    <s v="Normal"/>
    <s v="28029 02 D"/>
    <m/>
    <d v="2022-02-25T00:00:00"/>
    <d v="2022-10-21T00:00:00"/>
    <d v="2022-03-18T00:00:00"/>
    <s v="  /  /  "/>
    <n v="0"/>
    <s v="  /  /  "/>
    <n v="0"/>
    <s v="                                        "/>
    <s v="  /  /  "/>
    <s v="sa671"/>
    <d v="2022-03-22T00:00:00"/>
    <s v="Sem rota"/>
    <n v="0"/>
    <m/>
    <n v="0"/>
    <m/>
    <n v="0"/>
    <s v="Logber - Colatina Es"/>
    <s v="CIF"/>
    <n v="8407.3799999999992"/>
    <n v="1910125"/>
    <x v="21"/>
    <n v="8407.3799999999992"/>
  </r>
  <r>
    <n v="15064"/>
    <x v="17"/>
    <n v="3887324000181"/>
    <s v="Adimax Industria e Comercio de Alimentos"/>
    <s v="Salto de Pirapora"/>
    <s v="SP"/>
    <n v="26295"/>
    <x v="12"/>
    <s v="V"/>
    <s v="PE"/>
    <s v="Normal"/>
    <s v="29910 01 C"/>
    <m/>
    <d v="2022-05-31T00:00:00"/>
    <d v="2022-11-04T00:00:00"/>
    <d v="2022-06-07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39842"/>
    <n v="641218.75"/>
    <x v="22"/>
    <n v="39842"/>
  </r>
  <r>
    <n v="15064"/>
    <x v="17"/>
    <n v="3887324000181"/>
    <s v="Adimax Industria e Comercio de Alimentos"/>
    <s v="Salto de Pirapora"/>
    <s v="SP"/>
    <n v="26296"/>
    <x v="14"/>
    <s v="V"/>
    <s v="PE"/>
    <s v="Normal"/>
    <s v="29910 01 C"/>
    <m/>
    <d v="2022-05-31T00:00:00"/>
    <d v="2022-11-04T00:00:00"/>
    <d v="2022-06-07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13003"/>
    <n v="300078.03999999998"/>
    <x v="22"/>
    <n v="13003"/>
  </r>
  <r>
    <n v="15907"/>
    <x v="8"/>
    <n v="11507415000253"/>
    <s v="Industrias Reunidas Raymundo da Fonte S."/>
    <s v="Salvador"/>
    <s v="BA"/>
    <n v="26027"/>
    <x v="21"/>
    <s v="V"/>
    <s v="PE"/>
    <s v="Normal"/>
    <s v="28052 02 D"/>
    <n v="117239"/>
    <d v="2022-04-29T00:00:00"/>
    <d v="2022-11-04T00:00:00"/>
    <d v="2022-05-10T00:00:00"/>
    <s v="  /  /  "/>
    <n v="0"/>
    <s v="  /  /  "/>
    <n v="0"/>
    <s v="                                        "/>
    <s v="  /  /  "/>
    <s v="sa753"/>
    <d v="2022-06-07T00:00:00"/>
    <s v="Sem rota"/>
    <n v="0"/>
    <m/>
    <n v="0"/>
    <m/>
    <n v="0"/>
    <s v="Logber - Colatina Es"/>
    <s v="CIF"/>
    <n v="0"/>
    <n v="1000000"/>
    <x v="22"/>
    <n v="0"/>
  </r>
  <r>
    <n v="15062"/>
    <x v="1"/>
    <n v="24443608001040"/>
    <s v="Gypsum Mineração Industria e Comercio Lt"/>
    <s v="Rio de Janeiro"/>
    <s v="RJ"/>
    <n v="25689"/>
    <x v="13"/>
    <s v="V"/>
    <s v="PE"/>
    <s v="Normal"/>
    <s v="16966 02 H"/>
    <n v="4011843781"/>
    <d v="2022-03-22T00:00:00"/>
    <d v="2022-11-18T00:00:00"/>
    <d v="2022-03-22T00:00:00"/>
    <s v="  /  /  "/>
    <n v="0"/>
    <s v="  /  /  "/>
    <n v="0"/>
    <s v="                                        "/>
    <s v="  /  /  "/>
    <s v="sa709"/>
    <d v="2022-05-03T00:00:00"/>
    <s v="Sem rota"/>
    <n v="44"/>
    <s v="30 DDF S/juros"/>
    <n v="0"/>
    <m/>
    <n v="0"/>
    <s v="Logber - Colatina Es"/>
    <s v="CIF"/>
    <n v="0"/>
    <n v="117000"/>
    <x v="22"/>
    <n v="0"/>
  </r>
  <r>
    <n v="15917"/>
    <x v="22"/>
    <n v="87556650001682"/>
    <s v="Bertolini S.A"/>
    <s v="Colatina"/>
    <s v="ES"/>
    <n v="302"/>
    <x v="11"/>
    <s v="O"/>
    <s v="MI"/>
    <s v="Normal"/>
    <m/>
    <s v="KANBAN BSA"/>
    <d v="2020-09-11T00:00:00"/>
    <d v="2021-03-10T00:00:00"/>
    <d v="2022-01-27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281.64299999999997"/>
    <n v="111.24"/>
    <x v="23"/>
    <n v="281.64299999999997"/>
  </r>
  <r>
    <n v="15066"/>
    <x v="18"/>
    <n v="1838723043870"/>
    <s v="Brf S.A"/>
    <s v="Uberlandia"/>
    <s v="MG"/>
    <n v="20094"/>
    <x v="11"/>
    <s v="V"/>
    <s v="PE"/>
    <s v="Normal"/>
    <s v="14697 00 C"/>
    <n v="102594305"/>
    <d v="2020-11-06T00:00:00"/>
    <d v="2021-05-05T00:00:00"/>
    <d v="2020-11-06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36800"/>
    <x v="5"/>
    <n v="0"/>
  </r>
  <r>
    <n v="15000"/>
    <x v="26"/>
    <n v="92754738038305"/>
    <s v="Lojas Renner S.A"/>
    <s v="Aruja"/>
    <s v="SP"/>
    <n v="800599"/>
    <x v="8"/>
    <s v="V"/>
    <s v="PE"/>
    <s v="Normal"/>
    <s v="18204 07 G"/>
    <n v="2342129"/>
    <d v="2021-02-26T00:00:00"/>
    <d v="2021-08-04T00:00:00"/>
    <d v="2021-02-26T00:00:00"/>
    <s v="  /  /  "/>
    <n v="0"/>
    <s v="  /  /  "/>
    <n v="0"/>
    <s v="                                        "/>
    <s v="  /  /  "/>
    <s v="sa387"/>
    <d v="2021-07-19T00:00:00"/>
    <s v="Sem rota"/>
    <n v="0"/>
    <m/>
    <n v="0"/>
    <m/>
    <n v="0"/>
    <m/>
    <s v="CIF"/>
    <s v=""/>
    <n v="0"/>
    <x v="8"/>
    <s v=""/>
  </r>
  <r>
    <n v="15000"/>
    <x v="26"/>
    <n v="92754738038305"/>
    <s v="Lojas Renner S.A"/>
    <s v="Aruja"/>
    <s v="SP"/>
    <n v="800613"/>
    <x v="18"/>
    <s v="V"/>
    <s v="MI"/>
    <s v="Normal"/>
    <s v="18204 07 G"/>
    <m/>
    <d v="2021-03-16T00:00:00"/>
    <d v="2021-08-04T00:00:00"/>
    <d v="2021-11-13T00:00:00"/>
    <s v="  /  /  "/>
    <n v="0"/>
    <s v="  /  /  "/>
    <n v="0"/>
    <s v="                                        "/>
    <s v="  /  /  "/>
    <s v="sa248"/>
    <d v="2021-03-25T00:00:00"/>
    <s v="Sem rota"/>
    <n v="0"/>
    <m/>
    <n v="0"/>
    <m/>
    <n v="0"/>
    <s v="Logber - Colatina Es"/>
    <s v="CIF"/>
    <s v=""/>
    <n v="1.03"/>
    <x v="8"/>
    <s v=""/>
  </r>
  <r>
    <n v="15000"/>
    <x v="26"/>
    <n v="92754738038305"/>
    <s v="Lojas Renner S.A"/>
    <s v="Aruja"/>
    <s v="SP"/>
    <n v="800623"/>
    <x v="15"/>
    <s v="V"/>
    <s v="PE"/>
    <s v="Normal"/>
    <s v="18204 07 G"/>
    <m/>
    <d v="2021-03-16T00:00:00"/>
    <d v="2021-08-04T00:00:00"/>
    <d v="2021-07-15T00:00:00"/>
    <s v="  /  /  "/>
    <n v="0"/>
    <s v="  /  /  "/>
    <n v="0"/>
    <s v="                                        "/>
    <s v="  /  /  "/>
    <s v="sa386"/>
    <d v="2021-07-15T00:00:00"/>
    <s v="Sem rota"/>
    <n v="0"/>
    <m/>
    <n v="0"/>
    <m/>
    <n v="0"/>
    <m/>
    <s v="CIF"/>
    <s v=""/>
    <n v="1.03"/>
    <x v="8"/>
    <s v=""/>
  </r>
  <r>
    <n v="15000"/>
    <x v="26"/>
    <n v="92754738038305"/>
    <s v="Lojas Renner S.A"/>
    <s v="Aruja"/>
    <s v="SP"/>
    <n v="800614"/>
    <x v="18"/>
    <s v="V"/>
    <s v="PE"/>
    <s v="Normal"/>
    <s v="18204 07 G"/>
    <m/>
    <d v="2021-03-16T00:00:00"/>
    <d v="2021-08-05T00:00:00"/>
    <d v="2021-11-04T00:00:00"/>
    <s v="  /  /  "/>
    <n v="0"/>
    <s v="  /  /  "/>
    <n v="0"/>
    <s v="                                        "/>
    <s v="  /  /  "/>
    <s v="sa248"/>
    <d v="2021-03-25T00:00:00"/>
    <s v="Sem rota"/>
    <n v="0"/>
    <m/>
    <n v="0"/>
    <m/>
    <n v="0"/>
    <m/>
    <s v="CIF"/>
    <s v=""/>
    <n v="1.03"/>
    <x v="8"/>
    <s v=""/>
  </r>
  <r>
    <n v="15000"/>
    <x v="26"/>
    <n v="87556650000104"/>
    <s v="Bertolini S/A"/>
    <s v="Bento Goncalves"/>
    <s v="RS"/>
    <n v="800002"/>
    <x v="11"/>
    <s v="T"/>
    <s v="PE"/>
    <s v="Normal"/>
    <m/>
    <s v="PERFIL  TESTE"/>
    <d v="2020-09-23T00:00:00"/>
    <d v="2021-08-06T00:00:00"/>
    <d v="2021-06-08T00:00:00"/>
    <s v="  /  /  "/>
    <n v="0"/>
    <s v="  /  /  "/>
    <n v="0"/>
    <s v="                                        "/>
    <s v="  /  /  "/>
    <s v="sa53"/>
    <d v="2020-10-05T00:00:00"/>
    <s v="Rs"/>
    <n v="11"/>
    <s v="1 DDF Com 12% de Acréscimo"/>
    <n v="0"/>
    <m/>
    <n v="0"/>
    <s v="Logber"/>
    <s v="CIF"/>
    <s v=""/>
    <n v="1.1599999999999999"/>
    <x v="8"/>
    <s v=""/>
  </r>
  <r>
    <n v="850000"/>
    <x v="32"/>
    <n v="87556650000104"/>
    <s v="Bertolini S/A"/>
    <s v="Bento Goncalves"/>
    <s v="RS"/>
    <n v="800472"/>
    <x v="12"/>
    <s v="T"/>
    <s v="FP"/>
    <s v="Normal"/>
    <m/>
    <m/>
    <d v="2020-07-29T00:00:00"/>
    <d v="2021-08-06T00:00:00"/>
    <d v="2021-06-08T00:00:00"/>
    <d v="2020-09-29T00:00:00"/>
    <n v="209"/>
    <d v="2020-09-29T00:00:00"/>
    <n v="209"/>
    <s v="                                        "/>
    <s v="  /  /  "/>
    <s v="aa3579"/>
    <d v="2020-09-05T00:00:00"/>
    <s v="Rs"/>
    <n v="0"/>
    <m/>
    <n v="0"/>
    <m/>
    <n v="0"/>
    <s v="Logber - Colatina Es"/>
    <s v="CIF"/>
    <n v="0"/>
    <n v="4508.18"/>
    <x v="8"/>
    <n v="0"/>
  </r>
  <r>
    <n v="850000"/>
    <x v="32"/>
    <n v="87556650000104"/>
    <s v="Bertolini S/A"/>
    <s v="Bento Goncalves"/>
    <s v="RS"/>
    <n v="800522"/>
    <x v="12"/>
    <s v="T"/>
    <s v="FP"/>
    <s v="Normal"/>
    <m/>
    <m/>
    <d v="2020-08-11T00:00:00"/>
    <d v="2021-08-06T00:00:00"/>
    <d v="2021-05-18T00:00:00"/>
    <d v="2020-09-28T00:00:00"/>
    <n v="197"/>
    <d v="2020-09-28T00:00:00"/>
    <n v="197"/>
    <s v="                                        "/>
    <s v="  /  /  "/>
    <s v="aa3579"/>
    <d v="2020-09-05T00:00:00"/>
    <s v="Rs"/>
    <n v="0"/>
    <m/>
    <n v="0"/>
    <m/>
    <n v="0"/>
    <s v="Logber - Colatina Es"/>
    <s v="CIF"/>
    <n v="0"/>
    <n v="357.19"/>
    <x v="8"/>
    <n v="0"/>
  </r>
  <r>
    <n v="15000"/>
    <x v="26"/>
    <n v="92754738038305"/>
    <s v="Lojas Renner S.A"/>
    <s v="Aruja"/>
    <s v="SP"/>
    <n v="800597"/>
    <x v="8"/>
    <s v="V"/>
    <s v="PE"/>
    <s v="Normal"/>
    <s v="18204 07 G"/>
    <n v="2342129"/>
    <d v="2021-02-26T00:00:00"/>
    <d v="2021-08-06T00:00:00"/>
    <d v="2021-10-30T00:00:00"/>
    <s v="  /  /  "/>
    <n v="0"/>
    <s v="  /  /  "/>
    <n v="0"/>
    <s v="                                        "/>
    <s v="  /  /  "/>
    <s v="sa241"/>
    <d v="2021-03-19T00:00:00"/>
    <s v="Sem rota"/>
    <n v="0"/>
    <m/>
    <n v="0"/>
    <m/>
    <n v="0"/>
    <m/>
    <s v="CIF"/>
    <s v=""/>
    <n v="1"/>
    <x v="8"/>
    <s v=""/>
  </r>
  <r>
    <n v="15000"/>
    <x v="26"/>
    <n v="92754738038305"/>
    <s v="Lojas Renner S.A"/>
    <s v="Aruja"/>
    <s v="SP"/>
    <n v="800598"/>
    <x v="8"/>
    <s v="V"/>
    <s v="MI"/>
    <s v="Normal"/>
    <s v="18204 07 G"/>
    <n v="2342129"/>
    <d v="2021-02-26T00:00:00"/>
    <d v="2021-08-06T00:00:00"/>
    <d v="2021-10-30T00:00:00"/>
    <s v="  /  /  "/>
    <n v="0"/>
    <s v="  /  /  "/>
    <n v="0"/>
    <s v="                                        "/>
    <s v="  /  /  "/>
    <s v="sa241"/>
    <d v="2021-03-19T00:00:00"/>
    <s v="Sem rota"/>
    <n v="0"/>
    <m/>
    <n v="0"/>
    <m/>
    <n v="0"/>
    <m/>
    <s v="CIF"/>
    <s v=""/>
    <n v="1"/>
    <x v="8"/>
    <s v=""/>
  </r>
  <r>
    <n v="15000"/>
    <x v="26"/>
    <n v="92754738038305"/>
    <s v="Lojas Renner S.A"/>
    <s v="Aruja"/>
    <s v="SP"/>
    <n v="800611"/>
    <x v="18"/>
    <s v="V"/>
    <s v="PE"/>
    <s v="Normal"/>
    <s v="18204 07 G"/>
    <m/>
    <d v="2021-03-16T00:00:00"/>
    <d v="2021-08-06T00:00:00"/>
    <d v="2021-10-30T00:00:00"/>
    <s v="  /  /  "/>
    <n v="0"/>
    <s v="  /  /  "/>
    <n v="0"/>
    <s v="                                        "/>
    <s v="  /  /  "/>
    <s v="sa248"/>
    <d v="2021-03-25T00:00:00"/>
    <s v="Sem rota"/>
    <n v="0"/>
    <m/>
    <n v="0"/>
    <m/>
    <n v="0"/>
    <m/>
    <s v="CIF"/>
    <s v=""/>
    <n v="1.03"/>
    <x v="8"/>
    <s v=""/>
  </r>
  <r>
    <n v="15000"/>
    <x v="26"/>
    <n v="92754738038305"/>
    <s v="Lojas Renner S.A"/>
    <s v="Aruja"/>
    <s v="SP"/>
    <n v="800615"/>
    <x v="18"/>
    <s v="V"/>
    <s v="PE"/>
    <s v="Normal"/>
    <s v="18204 07 G"/>
    <m/>
    <d v="2021-03-16T00:00:00"/>
    <d v="2021-08-06T00:00:00"/>
    <d v="2021-10-30T00:00:00"/>
    <s v="  /  /  "/>
    <n v="0"/>
    <s v="  /  /  "/>
    <n v="0"/>
    <s v="                                        "/>
    <s v="  /  /  "/>
    <s v="sa248"/>
    <d v="2021-03-25T00:00:00"/>
    <s v="Sem rota"/>
    <n v="0"/>
    <m/>
    <n v="0"/>
    <m/>
    <n v="0"/>
    <m/>
    <s v="CIF"/>
    <s v=""/>
    <n v="1.03"/>
    <x v="8"/>
    <s v=""/>
  </r>
  <r>
    <n v="15000"/>
    <x v="26"/>
    <n v="92754738038305"/>
    <s v="Lojas Renner S.A"/>
    <s v="Aruja"/>
    <s v="SP"/>
    <n v="800616"/>
    <x v="18"/>
    <s v="V"/>
    <s v="PE"/>
    <s v="Normal"/>
    <s v="18204 07 G"/>
    <m/>
    <d v="2021-03-16T00:00:00"/>
    <d v="2021-08-06T00:00:00"/>
    <d v="2021-10-30T00:00:00"/>
    <s v="  /  /  "/>
    <n v="0"/>
    <s v="  /  /  "/>
    <n v="0"/>
    <s v="                                        "/>
    <s v="  /  /  "/>
    <s v="sa248"/>
    <d v="2021-03-25T00:00:00"/>
    <s v="Sem rota"/>
    <n v="0"/>
    <m/>
    <n v="0"/>
    <m/>
    <n v="0"/>
    <m/>
    <s v="CIF"/>
    <s v=""/>
    <n v="1.03"/>
    <x v="8"/>
    <s v=""/>
  </r>
  <r>
    <n v="15908"/>
    <x v="10"/>
    <n v="3002339014418"/>
    <s v="Maxmix Comercial Ltda"/>
    <s v="Cabreuva"/>
    <s v="SP"/>
    <n v="800668"/>
    <x v="18"/>
    <s v="O"/>
    <s v="PE"/>
    <s v="Normal"/>
    <s v="22969 08 J"/>
    <m/>
    <d v="2021-06-14T00:00:00"/>
    <d v="2021-08-20T00:00:00"/>
    <d v="2021-11-13T00:00:00"/>
    <s v="  /  /  "/>
    <n v="0"/>
    <s v="  /  /  "/>
    <n v="0"/>
    <s v="                                        "/>
    <s v="  /  /  "/>
    <s v="sa378"/>
    <d v="2021-07-06T00:00:00"/>
    <s v="Sem rota"/>
    <n v="0"/>
    <m/>
    <n v="0"/>
    <m/>
    <n v="0"/>
    <m/>
    <s v="CIF"/>
    <s v=""/>
    <n v="1.03"/>
    <x v="8"/>
    <s v=""/>
  </r>
  <r>
    <n v="15908"/>
    <x v="10"/>
    <n v="3002339014418"/>
    <s v="Maxmix Comercial Ltda"/>
    <s v="Cabreuva"/>
    <s v="SP"/>
    <n v="800669"/>
    <x v="18"/>
    <s v="O"/>
    <s v="PE"/>
    <s v="Normal"/>
    <s v="22969 08 J"/>
    <m/>
    <d v="2021-06-14T00:00:00"/>
    <d v="2021-08-20T00:00:00"/>
    <d v="2021-11-13T00:00:00"/>
    <s v="  /  /  "/>
    <n v="0"/>
    <s v="  /  /  "/>
    <n v="0"/>
    <s v="                                        "/>
    <s v="  /  /  "/>
    <s v="sa378"/>
    <d v="2021-07-06T00:00:00"/>
    <s v="Sem rota"/>
    <n v="0"/>
    <m/>
    <n v="0"/>
    <m/>
    <n v="0"/>
    <m/>
    <s v="CIF"/>
    <s v=""/>
    <n v="1.03"/>
    <x v="8"/>
    <s v=""/>
  </r>
  <r>
    <n v="15908"/>
    <x v="10"/>
    <n v="92754738047983"/>
    <s v="Lojas Renner S.A"/>
    <s v="Cabreuva"/>
    <s v="SP"/>
    <n v="800802"/>
    <x v="15"/>
    <s v="V"/>
    <s v="PE"/>
    <s v="Normal"/>
    <s v="16216 01 C"/>
    <m/>
    <d v="2021-08-09T00:00:00"/>
    <d v="2021-08-23T00:00:00"/>
    <d v="2022-01-14T00:00:00"/>
    <s v="  /  /  "/>
    <n v="0"/>
    <s v="  /  /  "/>
    <n v="0"/>
    <s v="                                        "/>
    <s v="  /  /  "/>
    <s v="sa400"/>
    <d v="2021-08-09T00:00:00"/>
    <s v="Sem rota"/>
    <n v="0"/>
    <m/>
    <n v="0"/>
    <m/>
    <n v="0"/>
    <m/>
    <s v="CIF"/>
    <s v=""/>
    <n v="1.03"/>
    <x v="8"/>
    <s v=""/>
  </r>
  <r>
    <n v="15000"/>
    <x v="26"/>
    <n v="87556650001682"/>
    <s v="Bertolini S.A"/>
    <s v="Colatina"/>
    <s v="ES"/>
    <n v="800801"/>
    <x v="8"/>
    <s v="O"/>
    <s v="PE"/>
    <s v="Normal"/>
    <m/>
    <m/>
    <d v="2021-07-27T00:00:00"/>
    <d v="2021-08-31T00:00:00"/>
    <d v="2021-07-27T00:00:00"/>
    <s v="  /  /  "/>
    <n v="0"/>
    <s v="  /  /  "/>
    <n v="0"/>
    <s v="                                        "/>
    <s v="  /  /  "/>
    <s v="sa394"/>
    <d v="2021-07-27T00:00:00"/>
    <s v="Sem rota"/>
    <n v="0"/>
    <m/>
    <n v="0"/>
    <m/>
    <n v="0"/>
    <s v="Logber"/>
    <s v="FOB"/>
    <s v=""/>
    <n v="1.03"/>
    <x v="8"/>
    <s v=""/>
  </r>
  <r>
    <n v="15908"/>
    <x v="10"/>
    <n v="92754738047983"/>
    <s v="Lojas Renner S.A"/>
    <s v="Cabreuva"/>
    <s v="SP"/>
    <n v="800804"/>
    <x v="11"/>
    <s v="V"/>
    <s v="PE"/>
    <s v="Normal"/>
    <s v="16216 01 C"/>
    <m/>
    <d v="2021-08-09T00:00:00"/>
    <d v="2021-10-07T00:00:00"/>
    <d v="2021-09-23T00:00:00"/>
    <s v="  /  /  "/>
    <n v="0"/>
    <s v="  /  /  "/>
    <n v="0"/>
    <s v="                                        "/>
    <s v="  /  /  "/>
    <s v="sa502"/>
    <d v="2021-09-23T00:00:00"/>
    <s v="Sem rota"/>
    <n v="0"/>
    <m/>
    <n v="0"/>
    <m/>
    <n v="0"/>
    <m/>
    <s v="CIF"/>
    <s v=""/>
    <n v="1.03"/>
    <x v="10"/>
    <s v=""/>
  </r>
  <r>
    <n v="0"/>
    <x v="33"/>
    <n v="87556650001682"/>
    <s v="Bertolini S.A"/>
    <s v="Colatina"/>
    <s v="ES"/>
    <n v="800590"/>
    <x v="11"/>
    <s v="O"/>
    <s v="MI"/>
    <s v="Normal"/>
    <m/>
    <s v="BIOMBOS PARA SOLDA"/>
    <d v="2021-02-18T00:00:00"/>
    <d v="2021-10-08T00:00:00"/>
    <d v="2021-02-25T00:00:00"/>
    <s v="  /  /  "/>
    <n v="0"/>
    <s v="  /  /  "/>
    <n v="0"/>
    <s v="                                        "/>
    <s v="  /  /  "/>
    <s v="SA207"/>
    <d v="2021-03-01T00:00:00"/>
    <s v="Sem rota"/>
    <n v="0"/>
    <m/>
    <n v="0"/>
    <m/>
    <n v="0"/>
    <s v="Logber"/>
    <s v="FOB"/>
    <s v=""/>
    <n v="1"/>
    <x v="10"/>
    <s v=""/>
  </r>
  <r>
    <n v="15000"/>
    <x v="26"/>
    <n v="87556650000104"/>
    <s v="Bertolini S/A"/>
    <s v="Bento Goncalves"/>
    <s v="RS"/>
    <n v="800664"/>
    <x v="12"/>
    <s v="T"/>
    <s v="PE"/>
    <s v="Normal"/>
    <m/>
    <m/>
    <d v="2021-04-14T00:00:00"/>
    <d v="2021-10-08T00:00:00"/>
    <d v="2021-04-15T00:00:00"/>
    <s v="  /  /  "/>
    <n v="0"/>
    <s v="  /  /  "/>
    <n v="0"/>
    <s v="                                        "/>
    <s v="  /  /  "/>
    <s v="sa295"/>
    <d v="2021-04-16T00:00:00"/>
    <s v="Rs"/>
    <n v="0"/>
    <m/>
    <n v="0"/>
    <m/>
    <n v="0"/>
    <s v="Logber"/>
    <s v="CIF"/>
    <n v="0"/>
    <n v="152.62"/>
    <x v="10"/>
    <n v="0"/>
  </r>
  <r>
    <n v="15000"/>
    <x v="26"/>
    <n v="3002339014418"/>
    <s v="Maxmix Comercial Ltda"/>
    <s v="Cabreuva"/>
    <s v="SP"/>
    <n v="800809"/>
    <x v="18"/>
    <s v="V"/>
    <s v="PE"/>
    <s v="Normal"/>
    <s v="22969 08 J"/>
    <m/>
    <d v="2021-09-01T00:00:00"/>
    <d v="2021-10-08T00:00:00"/>
    <d v="2021-09-15T00:00:00"/>
    <s v="  /  /  "/>
    <n v="0"/>
    <s v="  /  /  "/>
    <n v="0"/>
    <s v="                                        "/>
    <s v="  /  /  "/>
    <s v="sa462"/>
    <d v="2021-09-15T00:00:00"/>
    <s v="Sem rota"/>
    <n v="0"/>
    <m/>
    <n v="0"/>
    <m/>
    <n v="0"/>
    <s v="Logber - Colatina Es"/>
    <s v="CIF"/>
    <s v=""/>
    <n v="1.03"/>
    <x v="10"/>
    <s v=""/>
  </r>
  <r>
    <n v="15000"/>
    <x v="26"/>
    <n v="87556650001410"/>
    <s v="Bertolini S.A"/>
    <s v="Bento Goncalves"/>
    <s v="RS"/>
    <n v="800001"/>
    <x v="12"/>
    <s v="T"/>
    <s v="FP"/>
    <s v="Normal"/>
    <m/>
    <s v="PROTÓTIPO RENNER"/>
    <d v="2020-09-23T00:00:00"/>
    <d v="2021-10-08T00:00:00"/>
    <d v="2020-09-24T00:00:00"/>
    <d v="2020-11-28T00:00:00"/>
    <n v="949"/>
    <d v="2020-11-28T00:00:00"/>
    <n v="949"/>
    <s v="                                        "/>
    <s v="  /  /  "/>
    <s v="sa40"/>
    <d v="2020-09-25T00:00:00"/>
    <s v="Sem rota"/>
    <n v="11"/>
    <s v="1 DDF Com 12% de Acréscimo"/>
    <n v="0"/>
    <m/>
    <n v="0"/>
    <s v="Logber - Colatina Es"/>
    <s v="CIF"/>
    <n v="0"/>
    <n v="2313.46"/>
    <x v="10"/>
    <n v="0"/>
  </r>
  <r>
    <n v="15000"/>
    <x v="26"/>
    <n v="92754738047983"/>
    <s v="Lojas Renner S.A"/>
    <s v="Cabreuva"/>
    <s v="SP"/>
    <n v="800631"/>
    <x v="11"/>
    <s v="V"/>
    <s v="PE"/>
    <s v="Normal"/>
    <s v="18204 07 G"/>
    <m/>
    <d v="2021-03-16T00:00:00"/>
    <d v="2021-10-18T00:00:00"/>
    <d v="2022-03-15T00:00:00"/>
    <s v="  /  /  "/>
    <n v="0"/>
    <s v="  /  /  "/>
    <n v="0"/>
    <s v="                                        "/>
    <s v="  /  /  "/>
    <s v="sa504"/>
    <d v="2021-09-27T00:00:00"/>
    <s v="Sem rota"/>
    <n v="0"/>
    <m/>
    <n v="0"/>
    <m/>
    <n v="0"/>
    <s v="Logber - Colatina Es"/>
    <s v="CIF"/>
    <n v="0"/>
    <n v="1"/>
    <x v="10"/>
    <n v="0"/>
  </r>
  <r>
    <n v="15062"/>
    <x v="1"/>
    <n v="47960950058804"/>
    <s v="Magazine Luiza S/A"/>
    <s v="Guarulhos"/>
    <s v="SP"/>
    <n v="800815"/>
    <x v="11"/>
    <s v="V"/>
    <s v="PE"/>
    <s v="Normal"/>
    <s v="24623 04 F"/>
    <m/>
    <d v="2021-12-21T00:00:00"/>
    <d v="2021-12-24T00:00:00"/>
    <d v="2021-12-21T00:00:00"/>
    <s v="  /  /  "/>
    <n v="0"/>
    <s v="  /  /  "/>
    <n v="0"/>
    <s v="                                        "/>
    <s v="  /  /  "/>
    <s v="sa579"/>
    <d v="2021-12-21T00:00:00"/>
    <s v="Sem rota"/>
    <n v="0"/>
    <m/>
    <n v="0"/>
    <m/>
    <n v="0"/>
    <s v="Logber - Colatina Es"/>
    <s v="CIF"/>
    <s v=""/>
    <n v="0"/>
    <x v="12"/>
    <s v=""/>
  </r>
  <r>
    <n v="0"/>
    <x v="33"/>
    <n v="3726636000103"/>
    <s v="Gravomark Comercio de Equipamentos Indu."/>
    <s v="Sao Paulo"/>
    <s v="SP"/>
    <n v="723"/>
    <x v="11"/>
    <s v="O"/>
    <s v="MI"/>
    <s v="Normal"/>
    <m/>
    <m/>
    <d v="2021-08-03T00:00:00"/>
    <d v="2022-01-31T00:00:00"/>
    <d v="2021-08-03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Correios- Colatina"/>
    <s v="CIF"/>
    <n v="0"/>
    <n v="1.1000000000000001"/>
    <x v="13"/>
    <n v="0"/>
  </r>
  <r>
    <n v="15069"/>
    <x v="6"/>
    <n v="8326720000153"/>
    <s v="Cirne Irmaos &amp; Cia Ltda"/>
    <s v="Natal"/>
    <s v="RN"/>
    <n v="800746"/>
    <x v="8"/>
    <s v="O"/>
    <s v="PE"/>
    <s v="Normal"/>
    <s v="17695 07 G"/>
    <m/>
    <d v="2021-05-11T00:00:00"/>
    <d v="2022-04-04T00:00:00"/>
    <d v="2021-12-17T00:00:00"/>
    <s v="  /  /  "/>
    <n v="0"/>
    <s v="  /  /  "/>
    <n v="0"/>
    <s v="                                        "/>
    <s v="  /  /  "/>
    <s v="sa431"/>
    <d v="2021-08-19T00:00:00"/>
    <s v="Sem rota"/>
    <n v="0"/>
    <m/>
    <n v="0"/>
    <m/>
    <n v="0"/>
    <m/>
    <s v="CIF"/>
    <n v="155.02000000000001"/>
    <n v="1.02"/>
    <x v="15"/>
    <n v="155.02000000000001"/>
  </r>
  <r>
    <n v="15069"/>
    <x v="6"/>
    <n v="8326720000153"/>
    <s v="Cirne Irmaos &amp; Cia Ltda"/>
    <s v="Natal"/>
    <s v="RN"/>
    <n v="800747"/>
    <x v="8"/>
    <s v="O"/>
    <s v="PE"/>
    <s v="Normal"/>
    <s v="17695 07 G"/>
    <m/>
    <d v="2021-05-11T00:00:00"/>
    <d v="2022-05-28T00:00:00"/>
    <d v="2021-12-17T00:00:00"/>
    <s v="  /  /  "/>
    <n v="0"/>
    <s v="  /  /  "/>
    <n v="0"/>
    <s v="                                        "/>
    <s v="  /  /  "/>
    <s v="sa431"/>
    <d v="2021-08-19T00:00:00"/>
    <s v="Sem rota"/>
    <n v="0"/>
    <m/>
    <n v="0"/>
    <m/>
    <n v="0"/>
    <m/>
    <s v="CIF"/>
    <n v="173.47"/>
    <n v="-5.16"/>
    <x v="16"/>
    <n v="173.47"/>
  </r>
  <r>
    <n v="15069"/>
    <x v="6"/>
    <n v="8326720000153"/>
    <s v="Cirne Irmaos &amp; Cia Ltda"/>
    <s v="Natal"/>
    <s v="RN"/>
    <n v="800745"/>
    <x v="8"/>
    <s v="O"/>
    <s v="PE"/>
    <s v="Normal"/>
    <s v="17695 07 G"/>
    <m/>
    <d v="2021-05-11T00:00:00"/>
    <d v="2022-05-31T00:00:00"/>
    <d v="2021-12-17T00:00:00"/>
    <s v="  /  /  "/>
    <n v="0"/>
    <s v="  /  /  "/>
    <n v="0"/>
    <s v="                                        "/>
    <s v="  /  /  "/>
    <s v="sa431"/>
    <d v="2021-08-19T00:00:00"/>
    <s v="Sem rota"/>
    <n v="0"/>
    <m/>
    <n v="0"/>
    <m/>
    <n v="0"/>
    <m/>
    <s v="CIF"/>
    <n v="145.18"/>
    <n v="-1.04"/>
    <x v="16"/>
    <n v="145.18"/>
  </r>
  <r>
    <n v="15070"/>
    <x v="14"/>
    <n v="77595395005025"/>
    <s v="Frimesa Cooperativa Central"/>
    <s v="Assis Chateaubriand"/>
    <s v="PR"/>
    <n v="800704"/>
    <x v="6"/>
    <s v="O"/>
    <s v="PE"/>
    <s v="Normal"/>
    <s v="22593 08 G"/>
    <n v="2260950"/>
    <d v="2021-03-30T00:00:00"/>
    <d v="2022-06-27T00:00:00"/>
    <d v="2021-10-25T00:00:00"/>
    <s v="  /  /  "/>
    <n v="0"/>
    <s v="  /  /  "/>
    <n v="0"/>
    <s v="                                        "/>
    <s v="  /  /  "/>
    <s v="sa302"/>
    <d v="2021-05-14T00:00:00"/>
    <s v="Sem rota"/>
    <n v="0"/>
    <m/>
    <n v="0"/>
    <m/>
    <n v="0"/>
    <s v="Logber - Colatina Es"/>
    <s v="CIF"/>
    <n v="23385.100000000002"/>
    <n v="-6.2"/>
    <x v="17"/>
    <n v="23385.10000000000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5">
  <r>
    <n v="15057"/>
    <x v="0"/>
    <n v="1453846000140"/>
    <s v="Cassioli Brasil Ltda"/>
    <s v="Jundiai"/>
    <s v="SP"/>
    <n v="19036"/>
    <s v="SERVIÇO"/>
    <s v="V"/>
    <s v="PE"/>
    <s v="Normal"/>
    <s v="18562 00 A"/>
    <n v="48954"/>
    <d v="2020-01-10T00:00:00"/>
    <d v="2020-01-20T00:00:00"/>
    <d v="2021-11-09T00:00:00"/>
    <s v="  /  /  "/>
    <n v="0"/>
    <s v="  /  /  "/>
    <n v="0"/>
    <s v="                                        "/>
    <s v="  /  /  "/>
    <m/>
    <s v="/  /"/>
    <s v="Sem rota"/>
    <n v="208"/>
    <s v="14 Ddf  S/juros"/>
    <n v="0"/>
    <m/>
    <n v="0"/>
    <m/>
    <s v="CIF"/>
    <n v="0"/>
    <n v="9000"/>
    <s v="janeiro_2020"/>
    <n v="0"/>
  </r>
  <r>
    <n v="15062"/>
    <x v="1"/>
    <n v="4954351000605"/>
    <s v="Subsea 7 do Brasil Servicos Ltda"/>
    <s v="Rio das Ostras"/>
    <s v="RJ"/>
    <n v="19623"/>
    <s v="ANÁLISE TÉCNICA"/>
    <s v="V"/>
    <s v="PE"/>
    <s v="Normal"/>
    <m/>
    <n v="4300278137"/>
    <d v="2020-03-16T00:00:00"/>
    <d v="2020-03-16T00:00:00"/>
    <d v="2020-09-01T00:00:00"/>
    <s v="  /  /  "/>
    <n v="0"/>
    <s v="  /  /  "/>
    <n v="0"/>
    <s v="                                        "/>
    <s v="  /  /  "/>
    <m/>
    <s v="/  /"/>
    <s v="Sem rota"/>
    <n v="44"/>
    <s v="30 DDF S/juros"/>
    <n v="0"/>
    <m/>
    <n v="0"/>
    <m/>
    <s v="CIF"/>
    <n v="0"/>
    <n v="13346"/>
    <s v="março_2020"/>
    <n v="0"/>
  </r>
  <r>
    <n v="15054"/>
    <x v="2"/>
    <n v="1838723030891"/>
    <s v="Brf S.A"/>
    <s v="Aparecida de Goiania"/>
    <s v="GO"/>
    <n v="20955"/>
    <s v="ANÁLISE TÉCNICA"/>
    <s v="V"/>
    <s v="FP"/>
    <s v="Normal"/>
    <s v="20650 00 B"/>
    <n v="103490019"/>
    <d v="2020-08-03T00:00:00"/>
    <d v="2020-08-03T00:00:00"/>
    <d v="2020-09-01T00:00:00"/>
    <d v="2021-08-18T00:00:00"/>
    <n v="125"/>
    <d v="2021-08-18T00:00:00"/>
    <n v="125"/>
    <s v="                                        "/>
    <s v="  /  /  "/>
    <m/>
    <s v="/  /"/>
    <s v="Sem rota"/>
    <n v="0"/>
    <m/>
    <n v="0"/>
    <m/>
    <n v="0"/>
    <m/>
    <s v="CIF"/>
    <n v="0"/>
    <n v="87"/>
    <s v="agosto_2020"/>
    <n v="0"/>
  </r>
  <r>
    <n v="15067"/>
    <x v="3"/>
    <n v="42150391000170"/>
    <s v="Braskem S/A"/>
    <s v="Camacari"/>
    <s v="BA"/>
    <n v="22470"/>
    <s v="ANÁLISE TÉCNICA"/>
    <s v="V"/>
    <s v="PE"/>
    <s v="Normal"/>
    <s v="18544 00 B"/>
    <m/>
    <d v="2020-10-15T00:00:00"/>
    <d v="2020-10-16T00:00:00"/>
    <d v="2021-11-24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m/>
    <s v="CIF"/>
    <n v="0"/>
    <n v="68941"/>
    <s v="outubro_2020"/>
    <n v="0"/>
  </r>
  <r>
    <n v="15055"/>
    <x v="4"/>
    <n v="2290277002507"/>
    <s v="Kimberly-clark Brasil Ind Com P Hig Ltda"/>
    <s v="Camacari"/>
    <s v="BA"/>
    <n v="23256"/>
    <s v="SERVIÇO"/>
    <s v="V"/>
    <s v="PE"/>
    <s v="Normal"/>
    <s v="23424 00 A"/>
    <n v="6200155242"/>
    <d v="2021-02-10T00:00:00"/>
    <d v="2021-02-17T00:00:00"/>
    <d v="2021-03-02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s v="Termaco Recife"/>
    <s v="CIF"/>
    <n v="0"/>
    <n v="6505"/>
    <s v="fevereiro_2021"/>
    <n v="0"/>
  </r>
  <r>
    <n v="15075"/>
    <x v="5"/>
    <n v="1808103000307"/>
    <s v="Ticona Polymers Ltda"/>
    <s v="Campo Bom"/>
    <s v="RS"/>
    <n v="23804"/>
    <s v="ANÁLISE TÉCNICA"/>
    <s v="V"/>
    <s v="FP"/>
    <s v="Normal"/>
    <s v="24449 00 B"/>
    <n v="4502293964"/>
    <d v="2021-05-11T00:00:00"/>
    <d v="2021-05-17T00:00:00"/>
    <d v="2021-05-11T00:00:00"/>
    <d v="2021-09-15T00:00:00"/>
    <n v="138"/>
    <d v="2021-09-15T00:00:00"/>
    <n v="138"/>
    <s v="                                        "/>
    <s v="  /  /  "/>
    <m/>
    <s v="/  /"/>
    <s v="Sem rota"/>
    <n v="2000"/>
    <s v="28 DDF S/juros"/>
    <n v="0"/>
    <m/>
    <n v="0"/>
    <m/>
    <s v="CIF"/>
    <n v="0"/>
    <n v="8000"/>
    <s v="maio_2021"/>
    <n v="0"/>
  </r>
  <r>
    <n v="15069"/>
    <x v="6"/>
    <n v="1615814008005"/>
    <s v="Unilever Brasil Industrial Ltda"/>
    <s v="Igarassu"/>
    <s v="PE"/>
    <n v="23906"/>
    <s v="SERVIÇO"/>
    <s v="V"/>
    <s v="PE"/>
    <s v="Normal"/>
    <s v="25234 00 A"/>
    <s v="PO12403105"/>
    <d v="2021-06-01T00:00:00"/>
    <d v="2021-06-15T00:00:00"/>
    <d v="2021-06-01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m/>
    <s v="CIF"/>
    <n v="0"/>
    <n v="40000"/>
    <s v="junho_2021"/>
    <n v="0"/>
  </r>
  <r>
    <n v="15057"/>
    <x v="0"/>
    <n v="88587357003001"/>
    <s v="Cooperativa Santa Clara Ltda"/>
    <s v="Caxias do Sul"/>
    <s v="RS"/>
    <n v="23964"/>
    <s v="SERVIÇO"/>
    <s v="V"/>
    <s v="PE"/>
    <s v="Normal"/>
    <s v="25258 00 C"/>
    <m/>
    <d v="2021-06-16T00:00:00"/>
    <d v="2021-06-16T00:00:00"/>
    <d v="2021-06-16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m/>
    <s v="CIF"/>
    <n v="0"/>
    <n v="5040"/>
    <s v="junho_2021"/>
    <n v="0"/>
  </r>
  <r>
    <n v="15055"/>
    <x v="4"/>
    <n v="2290277002507"/>
    <s v="Kimberly-clark Brasil Ind Com P Hig Ltda"/>
    <s v="Camacari"/>
    <s v="BA"/>
    <n v="23973"/>
    <s v="SERVIÇO"/>
    <s v="V"/>
    <s v="PE"/>
    <s v="Normal"/>
    <s v="25435 00 A"/>
    <n v="6200170591"/>
    <d v="2021-06-21T00:00:00"/>
    <d v="2021-06-25T00:00:00"/>
    <d v="2021-06-22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s v="Termaco Recife"/>
    <s v="CIF"/>
    <n v="0"/>
    <n v="11925"/>
    <s v="junho_2021"/>
    <n v="0"/>
  </r>
  <r>
    <n v="15020"/>
    <x v="7"/>
    <n v="671"/>
    <s v="Paraguay Refrescos S.a"/>
    <s v="Asuncion"/>
    <s v="EX"/>
    <n v="24053"/>
    <s v="ANÁLISE TÉCNICA"/>
    <s v="V"/>
    <s v="FP"/>
    <s v="Normal"/>
    <s v="25458 00 C"/>
    <n v="4500492668"/>
    <d v="2021-07-08T00:00:00"/>
    <d v="2021-07-15T00:00:00"/>
    <d v="2022-06-02T00:00:00"/>
    <d v="2022-02-02T00:00:00"/>
    <n v="5306"/>
    <d v="2022-06-02T00:00:00"/>
    <n v="7017"/>
    <s v="                                        "/>
    <s v="  /  /  "/>
    <m/>
    <s v="/  /"/>
    <s v="Sem rota"/>
    <n v="0"/>
    <m/>
    <n v="0"/>
    <m/>
    <n v="0"/>
    <m/>
    <s v="CIF"/>
    <n v="0"/>
    <n v="62351.33"/>
    <s v="julho_2021"/>
    <n v="0"/>
  </r>
  <r>
    <n v="15907"/>
    <x v="8"/>
    <n v="8380701000105"/>
    <s v="Unimed Natal Sociedade Coop de Trab Medi"/>
    <s v="Natal"/>
    <s v="RN"/>
    <n v="24140"/>
    <s v="MANUTENÇÃO AUTOMAÇÃO"/>
    <s v="V"/>
    <s v="PE"/>
    <s v="Normal"/>
    <s v="26110 00 A"/>
    <m/>
    <d v="2021-07-28T00:00:00"/>
    <d v="2021-08-02T00:00:00"/>
    <d v="2021-07-28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586800"/>
    <s v="agosto_2021"/>
    <n v="0"/>
  </r>
  <r>
    <n v="15061"/>
    <x v="9"/>
    <n v="8334818001043"/>
    <s v="Nestle Nordeste Alimentos e Bebidas Ltda"/>
    <s v="Montes Claros"/>
    <s v="MG"/>
    <n v="24169"/>
    <s v="ANÁLISE TÉCNICA"/>
    <s v="V"/>
    <s v="FP"/>
    <s v="Normal"/>
    <s v="25556 00 A"/>
    <n v="4566782408"/>
    <d v="2021-08-03T00:00:00"/>
    <d v="2021-08-16T00:00:00"/>
    <d v="2022-03-07T00:00:00"/>
    <d v="2022-03-07T00:00:00"/>
    <n v="214"/>
    <d v="2022-03-07T00:00:00"/>
    <n v="214"/>
    <s v="                                        "/>
    <s v="  /  /  "/>
    <m/>
    <s v="/  /"/>
    <s v="Sem rota"/>
    <n v="944"/>
    <s v="90 DDF Sem Juros"/>
    <n v="0"/>
    <m/>
    <n v="0"/>
    <m/>
    <s v="CIF"/>
    <n v="0"/>
    <n v="10465"/>
    <s v="agosto_2021"/>
    <n v="0"/>
  </r>
  <r>
    <n v="15020"/>
    <x v="7"/>
    <n v="140"/>
    <s v="Granja Avicola Integral Sofia Ltda"/>
    <s v="Santa Cruz de La Siera"/>
    <s v="EX"/>
    <n v="24307"/>
    <s v="ANÁLISE TÉCNICA"/>
    <s v="V"/>
    <s v="PE"/>
    <s v="Normal"/>
    <s v="26037 00 B"/>
    <m/>
    <d v="2021-08-24T00:00:00"/>
    <d v="2021-08-31T00:00:00"/>
    <d v="2021-08-24T00:00:00"/>
    <s v="  /  /  "/>
    <n v="0"/>
    <s v="  /  /  "/>
    <n v="0"/>
    <s v="                                        "/>
    <s v="  /  /  "/>
    <m/>
    <s v="/  /"/>
    <s v="Nit 1028779020"/>
    <n v="0"/>
    <m/>
    <n v="0"/>
    <m/>
    <n v="0"/>
    <m/>
    <s v="CIF"/>
    <n v="0"/>
    <n v="29341.8"/>
    <s v="agosto_2021"/>
    <n v="0"/>
  </r>
  <r>
    <n v="15908"/>
    <x v="10"/>
    <n v="577604000448"/>
    <s v="Medchap Distr de Medicamentos Chapeco Lt"/>
    <s v="Sao Jose dos Pinhais"/>
    <s v="PR"/>
    <n v="24389"/>
    <s v="MANUTENÇÃO AUTOMAÇÃO"/>
    <s v="V"/>
    <s v="PE"/>
    <s v="Normal"/>
    <s v="26698 00 A"/>
    <m/>
    <d v="2021-09-03T00:00:00"/>
    <d v="2021-09-15T00:00:00"/>
    <d v="2021-09-03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162000"/>
    <s v="setembro_2021"/>
    <n v="0"/>
  </r>
  <r>
    <n v="15910"/>
    <x v="11"/>
    <n v="4416849003036"/>
    <s v="Id do Brasil Logistica Ltda"/>
    <s v="Serra"/>
    <s v="ES"/>
    <n v="24066"/>
    <s v="MANUTENCAO AUTOMACAO"/>
    <s v="V"/>
    <s v="FP"/>
    <s v="Normal"/>
    <s v="23670 00 A"/>
    <n v="1539"/>
    <d v="2021-07-12T00:00:00"/>
    <d v="2021-09-17T00:00:00"/>
    <d v="2021-09-15T00:00:00"/>
    <d v="2021-08-25T00:00:00"/>
    <n v="130"/>
    <d v="2022-05-18T00:00:00"/>
    <n v="245"/>
    <s v="                                        "/>
    <s v="  /  /  "/>
    <m/>
    <s v="/  /"/>
    <s v="Sem rota"/>
    <n v="2"/>
    <s v="15 DDF"/>
    <n v="0"/>
    <m/>
    <n v="0"/>
    <m/>
    <s v="CIF"/>
    <n v="0"/>
    <n v="259350"/>
    <s v="setembro_2021"/>
    <n v="0"/>
  </r>
  <r>
    <n v="15908"/>
    <x v="10"/>
    <n v="92754738047983"/>
    <s v="Lojas Renner S.A"/>
    <s v="Cabreuva"/>
    <s v="SP"/>
    <n v="24482"/>
    <s v="SERVIÇO"/>
    <s v="V"/>
    <s v="PE"/>
    <s v="Normal"/>
    <s v="26506 00 B"/>
    <m/>
    <d v="2021-09-17T00:00:00"/>
    <d v="2021-09-21T00:00:00"/>
    <d v="2022-06-08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m/>
    <s v="CIF"/>
    <n v="0"/>
    <n v="470880"/>
    <s v="setembro_2021"/>
    <n v="0"/>
  </r>
  <r>
    <n v="1"/>
    <x v="12"/>
    <n v="87556650001682"/>
    <s v="Bertolini S.A"/>
    <s v="Colatina"/>
    <s v="ES"/>
    <n v="23850"/>
    <s v="PBB1"/>
    <s v="O"/>
    <s v="PE"/>
    <s v="Normal"/>
    <m/>
    <m/>
    <d v="2021-05-20T00:00:00"/>
    <d v="2021-10-04T00:00:00"/>
    <d v="2022-05-09T00:00:00"/>
    <s v="  /  /  "/>
    <n v="0"/>
    <s v="  /  /  "/>
    <n v="0"/>
    <s v="                                        "/>
    <s v="  /  /  "/>
    <s v="sa466"/>
    <d v="2021-09-08T00:00:00"/>
    <s v="Sem rota"/>
    <n v="0"/>
    <m/>
    <n v="0"/>
    <m/>
    <n v="0"/>
    <s v="Logber - Colatina Es"/>
    <s v="CIF"/>
    <n v="0"/>
    <n v="1.03"/>
    <s v="outubro_2021"/>
    <n v="0"/>
  </r>
  <r>
    <n v="15051"/>
    <x v="13"/>
    <n v="577604000448"/>
    <s v="Medchap Distr de Medicamentos Chapeco Lt"/>
    <s v="Sao Jose dos Pinhais"/>
    <s v="PR"/>
    <n v="23776"/>
    <s v="AUT"/>
    <s v="V"/>
    <s v="FP"/>
    <s v="Normal"/>
    <s v="24294 04 D"/>
    <m/>
    <d v="2021-05-05T00:00:00"/>
    <d v="2021-10-08T00:00:00"/>
    <d v="2022-04-29T00:00:00"/>
    <d v="2021-10-30T00:00:00"/>
    <n v="4318"/>
    <d v="2021-12-09T00:00:00"/>
    <n v="4771"/>
    <s v="                                        "/>
    <s v="  /  /  "/>
    <s v="sa407"/>
    <d v="2021-08-11T00:00:00"/>
    <s v="Sem rota"/>
    <n v="0"/>
    <m/>
    <n v="0"/>
    <m/>
    <n v="0"/>
    <s v="Logber - Colatina Es"/>
    <s v="CIF"/>
    <n v="0"/>
    <n v="245900"/>
    <s v="outubro_2021"/>
    <n v="0"/>
  </r>
  <r>
    <n v="15067"/>
    <x v="3"/>
    <n v="1838723005358"/>
    <s v="Brf S/A"/>
    <s v="Nova Santa Rita"/>
    <s v="RS"/>
    <n v="24111"/>
    <s v="SERVIÇO"/>
    <s v="V"/>
    <s v="PE"/>
    <s v="Normal"/>
    <s v="21720 01 H"/>
    <n v="103985243"/>
    <d v="2021-07-22T00:00:00"/>
    <d v="2021-11-05T00:00:00"/>
    <d v="2021-07-22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590000"/>
    <s v="novembro_2021"/>
    <n v="0"/>
  </r>
  <r>
    <n v="15908"/>
    <x v="10"/>
    <n v="92754738047983"/>
    <s v="Lojas Renner S.A"/>
    <s v="Cabreuva"/>
    <s v="SP"/>
    <n v="24956"/>
    <s v="SERVIÇO"/>
    <s v="V"/>
    <s v="PE"/>
    <s v="Normal"/>
    <s v="27511 00 A"/>
    <m/>
    <d v="2021-11-22T00:00:00"/>
    <d v="2021-12-02T00:00:00"/>
    <d v="2021-11-22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25200"/>
    <s v="dezembro_2021"/>
    <n v="0"/>
  </r>
  <r>
    <n v="15067"/>
    <x v="3"/>
    <n v="7358761000754"/>
    <s v="Gerdau Acos Longos S/A"/>
    <s v="Sapucaia do Sul"/>
    <s v="RS"/>
    <n v="24290"/>
    <s v="SERVIÇO"/>
    <s v="V"/>
    <s v="PE"/>
    <s v="Normal"/>
    <s v="26066 00 B"/>
    <n v="3007369286"/>
    <d v="2021-08-23T00:00:00"/>
    <d v="2021-12-17T00:00:00"/>
    <d v="2022-03-23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m/>
    <s v="CIF"/>
    <n v="0"/>
    <n v="15277.56"/>
    <s v="dezembro_2021"/>
    <n v="0"/>
  </r>
  <r>
    <n v="15069"/>
    <x v="6"/>
    <n v="1615814008005"/>
    <s v="Unilever Brasil Industrial Ltda"/>
    <s v="Igarassu"/>
    <s v="PE"/>
    <n v="23928"/>
    <s v="SERVIÇO"/>
    <s v="V"/>
    <s v="PE"/>
    <s v="Normal"/>
    <s v="23561 00 D"/>
    <s v="PO13268260"/>
    <d v="2021-06-08T00:00:00"/>
    <d v="2021-12-17T00:00:00"/>
    <d v="2022-04-08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62000"/>
    <s v="dezembro_2021"/>
    <n v="0"/>
  </r>
  <r>
    <n v="15070"/>
    <x v="14"/>
    <n v="77595395000228"/>
    <s v="Frimesa Cooperativa Central"/>
    <s v="Medianeira"/>
    <s v="PR"/>
    <n v="24279"/>
    <s v="SERVIÇO"/>
    <s v="V"/>
    <s v="PE"/>
    <s v="Normal"/>
    <s v="24150 00 D"/>
    <n v="2372747"/>
    <d v="2021-08-19T00:00:00"/>
    <d v="2022-01-07T00:00:00"/>
    <d v="2022-04-06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187500"/>
    <s v="janeiro_2022"/>
    <n v="0"/>
  </r>
  <r>
    <n v="15908"/>
    <x v="10"/>
    <n v="3853896006776"/>
    <s v="Marfrig Global Foods S.A"/>
    <s v="Varzea Grande"/>
    <s v="MT"/>
    <n v="24514"/>
    <s v="SERVIÇO"/>
    <s v="V"/>
    <s v="PE"/>
    <s v="Normal"/>
    <s v="24491 04 F"/>
    <m/>
    <d v="2021-09-23T00:00:00"/>
    <d v="2022-01-07T00:00:00"/>
    <d v="2021-11-10T00:00:00"/>
    <s v="  /  /  "/>
    <n v="0"/>
    <s v="  /  /  "/>
    <n v="0"/>
    <s v="                                        "/>
    <s v="  /  /  "/>
    <m/>
    <s v="/  /"/>
    <s v="Sem rota"/>
    <n v="44"/>
    <s v="30 DDF S/juros"/>
    <n v="0"/>
    <m/>
    <n v="0"/>
    <m/>
    <s v="CIF"/>
    <n v="0"/>
    <n v="54000"/>
    <s v="janeiro_2022"/>
    <n v="0"/>
  </r>
  <r>
    <n v="15057"/>
    <x v="0"/>
    <n v="3853896000220"/>
    <s v="Marfrig Global Foods S.A"/>
    <s v="Bataguassu"/>
    <s v="MS"/>
    <n v="24516"/>
    <s v="SERVIÇO"/>
    <s v="V"/>
    <s v="PE"/>
    <s v="Normal"/>
    <s v="24492 08 I"/>
    <m/>
    <d v="2021-09-23T00:00:00"/>
    <d v="2022-01-07T00:00:00"/>
    <d v="2022-05-31T00:00:00"/>
    <s v="  /  /  "/>
    <n v="0"/>
    <s v="  /  /  "/>
    <n v="0"/>
    <s v="                                        "/>
    <s v="  /  /  "/>
    <m/>
    <s v="/  /"/>
    <s v="Sem rota"/>
    <n v="44"/>
    <s v="30 DDF S/juros"/>
    <n v="0"/>
    <m/>
    <n v="0"/>
    <s v="Transportes Mobiline"/>
    <s v="CIF"/>
    <n v="0"/>
    <n v="32000"/>
    <s v="janeiro_2022"/>
    <n v="0"/>
  </r>
  <r>
    <n v="15909"/>
    <x v="15"/>
    <n v="6147451000132"/>
    <s v="Calamo Dist de Produtos de Beleza S.A"/>
    <s v="Curitiba"/>
    <s v="PR"/>
    <n v="25272"/>
    <s v="SERVIÇO"/>
    <s v="V"/>
    <s v="PE"/>
    <s v="Normal"/>
    <s v="28106 00 A"/>
    <n v="4501264282"/>
    <d v="2022-01-12T00:00:00"/>
    <d v="2022-01-20T00:00:00"/>
    <d v="2022-02-08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m/>
    <s v="CIF"/>
    <n v="0"/>
    <n v="95680"/>
    <s v="janeiro_2022"/>
    <n v="0"/>
  </r>
  <r>
    <n v="15073"/>
    <x v="16"/>
    <n v="1154956000534"/>
    <s v="Bela Tintas Ltda"/>
    <s v="Maua"/>
    <s v="SP"/>
    <n v="24430"/>
    <s v="SERVIÇO"/>
    <s v="V"/>
    <s v="PE"/>
    <s v="Normal"/>
    <s v="24692 09 I"/>
    <m/>
    <d v="2021-09-13T00:00:00"/>
    <d v="2022-01-21T00:00:00"/>
    <d v="2022-03-11T00:00:00"/>
    <s v="  /  /  "/>
    <n v="0"/>
    <s v="  /  /  "/>
    <n v="0"/>
    <s v="                                        "/>
    <s v="  /  /  "/>
    <m/>
    <s v="/  /"/>
    <s v="Sem rota"/>
    <n v="2203"/>
    <s v="50% Conf e 50% 14ddf"/>
    <n v="0"/>
    <m/>
    <n v="0"/>
    <m/>
    <s v="CIF"/>
    <n v="0"/>
    <n v="3780"/>
    <s v="janeiro_2022"/>
    <n v="0"/>
  </r>
  <r>
    <n v="15910"/>
    <x v="11"/>
    <n v="7814284000107"/>
    <s v="Castelo Alimentos S.A"/>
    <s v="Jundiai"/>
    <s v="SP"/>
    <n v="25145"/>
    <s v="SERVIÇO"/>
    <s v="V"/>
    <s v="PE"/>
    <s v="Normal"/>
    <s v="25353 00 B"/>
    <m/>
    <d v="2021-12-15T00:00:00"/>
    <d v="2022-01-31T00:00:00"/>
    <d v="2022-02-07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664726"/>
    <s v="janeiro_2022"/>
    <n v="0"/>
  </r>
  <r>
    <n v="15910"/>
    <x v="11"/>
    <n v="7814284000107"/>
    <s v="Castelo Alimentos S.A"/>
    <s v="Jundiai"/>
    <s v="SP"/>
    <n v="25144"/>
    <s v="DRI2"/>
    <s v="V"/>
    <s v="PE"/>
    <s v="Normal"/>
    <s v="25353 00 B"/>
    <m/>
    <d v="2021-12-15T00:00:00"/>
    <d v="2022-03-16T00:00:00"/>
    <d v="2022-01-24T00:00:00"/>
    <s v="  /  /  "/>
    <n v="0"/>
    <s v="  /  /  "/>
    <n v="0"/>
    <s v="                                        "/>
    <s v="  /  /  "/>
    <s v="sa601"/>
    <d v="2022-01-27T00:00:00"/>
    <s v="Sem rota"/>
    <n v="0"/>
    <m/>
    <n v="0"/>
    <m/>
    <n v="0"/>
    <s v="Logber - Colatina Es"/>
    <s v="CIF"/>
    <n v="0"/>
    <n v="40076.49"/>
    <s v="março_2022"/>
    <n v="0"/>
  </r>
  <r>
    <n v="15020"/>
    <x v="7"/>
    <n v="0"/>
    <s v="Corin S.a."/>
    <s v="Montevideo"/>
    <s v="EX"/>
    <n v="24803"/>
    <s v="PP2"/>
    <s v="V"/>
    <s v="PE"/>
    <s v="Normal"/>
    <s v="26839 01 A"/>
    <m/>
    <d v="2021-10-29T00:00:00"/>
    <d v="2022-03-18T00:00:00"/>
    <d v="2021-11-12T00:00:00"/>
    <s v="  /  /  "/>
    <n v="0"/>
    <s v="  /  /  "/>
    <n v="0"/>
    <s v="                                        "/>
    <s v="  /  /  "/>
    <s v="sa585"/>
    <d v="2021-12-23T00:00:00"/>
    <s v="Sem rota"/>
    <n v="0"/>
    <m/>
    <n v="0"/>
    <m/>
    <n v="0"/>
    <m/>
    <s v="CIF"/>
    <n v="814.39"/>
    <n v="67755.11"/>
    <s v="março_2022"/>
    <n v="814.39"/>
  </r>
  <r>
    <n v="15908"/>
    <x v="10"/>
    <n v="577604000448"/>
    <s v="Medchap Distr de Medicamentos Chapeco Lt"/>
    <s v="Sao Jose dos Pinhais"/>
    <s v="PR"/>
    <n v="25477"/>
    <s v="PP3"/>
    <s v="O"/>
    <s v="FP"/>
    <s v="Detalhamento"/>
    <m/>
    <m/>
    <d v="2022-03-03T00:00:00"/>
    <d v="2022-03-18T00:00:00"/>
    <d v="2022-03-03T00:00:00"/>
    <d v="2022-04-01T00:00:00"/>
    <n v="6118"/>
    <d v="2022-04-01T00:00:00"/>
    <n v="6118"/>
    <s v="                                        "/>
    <s v="  /  /  "/>
    <s v="sat221"/>
    <d v="2022-03-03T00:00:00"/>
    <s v="Sem rota"/>
    <n v="0"/>
    <m/>
    <n v="0"/>
    <m/>
    <n v="0"/>
    <s v="Logber - Colatina Es"/>
    <s v="CIF"/>
    <n v="0"/>
    <n v="12487.06"/>
    <s v="março_2022"/>
    <n v="0"/>
  </r>
  <r>
    <n v="15907"/>
    <x v="8"/>
    <n v="8380701000105"/>
    <s v="Unimed Natal Sociedade Coop de Trab Medi"/>
    <s v="Natal"/>
    <s v="RN"/>
    <n v="24166"/>
    <s v="AUTOMAÇÃO"/>
    <s v="O"/>
    <s v="PE"/>
    <s v="Normal"/>
    <s v="21634 05 G"/>
    <m/>
    <d v="2021-08-03T00:00:00"/>
    <d v="2022-03-31T00:00:00"/>
    <d v="2022-04-14T00:00:00"/>
    <s v="  /  /  "/>
    <n v="0"/>
    <s v="  /  /  "/>
    <n v="0"/>
    <s v="                                        "/>
    <s v="  /  /  "/>
    <s v="sa574"/>
    <d v="2022-01-24T00:00:00"/>
    <s v="Sem rota"/>
    <n v="2011"/>
    <s v="Leasing"/>
    <n v="0"/>
    <m/>
    <n v="0"/>
    <s v="Logber - Colatina Es"/>
    <s v="CIF"/>
    <n v="0"/>
    <n v="2052312"/>
    <s v="março_2022"/>
    <n v="0"/>
  </r>
  <r>
    <n v="15064"/>
    <x v="17"/>
    <n v="45495694000890"/>
    <s v="Super Mercados São Roque Ltda"/>
    <s v="Sao Roque"/>
    <s v="SP"/>
    <n v="24420"/>
    <s v="PP2"/>
    <s v="V"/>
    <s v="FP"/>
    <s v="Normal"/>
    <s v="17742 07 H"/>
    <m/>
    <d v="2021-09-10T00:00:00"/>
    <d v="2022-04-11T00:00:00"/>
    <d v="2022-05-30T00:00:00"/>
    <d v="2022-05-30T00:00:00"/>
    <n v="6949"/>
    <d v="2022-05-31T00:00:00"/>
    <n v="6988"/>
    <s v="                                        "/>
    <s v="  /  /  "/>
    <s v="sa508"/>
    <d v="2021-10-01T00:00:00"/>
    <s v="Sem rota"/>
    <n v="0"/>
    <m/>
    <n v="0"/>
    <m/>
    <n v="0"/>
    <s v="Logber - Colatina Es"/>
    <s v="CIF"/>
    <n v="5664.87"/>
    <n v="150079.18"/>
    <s v="abril_2022"/>
    <n v="5664.87"/>
  </r>
  <r>
    <n v="15020"/>
    <x v="7"/>
    <n v="0"/>
    <s v="Tata S.a"/>
    <s v="Canelones"/>
    <s v="EX"/>
    <n v="23434"/>
    <s v="PP3"/>
    <s v="V"/>
    <s v="PE"/>
    <s v="Normal"/>
    <s v="22984 00 C"/>
    <m/>
    <d v="2021-03-15T00:00:00"/>
    <d v="2022-04-14T00:00:00"/>
    <d v="2022-04-29T00:00:00"/>
    <s v="  /  /  "/>
    <n v="0"/>
    <s v="  /  /  "/>
    <n v="0"/>
    <s v="                                        "/>
    <s v="  /  /  "/>
    <s v="sa240"/>
    <d v="2021-03-18T00:00:00"/>
    <s v="Sem rota"/>
    <n v="0"/>
    <m/>
    <n v="0"/>
    <m/>
    <n v="0"/>
    <m/>
    <s v="CIF"/>
    <n v="0"/>
    <n v="75706.73"/>
    <s v="abril_2022"/>
    <n v="0"/>
  </r>
  <r>
    <n v="15909"/>
    <x v="15"/>
    <n v="7526557004601"/>
    <s v="Ambev S.A"/>
    <s v="Rio de Janeiro"/>
    <s v="RJ"/>
    <n v="25833"/>
    <s v="ANÁLISE TÉCNICA"/>
    <s v="V"/>
    <s v="PE"/>
    <s v="Normal"/>
    <s v="29329 00 A"/>
    <m/>
    <d v="2022-03-31T00:00:00"/>
    <d v="2022-04-18T00:00:00"/>
    <d v="2022-04-06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m/>
    <s v="CIF"/>
    <n v="0"/>
    <n v="13000"/>
    <s v="abril_2022"/>
    <n v="0"/>
  </r>
  <r>
    <n v="15909"/>
    <x v="15"/>
    <n v="56228356004048"/>
    <s v="Crbs S.A"/>
    <s v="Feira de Santana"/>
    <s v="BA"/>
    <n v="25828"/>
    <s v="ANÁLISE TÉCNICA"/>
    <s v="V"/>
    <s v="PE"/>
    <s v="Normal"/>
    <s v="29328 00 A"/>
    <m/>
    <d v="2022-03-31T00:00:00"/>
    <d v="2022-04-18T00:00:00"/>
    <d v="2022-04-01T00:00:00"/>
    <s v="  /  /  "/>
    <n v="0"/>
    <s v="  /  /  "/>
    <n v="0"/>
    <s v="                                        "/>
    <s v="  /  /  "/>
    <m/>
    <s v="/  /"/>
    <s v="Sem rota"/>
    <n v="1300"/>
    <s v="95 Dias S/ Juros"/>
    <n v="0"/>
    <m/>
    <n v="0"/>
    <m/>
    <s v="CIF"/>
    <n v="0"/>
    <n v="13000"/>
    <s v="abril_2022"/>
    <n v="0"/>
  </r>
  <r>
    <n v="15066"/>
    <x v="18"/>
    <n v="64858525006771"/>
    <s v="Monsanto do Brasil Ltda"/>
    <s v="Uberlandia"/>
    <s v="MG"/>
    <n v="25776"/>
    <s v="DRI1"/>
    <s v="V"/>
    <s v="PE"/>
    <s v="Normal"/>
    <s v="28765 00 D"/>
    <n v="6500508283"/>
    <d v="2022-03-30T00:00:00"/>
    <d v="2022-04-18T00:00:00"/>
    <d v="2022-03-30T00:00:00"/>
    <s v="  /  /  "/>
    <n v="0"/>
    <s v="  /  /  "/>
    <n v="0"/>
    <s v="                                        "/>
    <s v="  /  /  "/>
    <s v="sa681"/>
    <d v="2022-04-04T00:00:00"/>
    <s v="Sem rota"/>
    <n v="44"/>
    <s v="30 DDF S/juros"/>
    <n v="0"/>
    <m/>
    <n v="0"/>
    <s v="Logber - Colatina Es"/>
    <s v="CIF"/>
    <n v="0"/>
    <n v="189978.01"/>
    <s v="abril_2022"/>
    <n v="0"/>
  </r>
  <r>
    <n v="15066"/>
    <x v="18"/>
    <n v="64858525010299"/>
    <s v="Monsanto do Brasil Ltda"/>
    <s v="Paracatu"/>
    <s v="MG"/>
    <n v="25777"/>
    <s v="DRI1"/>
    <s v="V"/>
    <s v="PE"/>
    <s v="Normal"/>
    <s v="28715 02 E"/>
    <n v="6500508282"/>
    <d v="2022-03-30T00:00:00"/>
    <d v="2022-04-18T00:00:00"/>
    <d v="2022-03-30T00:00:00"/>
    <s v="  /  /  "/>
    <n v="0"/>
    <s v="  /  /  "/>
    <n v="0"/>
    <s v="                                        "/>
    <s v="  /  /  "/>
    <s v="sa681"/>
    <d v="2022-04-04T00:00:00"/>
    <s v="Sem rota"/>
    <n v="44"/>
    <s v="30 DDF S/juros"/>
    <n v="0"/>
    <m/>
    <n v="0"/>
    <s v="Logber - Colatina Es"/>
    <s v="CIF"/>
    <n v="0"/>
    <n v="140276.53"/>
    <s v="abril_2022"/>
    <n v="0"/>
  </r>
  <r>
    <n v="15066"/>
    <x v="18"/>
    <n v="64858525013638"/>
    <s v="Monsanto do Brasil Ltda"/>
    <s v="Campo Verde"/>
    <s v="MT"/>
    <n v="25778"/>
    <s v="DRI1"/>
    <s v="V"/>
    <s v="PE"/>
    <s v="Normal"/>
    <s v="28768 00 D"/>
    <n v="6500507889"/>
    <d v="2022-03-30T00:00:00"/>
    <d v="2022-04-18T00:00:00"/>
    <d v="2022-03-30T00:00:00"/>
    <s v="  /  /  "/>
    <n v="0"/>
    <s v="  /  /  "/>
    <n v="0"/>
    <s v="                                        "/>
    <s v="  /  /  "/>
    <s v="sa681"/>
    <d v="2022-04-04T00:00:00"/>
    <s v="Sem rota"/>
    <n v="44"/>
    <s v="30 DDF S/juros"/>
    <n v="0"/>
    <m/>
    <n v="0"/>
    <s v="Logber - Colatina Es"/>
    <s v="CIF"/>
    <n v="0"/>
    <n v="178737.17"/>
    <s v="abril_2022"/>
    <n v="0"/>
  </r>
  <r>
    <n v="15908"/>
    <x v="10"/>
    <n v="2060862002421"/>
    <s v="Superfrio Armazens Gerais S.A"/>
    <s v="Manaus"/>
    <s v="AM"/>
    <n v="24703"/>
    <s v="SERVIÇO"/>
    <s v="V"/>
    <s v="PE"/>
    <s v="Normal"/>
    <s v="26107 00 C"/>
    <n v="128440"/>
    <d v="2021-10-18T00:00:00"/>
    <d v="2022-04-18T00:00:00"/>
    <d v="2021-11-04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m/>
    <s v="CIF"/>
    <n v="0"/>
    <n v="35000"/>
    <s v="abril_2022"/>
    <n v="0"/>
  </r>
  <r>
    <n v="15908"/>
    <x v="10"/>
    <n v="2060862002421"/>
    <s v="Superfrio Armazens Gerais S.A"/>
    <s v="Manaus"/>
    <s v="AM"/>
    <n v="24705"/>
    <s v="SERVIÇO"/>
    <s v="V"/>
    <s v="PE"/>
    <s v="Normal"/>
    <s v="26107 00 C"/>
    <n v="128440"/>
    <d v="2021-10-18T00:00:00"/>
    <d v="2022-04-18T00:00:00"/>
    <d v="2021-11-04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m/>
    <s v="CIF"/>
    <n v="0"/>
    <n v="8000"/>
    <s v="abril_2022"/>
    <n v="0"/>
  </r>
  <r>
    <n v="15078"/>
    <x v="19"/>
    <n v="84046101024700"/>
    <s v="Bunge Alimentos S/A"/>
    <s v="Rondonopolis"/>
    <s v="MT"/>
    <n v="24938"/>
    <s v="SERVIÇO"/>
    <s v="V"/>
    <s v="PE"/>
    <s v="Normal"/>
    <s v="26075 00 D"/>
    <n v="4102657813"/>
    <d v="2021-11-18T00:00:00"/>
    <d v="2022-04-22T00:00:00"/>
    <d v="2021-11-18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m/>
    <s v="CIF"/>
    <n v="0"/>
    <n v="160650"/>
    <s v="abril_2022"/>
    <n v="0"/>
  </r>
  <r>
    <n v="15073"/>
    <x v="16"/>
    <n v="382468003375"/>
    <s v="Colgate Palmolive Comercial Ltda"/>
    <s v="Sao Bernardo do Campo"/>
    <s v="SP"/>
    <n v="25909"/>
    <s v="SERVIÇO"/>
    <s v="V"/>
    <s v="PE"/>
    <s v="Normal"/>
    <s v="26542 00 D"/>
    <n v="7503744187"/>
    <d v="2022-04-14T00:00:00"/>
    <d v="2022-04-25T00:00:00"/>
    <d v="2022-04-14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163800"/>
    <s v="abril_2022"/>
    <n v="0"/>
  </r>
  <r>
    <n v="15067"/>
    <x v="3"/>
    <n v="3961151000447"/>
    <s v="Imd Comercio de Moveis Ltda"/>
    <s v="Navegantes"/>
    <s v="SC"/>
    <n v="26022"/>
    <m/>
    <s v="V"/>
    <s v="PE"/>
    <s v="Refaturamento"/>
    <s v="27586 03 C"/>
    <m/>
    <d v="2022-04-29T00:00:00"/>
    <d v="2022-04-29T00:00:00"/>
    <d v="2022-04-29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65262.671000000002"/>
    <n v="1185124.3400000001"/>
    <s v="abril_2022"/>
    <n v="65262.671000000002"/>
  </r>
  <r>
    <n v="15066"/>
    <x v="18"/>
    <n v="60409075006002"/>
    <s v="Nestle Brasil Ltda"/>
    <s v="Ibia"/>
    <s v="MG"/>
    <n v="25969"/>
    <s v="ANÁLISE TÉCNICA"/>
    <s v="V"/>
    <s v="PE"/>
    <s v="Normal"/>
    <s v="29565 00 A"/>
    <n v="4569470243"/>
    <d v="2022-04-25T00:00:00"/>
    <d v="2022-05-02T00:00:00"/>
    <d v="2022-04-25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m/>
    <s v="CIF"/>
    <n v="0"/>
    <n v="21486"/>
    <s v="maio_2022"/>
    <n v="0"/>
  </r>
  <r>
    <n v="15064"/>
    <x v="17"/>
    <n v="776574003171"/>
    <s v="Americanas S.A"/>
    <s v="Simoes Filho"/>
    <s v="BA"/>
    <n v="25849"/>
    <s v="PP1"/>
    <s v="V"/>
    <s v="FP"/>
    <s v="Normal"/>
    <s v="29184 01 C"/>
    <s v="P2202"/>
    <d v="2022-03-31T00:00:00"/>
    <d v="2022-05-06T00:00:00"/>
    <d v="2022-04-04T00:00:00"/>
    <d v="2022-04-28T00:00:00"/>
    <n v="6485"/>
    <d v="2022-06-08T00:00:00"/>
    <n v="7095"/>
    <s v="                                        "/>
    <s v="  /  /  "/>
    <s v="sa683"/>
    <d v="2022-04-06T00:00:00"/>
    <s v="Sem rota"/>
    <n v="0"/>
    <m/>
    <n v="0"/>
    <m/>
    <n v="0"/>
    <s v="Logber - Colatina Es"/>
    <s v="CIF"/>
    <n v="3266.11"/>
    <n v="26794.5"/>
    <s v="maio_2022"/>
    <n v="3266.11"/>
  </r>
  <r>
    <n v="15064"/>
    <x v="17"/>
    <n v="776574003171"/>
    <s v="Americanas S.A"/>
    <s v="Simoes Filho"/>
    <s v="BA"/>
    <n v="25850"/>
    <s v="PP1"/>
    <s v="V"/>
    <s v="FP"/>
    <s v="Normal"/>
    <s v="29184 01 C"/>
    <s v="P2202"/>
    <d v="2022-03-31T00:00:00"/>
    <d v="2022-05-06T00:00:00"/>
    <d v="2022-04-04T00:00:00"/>
    <d v="2022-04-28T00:00:00"/>
    <n v="6487"/>
    <d v="2022-06-08T00:00:00"/>
    <n v="7096"/>
    <s v="                                        "/>
    <s v="  /  /  "/>
    <s v="sa683"/>
    <d v="2022-04-06T00:00:00"/>
    <s v="Sem rota"/>
    <n v="0"/>
    <m/>
    <n v="0"/>
    <m/>
    <n v="0"/>
    <s v="Logber - Colatina Es"/>
    <s v="CIF"/>
    <n v="3732.7"/>
    <n v="611964.79"/>
    <s v="maio_2022"/>
    <n v="3732.7"/>
  </r>
  <r>
    <n v="15064"/>
    <x v="17"/>
    <n v="776574002523"/>
    <s v="Americanas S.A"/>
    <s v="Benevides"/>
    <s v="PA"/>
    <n v="25865"/>
    <s v="PP1"/>
    <s v="V"/>
    <s v="FP"/>
    <s v="Normal"/>
    <s v="29185 01 C"/>
    <s v="P2201"/>
    <d v="2022-03-31T00:00:00"/>
    <d v="2022-05-06T00:00:00"/>
    <d v="2022-04-05T00:00:00"/>
    <d v="2022-04-28T00:00:00"/>
    <n v="6491"/>
    <d v="2022-05-27T00:00:00"/>
    <n v="6923"/>
    <s v="                                        "/>
    <s v="  /  /  "/>
    <s v="sa684"/>
    <d v="2022-04-06T00:00:00"/>
    <s v="Sem rota"/>
    <n v="0"/>
    <m/>
    <n v="0"/>
    <m/>
    <n v="0"/>
    <s v="Logber - Colatina Es"/>
    <s v="CIF"/>
    <n v="2641.36"/>
    <n v="44095.5"/>
    <s v="maio_2022"/>
    <n v="2641.36"/>
  </r>
  <r>
    <n v="15051"/>
    <x v="13"/>
    <n v="11283356000287"/>
    <s v="Philco Eletronicos S/A"/>
    <s v="Manaus"/>
    <s v="AM"/>
    <n v="24575"/>
    <s v="PP1"/>
    <s v="V"/>
    <s v="PE"/>
    <s v="Normal"/>
    <s v="24591 02 E"/>
    <m/>
    <d v="2021-09-30T00:00:00"/>
    <d v="2022-05-13T00:00:00"/>
    <d v="2022-03-09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FOB"/>
    <n v="26206.954000000002"/>
    <n v="380000"/>
    <s v="maio_2022"/>
    <n v="26206.954000000002"/>
  </r>
  <r>
    <n v="15059"/>
    <x v="20"/>
    <n v="1333984000276"/>
    <s v="Segala's Alimentos Ltda"/>
    <s v="Gaspar"/>
    <s v="SC"/>
    <n v="26055"/>
    <s v="PSH1"/>
    <s v="O"/>
    <s v="PE"/>
    <s v="Detalhamento"/>
    <m/>
    <m/>
    <d v="2022-05-03T00:00:00"/>
    <d v="2022-05-17T00:00:00"/>
    <d v="2022-05-04T00:00:00"/>
    <s v="  /  /  "/>
    <n v="0"/>
    <s v="  /  /  "/>
    <n v="0"/>
    <s v="                                        "/>
    <s v="  /  /  "/>
    <s v="sat267"/>
    <d v="2022-05-04T00:00:00"/>
    <s v="Sem rota"/>
    <n v="0"/>
    <m/>
    <n v="0"/>
    <m/>
    <n v="0"/>
    <s v="Logber - Colatina Es"/>
    <s v="CIF"/>
    <n v="0"/>
    <n v="1"/>
    <s v="maio_2022"/>
    <n v="0"/>
  </r>
  <r>
    <n v="15064"/>
    <x v="17"/>
    <n v="776574003171"/>
    <s v="Americanas S.A"/>
    <s v="Simoes Filho"/>
    <s v="BA"/>
    <n v="25848"/>
    <s v="PP1"/>
    <s v="V"/>
    <s v="FP"/>
    <s v="Normal"/>
    <s v="29184 01 C"/>
    <s v="P2202"/>
    <d v="2022-03-31T00:00:00"/>
    <d v="2022-05-19T00:00:00"/>
    <d v="2022-04-04T00:00:00"/>
    <d v="2022-04-28T00:00:00"/>
    <n v="6481"/>
    <d v="2022-05-05T00:00:00"/>
    <n v="6604"/>
    <s v="                                        "/>
    <s v="  /  /  "/>
    <s v="sa683"/>
    <d v="2022-04-06T00:00:00"/>
    <s v="Sem rota"/>
    <n v="0"/>
    <m/>
    <n v="0"/>
    <m/>
    <n v="0"/>
    <s v="Logber - Colatina Es"/>
    <s v="CIF"/>
    <n v="3196.99"/>
    <n v="15148.49"/>
    <s v="maio_2022"/>
    <n v="3196.99"/>
  </r>
  <r>
    <n v="15064"/>
    <x v="17"/>
    <n v="776574002523"/>
    <s v="Americanas S.A"/>
    <s v="Benevides"/>
    <s v="PA"/>
    <n v="25852"/>
    <s v="PP1"/>
    <s v="V"/>
    <s v="FP"/>
    <s v="Normal"/>
    <s v="29185 01 C"/>
    <s v="P2201"/>
    <d v="2022-03-31T00:00:00"/>
    <d v="2022-05-19T00:00:00"/>
    <d v="2022-04-04T00:00:00"/>
    <d v="2022-04-28T00:00:00"/>
    <n v="6478"/>
    <d v="2022-06-08T00:00:00"/>
    <n v="7083"/>
    <s v="                                        "/>
    <s v="  /  /  "/>
    <s v="sa684"/>
    <d v="2022-04-06T00:00:00"/>
    <s v="Sem rota"/>
    <n v="0"/>
    <m/>
    <n v="0"/>
    <m/>
    <n v="0"/>
    <s v="Logber - Colatina Es"/>
    <s v="CIF"/>
    <n v="2626.71"/>
    <n v="21358.39"/>
    <s v="maio_2022"/>
    <n v="2626.71"/>
  </r>
  <r>
    <n v="15908"/>
    <x v="10"/>
    <n v="92754738047983"/>
    <s v="Lojas Renner S.A"/>
    <s v="Cabreuva"/>
    <s v="SP"/>
    <n v="26071"/>
    <s v="DIN1"/>
    <s v="O"/>
    <s v="FP"/>
    <s v="Montagem"/>
    <m/>
    <m/>
    <d v="2022-05-05T00:00:00"/>
    <d v="2022-05-19T00:00:00"/>
    <d v="2022-05-06T00:00:00"/>
    <d v="2022-05-06T00:00:00"/>
    <n v="6628"/>
    <d v="2022-05-13T00:00:00"/>
    <n v="6719"/>
    <s v="                                        "/>
    <s v="  /  /  "/>
    <s v="sat271"/>
    <d v="2022-05-06T00:00:00"/>
    <s v="Sem rota"/>
    <n v="0"/>
    <m/>
    <n v="0"/>
    <m/>
    <n v="0"/>
    <s v="Logber - Colatina Es"/>
    <s v="CIF"/>
    <n v="0"/>
    <n v="1032.8699999999999"/>
    <s v="maio_2022"/>
    <n v="0"/>
  </r>
  <r>
    <n v="15070"/>
    <x v="14"/>
    <n v="3147206000137"/>
    <s v="Segura Transportes e Logistica Ltda"/>
    <s v="Barueri"/>
    <s v="SP"/>
    <n v="25048"/>
    <s v="PP2"/>
    <s v="V"/>
    <s v="PE"/>
    <s v="Normal"/>
    <s v="27415 04 E"/>
    <m/>
    <d v="2021-12-02T00:00:00"/>
    <d v="2022-05-19T00:00:00"/>
    <d v="2022-04-29T00:00:00"/>
    <s v="  /  /  "/>
    <n v="0"/>
    <s v="  /  /  "/>
    <n v="0"/>
    <s v="                                        "/>
    <s v="  /  /  "/>
    <s v="sa614"/>
    <d v="2022-02-04T00:00:00"/>
    <s v="Sem rota"/>
    <n v="0"/>
    <m/>
    <n v="0"/>
    <m/>
    <n v="0"/>
    <s v="Logber - Colatina Es"/>
    <s v="CIF"/>
    <n v="1647.76"/>
    <n v="551250"/>
    <s v="maio_2022"/>
    <n v="1647.76"/>
  </r>
  <r>
    <n v="15061"/>
    <x v="9"/>
    <n v="85740000178"/>
    <s v="Trigo &amp; Cia Ltda"/>
    <s v="Santa Luzia"/>
    <s v="MG"/>
    <n v="24995"/>
    <s v="PP2"/>
    <s v="V"/>
    <s v="PE"/>
    <s v="Normal"/>
    <s v="20085 10 N"/>
    <m/>
    <d v="2021-11-25T00:00:00"/>
    <d v="2022-05-19T00:00:00"/>
    <d v="2022-05-11T00:00:00"/>
    <s v="  /  /  "/>
    <n v="0"/>
    <s v="  /  /  "/>
    <n v="0"/>
    <s v="                                        "/>
    <s v="  /  /  "/>
    <s v="sa620"/>
    <d v="2022-02-07T00:00:00"/>
    <s v="Sem rota"/>
    <n v="0"/>
    <m/>
    <n v="0"/>
    <m/>
    <n v="0"/>
    <s v="Logber - Colatina Es"/>
    <s v="CIF"/>
    <n v="985.02"/>
    <n v="144550"/>
    <s v="maio_2022"/>
    <n v="985.02"/>
  </r>
  <r>
    <n v="15057"/>
    <x v="0"/>
    <n v="2290510000419"/>
    <s v="Adama Brasil S.A"/>
    <s v="Taquari"/>
    <s v="RS"/>
    <n v="26114"/>
    <s v="ANÁLISE TÉCNICA"/>
    <s v="V"/>
    <s v="PE"/>
    <s v="Normal"/>
    <s v="29597 00 A"/>
    <n v="4500340149"/>
    <d v="2022-05-12T00:00:00"/>
    <d v="2022-05-20T00:00:00"/>
    <d v="2022-05-12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m/>
    <s v="CIF"/>
    <n v="0"/>
    <n v="8500"/>
    <s v="maio_2022"/>
    <n v="0"/>
  </r>
  <r>
    <n v="15074"/>
    <x v="21"/>
    <n v="48539407000207"/>
    <s v="Basf S/A"/>
    <s v="Guaratingueta"/>
    <s v="SP"/>
    <n v="25283"/>
    <s v="SERVIÇO"/>
    <s v="V"/>
    <s v="PE"/>
    <s v="Normal"/>
    <s v="27700 00 B"/>
    <n v="4969531368"/>
    <d v="2022-01-13T00:00:00"/>
    <d v="2022-05-20T00:00:00"/>
    <d v="2022-01-13T00:00:00"/>
    <s v="  /  /  "/>
    <n v="0"/>
    <s v="  /  /  "/>
    <n v="0"/>
    <s v="                                        "/>
    <s v="  /  /  "/>
    <m/>
    <s v="/  /"/>
    <s v="Sem rota"/>
    <n v="44"/>
    <s v="30 DDF S/juros"/>
    <n v="0"/>
    <m/>
    <n v="0"/>
    <m/>
    <s v="CIF"/>
    <n v="0"/>
    <n v="2550"/>
    <s v="maio_2022"/>
    <n v="0"/>
  </r>
  <r>
    <n v="15064"/>
    <x v="17"/>
    <n v="1838723032592"/>
    <s v="Brf S/A"/>
    <s v="Jundiai"/>
    <s v="SP"/>
    <n v="25526"/>
    <s v="SERVIÇO"/>
    <s v="V"/>
    <s v="PE"/>
    <s v="Normal"/>
    <s v="24207 03 G"/>
    <n v="105059059"/>
    <d v="2022-02-25T00:00:00"/>
    <d v="2022-05-20T00:00:00"/>
    <d v="2022-02-25T00:00:00"/>
    <s v="  /  /  "/>
    <n v="0"/>
    <s v="  /  /  "/>
    <n v="0"/>
    <s v="                                        "/>
    <s v="  /  /  "/>
    <m/>
    <s v="/  /"/>
    <s v="Sem rota"/>
    <n v="482"/>
    <s v="150 DDF S/juros"/>
    <n v="0"/>
    <m/>
    <n v="0"/>
    <m/>
    <s v="CIF"/>
    <n v="0"/>
    <n v="109530"/>
    <s v="maio_2022"/>
    <n v="0"/>
  </r>
  <r>
    <n v="15054"/>
    <x v="2"/>
    <n v="60498706037077"/>
    <s v="Cargill Agricola S.A"/>
    <s v="Goiania"/>
    <s v="GO"/>
    <n v="29163"/>
    <s v="ANÁLISE TÉCNICA"/>
    <s v="V"/>
    <s v="PE"/>
    <s v="Normal"/>
    <s v="29671 00 A"/>
    <n v="4511867464"/>
    <d v="2022-05-13T00:00:00"/>
    <d v="2022-05-20T00:00:00"/>
    <d v="2022-05-16T00:00:00"/>
    <s v="  /  /  "/>
    <n v="0"/>
    <s v="  /  /  "/>
    <n v="0"/>
    <s v="                                        "/>
    <s v="  /  /  "/>
    <m/>
    <s v="/  /"/>
    <s v="Sem rota"/>
    <n v="879"/>
    <s v="60 Ddf S/j"/>
    <n v="0"/>
    <m/>
    <n v="0"/>
    <m/>
    <s v="CIF"/>
    <n v="0"/>
    <n v="22186"/>
    <s v="maio_2022"/>
    <n v="0"/>
  </r>
  <r>
    <n v="15909"/>
    <x v="15"/>
    <n v="92754738047983"/>
    <s v="Lojas Renner S.A"/>
    <s v="Cabreuva"/>
    <s v="SP"/>
    <n v="26116"/>
    <s v="SERVIÇO"/>
    <s v="V"/>
    <s v="PE"/>
    <s v="Normal"/>
    <s v="26780 00 C"/>
    <n v="2462863"/>
    <d v="2022-05-12T00:00:00"/>
    <d v="2022-05-20T00:00:00"/>
    <d v="2022-05-12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m/>
    <s v="CIF"/>
    <n v="0"/>
    <n v="439100"/>
    <s v="maio_2022"/>
    <n v="0"/>
  </r>
  <r>
    <n v="15073"/>
    <x v="16"/>
    <n v="60409075010034"/>
    <s v="Nestle Brasil Ltda"/>
    <s v="Sao Bernardo do Campo"/>
    <s v="SP"/>
    <n v="26101"/>
    <s v="ANÁLISE TÉCNICA"/>
    <s v="V"/>
    <s v="PE"/>
    <s v="Normal"/>
    <s v="29462 00 A"/>
    <n v="4569692053"/>
    <d v="2022-05-11T00:00:00"/>
    <d v="2022-05-20T00:00:00"/>
    <d v="2022-05-11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m/>
    <s v="CIF"/>
    <n v="0"/>
    <n v="18600"/>
    <s v="maio_2022"/>
    <n v="0"/>
  </r>
  <r>
    <n v="15064"/>
    <x v="17"/>
    <n v="776574003171"/>
    <s v="Americanas S.A"/>
    <s v="Simoes Filho"/>
    <s v="BA"/>
    <n v="25863"/>
    <s v="PP1"/>
    <s v="V"/>
    <s v="FP"/>
    <s v="Normal"/>
    <s v="29184 01 C"/>
    <s v="P2202"/>
    <d v="2022-03-31T00:00:00"/>
    <d v="2022-05-23T00:00:00"/>
    <d v="2022-04-05T00:00:00"/>
    <d v="2022-05-10T00:00:00"/>
    <n v="6648"/>
    <d v="2022-05-10T00:00:00"/>
    <n v="6653"/>
    <s v="                                        "/>
    <s v="  /  /  "/>
    <s v="sa683"/>
    <d v="2022-04-06T00:00:00"/>
    <s v="Sem rota"/>
    <n v="0"/>
    <m/>
    <n v="0"/>
    <m/>
    <n v="0"/>
    <s v="Logber - Colatina Es"/>
    <s v="CIF"/>
    <n v="36952.129999999997"/>
    <n v="803179.22"/>
    <s v="maio_2022"/>
    <n v="36952.129999999997"/>
  </r>
  <r>
    <n v="15064"/>
    <x v="17"/>
    <n v="776574003171"/>
    <s v="Americanas S.A"/>
    <s v="Simoes Filho"/>
    <s v="BA"/>
    <n v="25864"/>
    <s v="PP1"/>
    <s v="V"/>
    <s v="FP"/>
    <s v="Normal"/>
    <s v="29184 01 C"/>
    <s v="P2202"/>
    <d v="2022-03-31T00:00:00"/>
    <d v="2022-05-23T00:00:00"/>
    <d v="2022-04-05T00:00:00"/>
    <d v="2022-04-28T00:00:00"/>
    <n v="6490"/>
    <d v="2022-06-02T00:00:00"/>
    <n v="7038"/>
    <s v="                                        "/>
    <s v="  /  /  "/>
    <s v="sa683"/>
    <d v="2022-04-06T00:00:00"/>
    <s v="Sem rota"/>
    <n v="0"/>
    <m/>
    <n v="0"/>
    <m/>
    <n v="0"/>
    <s v="Logber - Colatina Es"/>
    <s v="CIF"/>
    <n v="23946.57"/>
    <n v="420447.93"/>
    <s v="maio_2022"/>
    <n v="23946.57"/>
  </r>
  <r>
    <n v="15064"/>
    <x v="17"/>
    <n v="776574002523"/>
    <s v="Americanas S.A"/>
    <s v="Benevides"/>
    <s v="PA"/>
    <n v="25866"/>
    <s v="PP1"/>
    <s v="V"/>
    <s v="FP"/>
    <s v="Normal"/>
    <s v="29185 01 C"/>
    <s v="P2201"/>
    <d v="2022-03-31T00:00:00"/>
    <d v="2022-05-24T00:00:00"/>
    <d v="2022-04-05T00:00:00"/>
    <d v="2022-04-28T00:00:00"/>
    <n v="6497"/>
    <d v="2022-05-27T00:00:00"/>
    <n v="6924"/>
    <s v="                                        "/>
    <s v="  /  /  "/>
    <s v="sa684"/>
    <d v="2022-04-06T00:00:00"/>
    <s v="Sem rota"/>
    <n v="0"/>
    <m/>
    <n v="0"/>
    <m/>
    <n v="0"/>
    <s v="Logber - Colatina Es"/>
    <s v="CIF"/>
    <n v="20409.810000000001"/>
    <n v="676770.11"/>
    <s v="maio_2022"/>
    <n v="20409.810000000001"/>
  </r>
  <r>
    <n v="15917"/>
    <x v="22"/>
    <n v="4103609000147"/>
    <s v="Trg Comercio de Metais Ltda"/>
    <s v="Bento Goncalves"/>
    <s v="RS"/>
    <n v="24989"/>
    <m/>
    <s v="V"/>
    <s v="PE"/>
    <s v="Normal"/>
    <m/>
    <m/>
    <d v="2021-11-25T00:00:00"/>
    <d v="2022-05-24T00:00:00"/>
    <d v="2021-11-25T00:00:00"/>
    <s v="  /  /  "/>
    <n v="0"/>
    <s v="  /  /  "/>
    <n v="0"/>
    <s v="                                        "/>
    <s v="  /  /  "/>
    <m/>
    <s v="/  /"/>
    <s v="Sem rota"/>
    <n v="168"/>
    <s v="28 DDF S/juros"/>
    <n v="0"/>
    <m/>
    <n v="0"/>
    <m/>
    <s v="FOB"/>
    <n v="0"/>
    <n v="3045"/>
    <s v="maio_2022"/>
    <n v="0"/>
  </r>
  <r>
    <n v="15064"/>
    <x v="17"/>
    <n v="776574002523"/>
    <s v="Americanas S.A"/>
    <s v="Benevides"/>
    <s v="PA"/>
    <n v="25853"/>
    <s v="PP1"/>
    <s v="V"/>
    <s v="FP"/>
    <s v="Normal"/>
    <s v="29185 01 C"/>
    <s v="P2201"/>
    <d v="2022-03-31T00:00:00"/>
    <d v="2022-05-25T00:00:00"/>
    <d v="2022-04-04T00:00:00"/>
    <d v="2022-04-28T00:00:00"/>
    <n v="6489"/>
    <d v="2022-06-08T00:00:00"/>
    <n v="7082"/>
    <s v="                                        "/>
    <s v="  /  /  "/>
    <s v="sa684"/>
    <d v="2022-04-06T00:00:00"/>
    <s v="Sem rota"/>
    <n v="0"/>
    <m/>
    <n v="0"/>
    <m/>
    <n v="0"/>
    <s v="Logber - Colatina Es"/>
    <s v="CIF"/>
    <n v="2503.11"/>
    <n v="15292.69"/>
    <s v="maio_2022"/>
    <n v="2503.11"/>
  </r>
  <r>
    <n v="15064"/>
    <x v="17"/>
    <n v="776574002523"/>
    <s v="Americanas S.A"/>
    <s v="Benevides"/>
    <s v="PA"/>
    <n v="25854"/>
    <s v="PP1"/>
    <s v="V"/>
    <s v="FP"/>
    <s v="Normal"/>
    <s v="29185 01 C"/>
    <s v="P2201"/>
    <d v="2022-03-31T00:00:00"/>
    <d v="2022-05-25T00:00:00"/>
    <d v="2022-04-04T00:00:00"/>
    <d v="2022-04-28T00:00:00"/>
    <n v="6492"/>
    <d v="2022-05-13T00:00:00"/>
    <n v="6715"/>
    <s v="                                        "/>
    <s v="  /  /  "/>
    <s v="sa684"/>
    <d v="2022-04-06T00:00:00"/>
    <s v="Sem rota"/>
    <n v="0"/>
    <m/>
    <n v="0"/>
    <m/>
    <n v="0"/>
    <s v="Logber - Colatina Es"/>
    <s v="CIF"/>
    <n v="2641.36"/>
    <n v="74451.100000000006"/>
    <s v="maio_2022"/>
    <n v="2641.36"/>
  </r>
  <r>
    <n v="15057"/>
    <x v="0"/>
    <n v="1838723021639"/>
    <s v="Brf S.A"/>
    <s v="Videira"/>
    <s v="SC"/>
    <n v="26162"/>
    <s v="ANÁLISE TÉCNICA"/>
    <s v="V"/>
    <s v="PE"/>
    <s v="Normal"/>
    <s v="29897 00 A"/>
    <n v="105547546"/>
    <d v="2022-05-18T00:00:00"/>
    <d v="2022-05-25T00:00:00"/>
    <d v="2022-05-18T00:00:00"/>
    <s v="  /  /  "/>
    <n v="0"/>
    <s v="  /  /  "/>
    <n v="0"/>
    <s v="                                        "/>
    <s v="  /  /  "/>
    <m/>
    <s v="/  /"/>
    <s v="Sem rota"/>
    <n v="482"/>
    <s v="150 DDF S/juros"/>
    <n v="0"/>
    <m/>
    <n v="0"/>
    <m/>
    <s v="CIF"/>
    <n v="0"/>
    <n v="16350"/>
    <s v="maio_2022"/>
    <n v="0"/>
  </r>
  <r>
    <n v="15067"/>
    <x v="3"/>
    <n v="92038108000353"/>
    <s v="Brinox Metalurgica S.A"/>
    <s v="Linhares"/>
    <s v="ES"/>
    <n v="26171"/>
    <s v="ANÁLISE TÉCNICA"/>
    <s v="V"/>
    <s v="PE"/>
    <s v="Normal"/>
    <s v="28732 00 A"/>
    <n v="4500407563"/>
    <d v="2022-05-19T00:00:00"/>
    <d v="2022-05-25T00:00:00"/>
    <d v="2022-05-19T00:00:00"/>
    <s v="  /  /  "/>
    <n v="0"/>
    <s v="  /  /  "/>
    <n v="0"/>
    <s v="                                        "/>
    <s v="  /  /  "/>
    <m/>
    <s v="/  /"/>
    <s v="Sem rota"/>
    <n v="44"/>
    <s v="30 DDF S/juros"/>
    <n v="0"/>
    <m/>
    <n v="0"/>
    <m/>
    <s v="CIF"/>
    <n v="0"/>
    <n v="11000"/>
    <s v="maio_2022"/>
    <n v="0"/>
  </r>
  <r>
    <n v="15064"/>
    <x v="17"/>
    <n v="776574002523"/>
    <s v="Americanas S.A"/>
    <s v="Benevides"/>
    <s v="PA"/>
    <n v="25867"/>
    <s v="PP1"/>
    <s v="V"/>
    <s v="FP"/>
    <s v="Normal"/>
    <s v="29185 01 C"/>
    <s v="P2201"/>
    <d v="2022-03-31T00:00:00"/>
    <d v="2022-05-27T00:00:00"/>
    <d v="2022-04-05T00:00:00"/>
    <d v="2022-04-28T00:00:00"/>
    <n v="6493"/>
    <d v="2022-05-27T00:00:00"/>
    <n v="6927"/>
    <s v="                                        "/>
    <s v="  /  /  "/>
    <s v="sa684"/>
    <d v="2022-04-06T00:00:00"/>
    <s v="Sem rota"/>
    <n v="0"/>
    <m/>
    <n v="0"/>
    <m/>
    <n v="0"/>
    <s v="Logber - Colatina Es"/>
    <s v="CIF"/>
    <n v="33736.14"/>
    <n v="666225.53"/>
    <s v="maio_2022"/>
    <n v="33736.14"/>
  </r>
  <r>
    <n v="15910"/>
    <x v="11"/>
    <n v="7814284000107"/>
    <s v="Castelo Alimentos S.A"/>
    <s v="Jundiai"/>
    <s v="SP"/>
    <n v="24978"/>
    <s v="DRI2"/>
    <s v="V"/>
    <s v="PE"/>
    <s v="Normal"/>
    <s v="26508 06 B"/>
    <m/>
    <d v="2021-11-24T00:00:00"/>
    <d v="2022-05-27T00:00:00"/>
    <d v="2021-12-09T00:00:00"/>
    <s v="  /  /  "/>
    <n v="0"/>
    <s v="  /  /  "/>
    <n v="0"/>
    <s v="                                        "/>
    <s v="  /  /  "/>
    <s v="sa568"/>
    <d v="2021-12-09T00:00:00"/>
    <s v="Sem rota"/>
    <n v="0"/>
    <m/>
    <n v="0"/>
    <m/>
    <n v="0"/>
    <s v="Logber - Colatina Es"/>
    <s v="CIF"/>
    <n v="0"/>
    <n v="211908.34"/>
    <s v="maio_2022"/>
    <n v="0"/>
  </r>
  <r>
    <n v="15069"/>
    <x v="6"/>
    <n v="10230480002427"/>
    <s v="Ferreira Costa &amp; Cia Ltda"/>
    <s v="Joao Pessoa"/>
    <s v="PB"/>
    <n v="26032"/>
    <s v="PP2"/>
    <s v="V"/>
    <s v="FP"/>
    <s v="Normal"/>
    <s v="29165 01 E"/>
    <m/>
    <d v="2022-04-29T00:00:00"/>
    <d v="2022-05-27T00:00:00"/>
    <d v="2022-04-29T00:00:00"/>
    <d v="2022-05-26T00:00:00"/>
    <n v="6891"/>
    <d v="2022-06-03T00:00:00"/>
    <n v="7056"/>
    <s v="                                        "/>
    <s v="  /  /  "/>
    <s v="sa722"/>
    <d v="2022-05-10T00:00:00"/>
    <s v="Sem rota"/>
    <n v="0"/>
    <m/>
    <n v="0"/>
    <m/>
    <n v="0"/>
    <s v="Fontanella Logística"/>
    <s v="FOB"/>
    <n v="2530.2999999999997"/>
    <n v="135493.09"/>
    <s v="maio_2022"/>
    <n v="2530.2999999999997"/>
  </r>
  <r>
    <n v="15069"/>
    <x v="6"/>
    <n v="10230480002427"/>
    <s v="Ferreira Costa &amp; Cia Ltda"/>
    <s v="Joao Pessoa"/>
    <s v="PB"/>
    <n v="26068"/>
    <s v="PP2"/>
    <s v="V"/>
    <s v="FP"/>
    <s v="Normal"/>
    <s v="29165 01 E"/>
    <m/>
    <d v="2022-04-29T00:00:00"/>
    <d v="2022-05-27T00:00:00"/>
    <d v="2022-05-05T00:00:00"/>
    <d v="2022-05-26T00:00:00"/>
    <n v="6895"/>
    <d v="2022-06-03T00:00:00"/>
    <n v="7054"/>
    <s v="                                        "/>
    <s v="  /  /  "/>
    <s v="sa722"/>
    <d v="2022-05-10T00:00:00"/>
    <s v="Sem rota"/>
    <n v="0"/>
    <m/>
    <n v="0"/>
    <m/>
    <n v="0"/>
    <s v="Fontanella Logística"/>
    <s v="FOB"/>
    <n v="26584.25"/>
    <n v="479506.58"/>
    <s v="maio_2022"/>
    <n v="26584.25"/>
  </r>
  <r>
    <n v="15063"/>
    <x v="23"/>
    <n v="8248539000923"/>
    <s v="L.i.s.a Logistica Integrada Sulamerica"/>
    <s v="Viana"/>
    <s v="ES"/>
    <n v="25444"/>
    <s v="PP1"/>
    <s v="V"/>
    <s v="FP"/>
    <s v="Normal"/>
    <s v="28108 03 B"/>
    <m/>
    <d v="2022-02-11T00:00:00"/>
    <d v="2022-05-27T00:00:00"/>
    <d v="2022-06-09T00:00:00"/>
    <d v="2022-04-29T00:00:00"/>
    <n v="6501"/>
    <d v="2022-06-09T00:00:00"/>
    <n v="7101"/>
    <s v="                                        "/>
    <s v="  /  /  "/>
    <s v="sa653"/>
    <d v="2022-03-07T00:00:00"/>
    <s v="Sem rota"/>
    <n v="0"/>
    <m/>
    <n v="0"/>
    <m/>
    <n v="0"/>
    <s v="Logber - Colatina Es"/>
    <s v="CIF"/>
    <n v="4130.16"/>
    <n v="60786.51"/>
    <s v="maio_2022"/>
    <n v="4130.16"/>
  </r>
  <r>
    <n v="15073"/>
    <x v="16"/>
    <n v="17469701004326"/>
    <s v="Arcelormittal Brasil S/A"/>
    <s v="Sao Paulo"/>
    <s v="SP"/>
    <n v="26244"/>
    <s v="SERVIÇO"/>
    <s v="V"/>
    <s v="PE"/>
    <s v="Normal"/>
    <s v="29882 00 A"/>
    <n v="7300077067"/>
    <d v="2022-05-27T00:00:00"/>
    <d v="2022-05-30T00:00:00"/>
    <d v="2022-05-27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m/>
    <s v="CIF"/>
    <n v="0"/>
    <n v="33600"/>
    <s v="maio_2022"/>
    <n v="0"/>
  </r>
  <r>
    <n v="15908"/>
    <x v="10"/>
    <n v="77388007000157"/>
    <s v="Botica Comercial Farmaceutica Ltda"/>
    <s v="Sao Jose dos Pinhais"/>
    <s v="PR"/>
    <n v="24930"/>
    <s v="PP3"/>
    <s v="V"/>
    <s v="FP"/>
    <s v="Normal"/>
    <s v="27308 06 G"/>
    <n v="4501263452"/>
    <d v="2021-11-18T00:00:00"/>
    <d v="2022-05-30T00:00:00"/>
    <d v="2022-04-29T00:00:00"/>
    <d v="2022-04-29T00:00:00"/>
    <n v="6518"/>
    <d v="2022-04-29T00:00:00"/>
    <n v="6522"/>
    <s v="                                        "/>
    <s v="  /  /  "/>
    <s v="sa646"/>
    <d v="2022-02-25T00:00:00"/>
    <s v="Sem rota"/>
    <n v="944"/>
    <s v="90 DDF Sem Juros"/>
    <n v="0"/>
    <m/>
    <n v="0"/>
    <s v="Logber - Colatina Es"/>
    <s v="CIF"/>
    <n v="583.22"/>
    <n v="49689.06"/>
    <s v="maio_2022"/>
    <n v="583.22"/>
  </r>
  <r>
    <n v="15054"/>
    <x v="2"/>
    <n v="1838723030891"/>
    <s v="Brf S.A"/>
    <s v="Aparecida de Goiania"/>
    <s v="GO"/>
    <n v="26230"/>
    <s v="ANÁLISE TÉCNICA"/>
    <s v="V"/>
    <s v="PE"/>
    <s v="Normal"/>
    <s v="30087 00 A"/>
    <n v="105603703"/>
    <d v="2022-05-26T00:00:00"/>
    <d v="2022-05-30T00:00:00"/>
    <d v="2022-05-26T00:00:00"/>
    <s v="  /  /  "/>
    <n v="0"/>
    <s v="  /  /  "/>
    <n v="0"/>
    <s v="                                        "/>
    <s v="  /  /  "/>
    <m/>
    <s v="/  /"/>
    <s v="Sem rota"/>
    <n v="482"/>
    <s v="150 DDF S/juros"/>
    <n v="0"/>
    <m/>
    <n v="0"/>
    <m/>
    <s v="CIF"/>
    <n v="0"/>
    <n v="16350"/>
    <s v="maio_2022"/>
    <n v="0"/>
  </r>
  <r>
    <n v="15068"/>
    <x v="24"/>
    <n v="1838723006753"/>
    <s v="Brf  S/A"/>
    <s v="Dourados"/>
    <s v="MS"/>
    <n v="26223"/>
    <s v="ANÁLISE TÉCNICA"/>
    <s v="V"/>
    <s v="PE"/>
    <s v="Normal"/>
    <s v="30047 00 A"/>
    <n v="105599602"/>
    <d v="2022-05-26T00:00:00"/>
    <d v="2022-05-30T00:00:00"/>
    <d v="2022-05-26T00:00:00"/>
    <s v="  /  /  "/>
    <n v="0"/>
    <s v="  /  /  "/>
    <n v="0"/>
    <s v="                                        "/>
    <s v="  /  /  "/>
    <m/>
    <s v="/  /"/>
    <s v="Sem rota"/>
    <n v="482"/>
    <s v="150 DDF S/juros"/>
    <n v="0"/>
    <m/>
    <n v="0"/>
    <m/>
    <s v="CIF"/>
    <n v="0"/>
    <n v="19780"/>
    <s v="maio_2022"/>
    <n v="0"/>
  </r>
  <r>
    <n v="15907"/>
    <x v="8"/>
    <n v="1838723026436"/>
    <s v="Brf S.A"/>
    <s v="Salvador"/>
    <s v="BA"/>
    <n v="26245"/>
    <s v="ANÁLISE TÉCNICA"/>
    <s v="V"/>
    <s v="PE"/>
    <s v="Normal"/>
    <s v="30114 00 A"/>
    <n v="105614741"/>
    <d v="2022-05-27T00:00:00"/>
    <d v="2022-05-30T00:00:00"/>
    <d v="2022-05-27T00:00:00"/>
    <s v="  /  /  "/>
    <n v="0"/>
    <s v="  /  /  "/>
    <n v="0"/>
    <s v="                                        "/>
    <s v="  /  /  "/>
    <m/>
    <s v="/  /"/>
    <s v="Sem rota"/>
    <n v="482"/>
    <s v="150 DDF S/juros"/>
    <n v="0"/>
    <m/>
    <n v="0"/>
    <m/>
    <s v="CIF"/>
    <n v="0"/>
    <n v="16350"/>
    <s v="maio_2022"/>
    <n v="0"/>
  </r>
  <r>
    <n v="15074"/>
    <x v="21"/>
    <n v="10588595001092"/>
    <s v="Sanofi Medley Farmaceutica Ltda"/>
    <s v="Suzano"/>
    <s v="SP"/>
    <n v="26224"/>
    <s v="ANÁLISE TÉCNICA"/>
    <s v="V"/>
    <s v="PE"/>
    <s v="Normal"/>
    <s v="29786 00 B"/>
    <s v="E003964120"/>
    <d v="2022-05-26T00:00:00"/>
    <d v="2022-05-30T00:00:00"/>
    <d v="2022-05-26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m/>
    <s v="CIF"/>
    <n v="0"/>
    <n v="11605"/>
    <s v="maio_2022"/>
    <n v="0"/>
  </r>
  <r>
    <n v="15064"/>
    <x v="17"/>
    <n v="2162259000750"/>
    <s v="International Ind Aut da America do Sul"/>
    <s v="Sao Paulo"/>
    <s v="SP"/>
    <n v="26207"/>
    <s v="ANÁLISE TÉCNICA"/>
    <s v="V"/>
    <s v="PE"/>
    <s v="Normal"/>
    <s v="29772 00 B"/>
    <n v="4501623315"/>
    <d v="2022-05-25T00:00:00"/>
    <d v="2022-05-30T00:00:00"/>
    <d v="2022-05-25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12500"/>
    <s v="maio_2022"/>
    <n v="0"/>
  </r>
  <r>
    <n v="15059"/>
    <x v="20"/>
    <n v="84693183000168"/>
    <s v="Schulz S/A"/>
    <s v="Joinville"/>
    <s v="SC"/>
    <n v="26248"/>
    <s v="SERVIÇO"/>
    <s v="V"/>
    <s v="PE"/>
    <s v="Normal"/>
    <s v="29974 00 B"/>
    <n v="1012300"/>
    <d v="2022-05-27T00:00:00"/>
    <d v="2022-05-30T00:00:00"/>
    <d v="2022-05-27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m/>
    <s v="CIF"/>
    <n v="0"/>
    <n v="5600"/>
    <s v="maio_2022"/>
    <n v="0"/>
  </r>
  <r>
    <n v="15052"/>
    <x v="25"/>
    <n v="16404287015691"/>
    <s v="Suzano S.A"/>
    <s v="Limeira"/>
    <s v="SP"/>
    <n v="26247"/>
    <s v="ANÁLISE TÉCNICA"/>
    <s v="V"/>
    <s v="PE"/>
    <s v="Normal"/>
    <s v="30083 00 C"/>
    <n v="8000198640"/>
    <d v="2022-05-27T00:00:00"/>
    <d v="2022-05-30T00:00:00"/>
    <d v="2022-05-27T00:00:00"/>
    <s v="  /  /  "/>
    <n v="0"/>
    <s v="  /  /  "/>
    <n v="0"/>
    <s v="                                        "/>
    <s v="  /  /  "/>
    <m/>
    <s v="/  /"/>
    <s v="Sem rota"/>
    <n v="879"/>
    <s v="60 Ddf S/j"/>
    <n v="0"/>
    <m/>
    <n v="0"/>
    <m/>
    <s v="CIF"/>
    <n v="0"/>
    <n v="14680"/>
    <s v="maio_2022"/>
    <n v="0"/>
  </r>
  <r>
    <n v="15068"/>
    <x v="24"/>
    <n v="16404287044870"/>
    <s v="Suzano S.A"/>
    <s v="Tres Lagoas"/>
    <s v="MS"/>
    <n v="26197"/>
    <s v="ANÁLISE TÉCNICA"/>
    <s v="V"/>
    <s v="PE"/>
    <s v="Normal"/>
    <s v="29187 00 C"/>
    <n v="8000197672"/>
    <d v="2022-05-24T00:00:00"/>
    <d v="2022-05-30T00:00:00"/>
    <d v="2022-05-24T00:00:00"/>
    <s v="  /  /  "/>
    <n v="0"/>
    <s v="  /  /  "/>
    <n v="0"/>
    <s v="                                        "/>
    <s v="  /  /  "/>
    <m/>
    <s v="/  /"/>
    <s v="Area Industrial"/>
    <n v="879"/>
    <s v="60 Ddf S/j"/>
    <n v="0"/>
    <m/>
    <n v="0"/>
    <m/>
    <s v="CIF"/>
    <n v="0"/>
    <n v="15925"/>
    <s v="maio_2022"/>
    <n v="0"/>
  </r>
  <r>
    <n v="15064"/>
    <x v="17"/>
    <n v="776574002523"/>
    <s v="Americanas S.A"/>
    <s v="Benevides"/>
    <s v="PA"/>
    <n v="25868"/>
    <s v="PP1"/>
    <s v="V"/>
    <s v="FP"/>
    <s v="Normal"/>
    <s v="29185 01 C"/>
    <s v="P2201"/>
    <d v="2022-03-31T00:00:00"/>
    <d v="2022-05-31T00:00:00"/>
    <d v="2022-04-05T00:00:00"/>
    <d v="2022-05-06T00:00:00"/>
    <n v="6626"/>
    <d v="2022-06-08T00:00:00"/>
    <n v="7086"/>
    <s v="                                        "/>
    <s v="  /  /  "/>
    <s v="sa684"/>
    <d v="2022-04-06T00:00:00"/>
    <s v="Sem rota"/>
    <n v="0"/>
    <m/>
    <n v="0"/>
    <m/>
    <n v="0"/>
    <s v="Logber - Colatina Es"/>
    <s v="CIF"/>
    <n v="2704.3"/>
    <n v="51764.28"/>
    <s v="maio_2022"/>
    <n v="2704.3"/>
  </r>
  <r>
    <n v="15067"/>
    <x v="3"/>
    <n v="42150391003781"/>
    <s v="Braskem S/A"/>
    <s v="Triunfo"/>
    <s v="RS"/>
    <n v="26258"/>
    <s v="SERVIÇO"/>
    <s v="V"/>
    <s v="PE"/>
    <s v="Normal"/>
    <s v="27105 00 C"/>
    <n v="4900023717"/>
    <d v="2022-05-30T00:00:00"/>
    <d v="2022-05-31T00:00:00"/>
    <d v="2022-05-30T00:00:00"/>
    <s v="  /  /  "/>
    <n v="0"/>
    <s v="  /  /  "/>
    <n v="0"/>
    <s v="                                        "/>
    <s v="  /  /  "/>
    <m/>
    <s v="/  /"/>
    <s v="Sem rota"/>
    <n v="208"/>
    <s v="14 Ddf  S/juros"/>
    <n v="0"/>
    <m/>
    <n v="0"/>
    <m/>
    <s v="CIF"/>
    <n v="0"/>
    <n v="60000"/>
    <s v="maio_2022"/>
    <n v="0"/>
  </r>
  <r>
    <n v="15069"/>
    <x v="6"/>
    <n v="8326720000153"/>
    <s v="Cirne Irmaos &amp; Cia Ltda"/>
    <s v="Natal"/>
    <s v="RN"/>
    <n v="23716"/>
    <s v="MEZ1"/>
    <s v="V"/>
    <s v="FP"/>
    <s v="Normal"/>
    <s v="17695 08 H"/>
    <m/>
    <d v="2021-05-01T00:00:00"/>
    <d v="2022-05-31T00:00:00"/>
    <d v="2022-03-10T00:00:00"/>
    <d v="2022-02-21T00:00:00"/>
    <n v="5523"/>
    <d v="2022-05-16T00:00:00"/>
    <n v="6745"/>
    <s v="                                        "/>
    <s v="  /  /  "/>
    <s v="sa445"/>
    <d v="2021-10-08T00:00:00"/>
    <s v="Sem rota"/>
    <n v="0"/>
    <m/>
    <n v="0"/>
    <m/>
    <n v="0"/>
    <s v="Logber - Colatina Es"/>
    <s v="FOB"/>
    <n v="0"/>
    <n v="15348.56"/>
    <s v="maio_2022"/>
    <n v="0"/>
  </r>
  <r>
    <n v="15020"/>
    <x v="7"/>
    <n v="0"/>
    <s v="Corin S.a."/>
    <s v="Montevideo"/>
    <s v="EX"/>
    <n v="25586"/>
    <s v="PP2"/>
    <s v="V"/>
    <s v="PE"/>
    <s v="Normal"/>
    <s v="27199 02 B"/>
    <m/>
    <d v="2022-03-08T00:00:00"/>
    <d v="2022-05-31T00:00:00"/>
    <d v="2022-03-15T00:00:00"/>
    <s v="  /  /  "/>
    <n v="0"/>
    <s v="  /  /  "/>
    <n v="0"/>
    <s v="                                        "/>
    <s v="  /  /  "/>
    <s v="sa662"/>
    <d v="2022-03-16T00:00:00"/>
    <s v="Sem rota"/>
    <n v="0"/>
    <m/>
    <n v="0"/>
    <m/>
    <n v="0"/>
    <m/>
    <s v="FCA"/>
    <n v="10686.18"/>
    <n v="302782.92"/>
    <s v="maio_2022"/>
    <n v="10686.18"/>
  </r>
  <r>
    <n v="15062"/>
    <x v="1"/>
    <n v="28254708000279"/>
    <s v="Hublog Solucoes Logisticas Eireli"/>
    <s v="Vitoria"/>
    <s v="ES"/>
    <n v="26147"/>
    <s v="CST1"/>
    <s v="O"/>
    <s v="PE"/>
    <s v="Calculo"/>
    <m/>
    <m/>
    <d v="2022-05-17T00:00:00"/>
    <d v="2022-05-31T00:00:00"/>
    <d v="2022-05-18T00:00:00"/>
    <s v="  /  /  "/>
    <n v="0"/>
    <s v="  /  /  "/>
    <n v="0"/>
    <s v="                                        "/>
    <s v="  /  /  "/>
    <s v="sat278"/>
    <d v="2022-05-18T00:00:00"/>
    <s v="Sem rota"/>
    <n v="0"/>
    <m/>
    <n v="0"/>
    <m/>
    <n v="0"/>
    <s v="Logber - Colatina Es"/>
    <s v="CIF"/>
    <n v="1386.29"/>
    <n v="13405"/>
    <s v="maio_2022"/>
    <n v="1386.29"/>
  </r>
  <r>
    <n v="15908"/>
    <x v="10"/>
    <n v="3853896000220"/>
    <s v="Marfrig Global Foods S.A"/>
    <s v="Bataguassu"/>
    <s v="MS"/>
    <n v="26172"/>
    <s v="DRI1"/>
    <s v="O"/>
    <s v="FP"/>
    <s v="Fabrica / Separacao"/>
    <m/>
    <n v="170937"/>
    <d v="2022-05-19T00:00:00"/>
    <d v="2022-05-31T00:00:00"/>
    <d v="2022-05-19T00:00:00"/>
    <d v="2022-05-25T00:00:00"/>
    <n v="6869"/>
    <d v="2022-05-25T00:00:00"/>
    <n v="6869"/>
    <s v="                                        "/>
    <s v="  /  /  "/>
    <s v="sat281"/>
    <d v="2022-05-19T00:00:00"/>
    <s v="Sem rota"/>
    <n v="0"/>
    <m/>
    <n v="0"/>
    <m/>
    <n v="0"/>
    <s v="Logber - Colatina Es"/>
    <s v="CIF"/>
    <n v="177.83"/>
    <n v="1287.3399999999999"/>
    <s v="maio_2022"/>
    <n v="177.83"/>
  </r>
  <r>
    <n v="15909"/>
    <x v="15"/>
    <n v="61585865288660"/>
    <s v="Raia Drogasil S.A"/>
    <s v="Cuiaba"/>
    <s v="MT"/>
    <n v="26276"/>
    <s v="FLR1"/>
    <s v="V"/>
    <s v="PE"/>
    <s v="Normal"/>
    <s v="29719 00 A"/>
    <m/>
    <d v="2022-05-31T00:00:00"/>
    <d v="2022-05-31T00:00:00"/>
    <d v="2022-06-07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s v="Logber - Colatina Es"/>
    <s v="CIF"/>
    <n v="0"/>
    <n v="36750"/>
    <s v="maio_2022"/>
    <n v="0"/>
  </r>
  <r>
    <n v="15068"/>
    <x v="24"/>
    <n v="16404287022205"/>
    <s v="Suzano S.A"/>
    <s v="Imperatriz"/>
    <s v="MA"/>
    <n v="26251"/>
    <s v="ANÁLISE TÉCNICA"/>
    <s v="V"/>
    <s v="PE"/>
    <s v="Normal"/>
    <s v="29189 00 B"/>
    <n v="8000198359"/>
    <d v="2022-05-30T00:00:00"/>
    <d v="2022-05-31T00:00:00"/>
    <d v="2022-05-30T00:00:00"/>
    <s v="  /  /  "/>
    <n v="0"/>
    <s v="  /  /  "/>
    <n v="0"/>
    <s v="                                        "/>
    <s v="  /  /  "/>
    <m/>
    <s v="/  /"/>
    <s v="Sem rota"/>
    <n v="879"/>
    <s v="60 Ddf S/j"/>
    <n v="0"/>
    <m/>
    <n v="0"/>
    <m/>
    <s v="CIF"/>
    <n v="0"/>
    <n v="12730"/>
    <s v="maio_2022"/>
    <n v="0"/>
  </r>
  <r>
    <n v="15000"/>
    <x v="26"/>
    <n v="87556650000104"/>
    <s v="Bertolini S/A"/>
    <s v="Bento Goncalves"/>
    <s v="RS"/>
    <n v="23900"/>
    <s v="MEZ1"/>
    <s v="T"/>
    <s v="FP"/>
    <s v="Normal"/>
    <m/>
    <m/>
    <d v="2021-05-31T00:00:00"/>
    <d v="2022-06-01T00:00:00"/>
    <d v="2021-06-08T00:00:00"/>
    <d v="2021-07-23T00:00:00"/>
    <n v="3323"/>
    <d v="2021-07-23T00:00:00"/>
    <n v="3323"/>
    <s v="                                        "/>
    <s v="  /  /  "/>
    <s v="sa350"/>
    <d v="2021-06-08T00:00:00"/>
    <s v="Rs"/>
    <n v="0"/>
    <m/>
    <n v="0"/>
    <m/>
    <n v="0"/>
    <s v="Logber - Colatina Es"/>
    <s v="CIF"/>
    <n v="0"/>
    <n v="1.03"/>
    <s v="junho_2022"/>
    <n v="0"/>
  </r>
  <r>
    <n v="15070"/>
    <x v="14"/>
    <n v="77595395005025"/>
    <s v="Frimesa Cooperativa Central"/>
    <s v="Assis Chateaubriand"/>
    <s v="PR"/>
    <n v="23504"/>
    <s v="PP2"/>
    <s v="V"/>
    <s v="FP"/>
    <s v="Normal"/>
    <s v="22593 09 H"/>
    <n v="2260950"/>
    <d v="2021-03-25T00:00:00"/>
    <d v="2022-06-01T00:00:00"/>
    <d v="2022-05-18T00:00:00"/>
    <d v="2022-05-18T00:00:00"/>
    <n v="6781"/>
    <d v="2022-05-18T00:00:00"/>
    <n v="6781"/>
    <s v="                                        "/>
    <s v="  /  /  "/>
    <s v="sa268"/>
    <d v="2021-04-05T00:00:00"/>
    <s v="Sem rota"/>
    <n v="0"/>
    <m/>
    <n v="0"/>
    <m/>
    <n v="0"/>
    <s v="Logber - Colatina Es"/>
    <s v="CIF"/>
    <n v="3297.68"/>
    <n v="75432.800000000003"/>
    <s v="junho_2022"/>
    <n v="3297.68"/>
  </r>
  <r>
    <n v="15062"/>
    <x v="1"/>
    <n v="33247743000110"/>
    <s v="Glaxosmithkline Brasil Ltda"/>
    <s v="Rio de Janeiro"/>
    <s v="RJ"/>
    <n v="25249"/>
    <s v="PP3"/>
    <s v="V"/>
    <s v="PE"/>
    <s v="Normal"/>
    <s v="27870 01 D"/>
    <m/>
    <d v="2021-12-17T00:00:00"/>
    <d v="2022-06-01T00:00:00"/>
    <d v="2022-01-10T00:00:00"/>
    <s v="  /  /  "/>
    <n v="0"/>
    <s v="  /  /  "/>
    <n v="0"/>
    <s v="                                        "/>
    <s v="  /  /  "/>
    <s v="sa623"/>
    <d v="2022-02-08T00:00:00"/>
    <s v="Sem rota"/>
    <n v="879"/>
    <s v="60 Ddf S/j"/>
    <n v="0"/>
    <m/>
    <n v="0"/>
    <s v="Logber - Colatina Es"/>
    <s v="CIF"/>
    <n v="0"/>
    <n v="159859.72"/>
    <s v="junho_2022"/>
    <n v="0"/>
  </r>
  <r>
    <n v="15908"/>
    <x v="10"/>
    <n v="92754738047983"/>
    <s v="Lojas Renner S.A"/>
    <s v="Cabreuva"/>
    <s v="SP"/>
    <n v="25965"/>
    <m/>
    <s v="O"/>
    <s v="FP"/>
    <s v="Calculo"/>
    <m/>
    <m/>
    <d v="2022-04-25T00:00:00"/>
    <d v="2022-06-02T00:00:00"/>
    <d v="2022-04-26T00:00:00"/>
    <d v="2022-05-13T00:00:00"/>
    <n v="6721"/>
    <d v="2022-05-26T00:00:00"/>
    <n v="6882"/>
    <s v="                                        "/>
    <s v="  /  /  "/>
    <s v="sat262"/>
    <d v="2022-04-26T00:00:00"/>
    <s v="Sem rota"/>
    <n v="0"/>
    <m/>
    <n v="0"/>
    <m/>
    <n v="0"/>
    <m/>
    <s v="CIF"/>
    <n v="0"/>
    <n v="69638.86"/>
    <s v="junho_2022"/>
    <n v="0"/>
  </r>
  <r>
    <n v="15069"/>
    <x v="6"/>
    <n v="8326720000153"/>
    <s v="Cirne Irmaos &amp; Cia Ltda"/>
    <s v="Natal"/>
    <s v="RN"/>
    <n v="23714"/>
    <s v="PP3"/>
    <s v="V"/>
    <s v="FP"/>
    <s v="Normal"/>
    <s v="17695 08 H"/>
    <m/>
    <d v="2021-05-01T00:00:00"/>
    <d v="2022-06-03T00:00:00"/>
    <d v="2022-02-21T00:00:00"/>
    <d v="2022-02-21T00:00:00"/>
    <n v="5501"/>
    <d v="2022-05-16T00:00:00"/>
    <n v="6748"/>
    <s v="                                        "/>
    <s v="  /  /  "/>
    <s v="sa427"/>
    <d v="2021-08-18T00:00:00"/>
    <s v="Sem rota"/>
    <n v="0"/>
    <m/>
    <n v="0"/>
    <m/>
    <n v="0"/>
    <s v="Logber - Colatina Es"/>
    <s v="FOB"/>
    <n v="410.4"/>
    <n v="114059.38"/>
    <s v="junho_2022"/>
    <n v="410.4"/>
  </r>
  <r>
    <n v="15062"/>
    <x v="1"/>
    <n v="48122295002572"/>
    <s v="Fmc Technologies do Brasil Ltda"/>
    <s v="Rio de Janeiro"/>
    <s v="RJ"/>
    <n v="24163"/>
    <s v="PP3"/>
    <s v="V"/>
    <s v="PE"/>
    <s v="Normal"/>
    <s v="21857 02 C"/>
    <n v="4500552781"/>
    <d v="2021-08-03T00:00:00"/>
    <d v="2022-06-03T00:00:00"/>
    <d v="2021-09-08T00:00:00"/>
    <s v="  /  /  "/>
    <n v="0"/>
    <s v="  /  /  "/>
    <n v="0"/>
    <s v="                                        "/>
    <s v="  /  /  "/>
    <s v="sa475-D"/>
    <d v="2022-01-11T00:00:00"/>
    <s v="Sem rota"/>
    <n v="44"/>
    <s v="30 DDF S/juros"/>
    <n v="0"/>
    <m/>
    <n v="0"/>
    <s v="Logber - Colatina Es"/>
    <s v="CIF"/>
    <n v="69.94"/>
    <n v="14357.95"/>
    <s v="junho_2022"/>
    <n v="69.94"/>
  </r>
  <r>
    <n v="15063"/>
    <x v="23"/>
    <n v="41429688000107"/>
    <s v="Jcb Materiais de Construcao Ltda"/>
    <s v="Linhares"/>
    <s v="ES"/>
    <n v="25325"/>
    <s v="PP2"/>
    <s v="V"/>
    <s v="PE"/>
    <s v="Normal"/>
    <s v="27867 04 F"/>
    <m/>
    <d v="2022-01-24T00:00:00"/>
    <d v="2022-06-03T00:00:00"/>
    <d v="2022-01-26T00:00:00"/>
    <s v="  /  /  "/>
    <n v="0"/>
    <s v="  /  /  "/>
    <n v="0"/>
    <s v="                                        "/>
    <s v="  /  /  "/>
    <s v="sa628"/>
    <d v="2022-02-10T00:00:00"/>
    <s v="Sem rota"/>
    <n v="2257"/>
    <s v="40% Conf/30%14ddf/saldo28ddf"/>
    <n v="0"/>
    <m/>
    <n v="0"/>
    <s v="Logber - Colatina Es"/>
    <s v="CIF"/>
    <n v="266.13"/>
    <n v="42206.63"/>
    <s v="junho_2022"/>
    <n v="266.13"/>
  </r>
  <r>
    <n v="15059"/>
    <x v="20"/>
    <n v="14028228000102"/>
    <s v="Plastprack Industria e Comercio Ltda"/>
    <s v="Massaranduba"/>
    <s v="SC"/>
    <n v="25362"/>
    <s v="PP2"/>
    <s v="V"/>
    <s v="PE"/>
    <s v="Normal"/>
    <s v="19559 06 G"/>
    <m/>
    <d v="2022-01-27T00:00:00"/>
    <d v="2022-06-03T00:00:00"/>
    <d v="2022-03-02T00:00:00"/>
    <s v="  /  /  "/>
    <n v="0"/>
    <s v="  /  /  "/>
    <n v="0"/>
    <s v="                                        "/>
    <s v="  /  /  "/>
    <s v="sa651"/>
    <d v="2022-03-02T00:00:00"/>
    <s v="Sem rota"/>
    <n v="0"/>
    <m/>
    <n v="0"/>
    <m/>
    <n v="0"/>
    <s v="Logber - Colatina Es"/>
    <s v="CIF"/>
    <n v="475.23"/>
    <n v="140130.9"/>
    <s v="junho_2022"/>
    <n v="475.23"/>
  </r>
  <r>
    <n v="15069"/>
    <x v="6"/>
    <n v="8326720000153"/>
    <s v="Cirne Irmaos &amp; Cia Ltda"/>
    <s v="Natal"/>
    <s v="RN"/>
    <n v="23717"/>
    <s v="AUT"/>
    <s v="V"/>
    <s v="FP"/>
    <s v="Normal"/>
    <s v="17695 08 H"/>
    <m/>
    <d v="2021-05-01T00:00:00"/>
    <d v="2022-06-04T00:00:00"/>
    <d v="2022-02-21T00:00:00"/>
    <d v="2022-02-21T00:00:00"/>
    <n v="5518"/>
    <d v="2022-05-16T00:00:00"/>
    <n v="6744"/>
    <s v="                                        "/>
    <s v="  /  /  "/>
    <s v="sa443"/>
    <d v="2021-08-24T00:00:00"/>
    <s v="Sem rota"/>
    <n v="0"/>
    <m/>
    <n v="0"/>
    <m/>
    <n v="0"/>
    <s v="Logber - Colatina Es"/>
    <s v="FOB"/>
    <n v="0"/>
    <n v="247263"/>
    <s v="junho_2022"/>
    <n v="0"/>
  </r>
  <r>
    <n v="15066"/>
    <x v="18"/>
    <n v="64858525013638"/>
    <s v="Monsanto do Brasil Ltda"/>
    <s v="Campo Verde"/>
    <s v="MT"/>
    <n v="24225"/>
    <s v="DRI2"/>
    <s v="V"/>
    <s v="PE"/>
    <s v="Normal"/>
    <s v="25047 06 H"/>
    <n v="6500480382"/>
    <d v="2021-08-13T00:00:00"/>
    <d v="2022-06-04T00:00:00"/>
    <d v="2022-06-09T00:00:00"/>
    <s v="  /  /  "/>
    <n v="0"/>
    <s v="  /  /  "/>
    <n v="0"/>
    <s v="                                        "/>
    <s v="  /  /  "/>
    <s v="sa596"/>
    <d v="2022-01-19T00:00:00"/>
    <s v="Sem rota"/>
    <n v="13"/>
    <s v="45 Ddf S/j"/>
    <n v="0"/>
    <m/>
    <n v="0"/>
    <s v="Logber - Colatina Es"/>
    <s v="CIF"/>
    <n v="4326.55"/>
    <n v="2035237.68"/>
    <s v="junho_2022"/>
    <n v="4326.55"/>
  </r>
  <r>
    <n v="15907"/>
    <x v="8"/>
    <n v="8380701000105"/>
    <s v="Unimed Natal Sociedade Coop de Trab Medi"/>
    <s v="Natal"/>
    <s v="RN"/>
    <n v="24167"/>
    <s v="PP3"/>
    <s v="V"/>
    <s v="FP"/>
    <s v="Normal"/>
    <s v="21634 05 G"/>
    <m/>
    <d v="2021-08-03T00:00:00"/>
    <d v="2022-06-05T00:00:00"/>
    <d v="2022-05-31T00:00:00"/>
    <d v="2022-05-31T00:00:00"/>
    <n v="6979"/>
    <d v="2022-05-31T00:00:00"/>
    <n v="6979"/>
    <s v="                                        "/>
    <s v="  /  /  "/>
    <s v="sa516"/>
    <d v="2021-10-20T00:00:00"/>
    <s v="Sem rota"/>
    <n v="0"/>
    <m/>
    <n v="0"/>
    <m/>
    <n v="0"/>
    <s v="Logber - Colatina Es"/>
    <s v="CIF"/>
    <n v="91.96"/>
    <n v="1529.66"/>
    <s v="junho_2022"/>
    <n v="91.96"/>
  </r>
  <r>
    <n v="15064"/>
    <x v="17"/>
    <n v="1838723032592"/>
    <s v="Brf S/A"/>
    <s v="Jundiai"/>
    <s v="SP"/>
    <n v="25805"/>
    <s v="PP1"/>
    <s v="V"/>
    <s v="PE"/>
    <s v="Normal"/>
    <s v="28939 00 C"/>
    <n v="105309846"/>
    <d v="2022-03-31T00:00:00"/>
    <d v="2022-06-06T00:00:00"/>
    <d v="2022-04-04T00:00:00"/>
    <s v="  /  /  "/>
    <n v="0"/>
    <s v="  /  /  "/>
    <n v="0"/>
    <s v="                                        "/>
    <s v="  /  /  "/>
    <s v="sa685"/>
    <d v="2022-04-07T00:00:00"/>
    <s v="Sem rota"/>
    <n v="482"/>
    <s v="150 DDF S/juros"/>
    <n v="0"/>
    <m/>
    <n v="0"/>
    <m/>
    <s v="CIF"/>
    <n v="0"/>
    <n v="40284.92"/>
    <s v="junho_2022"/>
    <n v="0"/>
  </r>
  <r>
    <n v="15909"/>
    <x v="15"/>
    <n v="10970887000609"/>
    <s v="Fedex Brasil Logistica e Transporte Ltda"/>
    <s v="Betim"/>
    <s v="MG"/>
    <n v="23828"/>
    <s v="PP1"/>
    <s v="V"/>
    <s v="FP"/>
    <s v="Normal"/>
    <s v="25051 01 A"/>
    <n v="2021021273"/>
    <d v="2021-05-14T00:00:00"/>
    <d v="2022-06-06T00:00:00"/>
    <d v="2022-04-11T00:00:00"/>
    <d v="2022-05-20T00:00:00"/>
    <n v="6819"/>
    <d v="2022-05-20T00:00:00"/>
    <n v="6824"/>
    <s v="                                        "/>
    <s v="  /  /  "/>
    <s v="sa690"/>
    <d v="2022-04-11T00:00:00"/>
    <s v="Sem rota"/>
    <n v="0"/>
    <m/>
    <n v="0"/>
    <m/>
    <n v="0"/>
    <s v="Logber - Colatina Es"/>
    <s v="CIF"/>
    <n v="13785.79"/>
    <n v="338606.27"/>
    <s v="junho_2022"/>
    <n v="13785.79"/>
  </r>
  <r>
    <n v="15055"/>
    <x v="4"/>
    <n v="35065903000720"/>
    <s v="Nilo Maia Distribuidora Ltda"/>
    <s v="Sobral"/>
    <s v="CE"/>
    <n v="24436"/>
    <s v="PSL1"/>
    <s v="V"/>
    <s v="FP"/>
    <s v="Normal"/>
    <s v="25985 01 C"/>
    <m/>
    <d v="2021-09-13T00:00:00"/>
    <d v="2022-06-07T00:00:00"/>
    <d v="2022-05-05T00:00:00"/>
    <d v="2022-05-05T00:00:00"/>
    <n v="6597"/>
    <d v="2022-05-05T00:00:00"/>
    <n v="6597"/>
    <s v="                                        "/>
    <s v="  /  /  "/>
    <s v="sa561"/>
    <d v="2021-12-02T00:00:00"/>
    <s v="Sem rota"/>
    <n v="0"/>
    <m/>
    <n v="0"/>
    <m/>
    <n v="0"/>
    <s v="Logber - Colatina Es"/>
    <s v="CIF"/>
    <n v="71.73"/>
    <n v="3635.5"/>
    <s v="junho_2022"/>
    <n v="71.73"/>
  </r>
  <r>
    <n v="15069"/>
    <x v="6"/>
    <n v="8326720000153"/>
    <s v="Cirne Irmaos &amp; Cia Ltda"/>
    <s v="Natal"/>
    <s v="RN"/>
    <n v="23715"/>
    <s v="PSL1"/>
    <s v="V"/>
    <s v="FP"/>
    <s v="Normal"/>
    <s v="17695 08 H"/>
    <m/>
    <d v="2021-05-01T00:00:00"/>
    <d v="2022-06-08T00:00:00"/>
    <d v="2022-02-21T00:00:00"/>
    <d v="2022-02-21T00:00:00"/>
    <n v="5522"/>
    <d v="2022-05-16T00:00:00"/>
    <n v="6743"/>
    <s v="                                        "/>
    <s v="  /  /  "/>
    <s v="sa444"/>
    <d v="2021-08-25T00:00:00"/>
    <s v="Sem rota"/>
    <n v="0"/>
    <m/>
    <n v="0"/>
    <m/>
    <n v="0"/>
    <s v="Logber - Colatina Es"/>
    <s v="FOB"/>
    <n v="55.16"/>
    <n v="33025.58"/>
    <s v="junho_2022"/>
    <n v="55.16"/>
  </r>
  <r>
    <n v="1"/>
    <x v="12"/>
    <n v="87556650001682"/>
    <s v="Bertolini S.A"/>
    <s v="Colatina"/>
    <s v="ES"/>
    <n v="23851"/>
    <m/>
    <s v="O"/>
    <s v="PE"/>
    <s v="Normal"/>
    <m/>
    <m/>
    <d v="2021-05-20T00:00:00"/>
    <d v="2022-06-09T00:00:00"/>
    <d v="2021-08-12T00:00:00"/>
    <s v="  /  /  "/>
    <n v="0"/>
    <s v="  /  /  "/>
    <n v="0"/>
    <s v="                                        "/>
    <s v="  /  /  "/>
    <s v="sa413"/>
    <d v="2021-08-12T00:00:00"/>
    <s v="Sem rota"/>
    <n v="0"/>
    <m/>
    <n v="0"/>
    <m/>
    <n v="0"/>
    <s v="Logber - Colatina Es"/>
    <s v="CIF"/>
    <n v="1048.97"/>
    <n v="1.03"/>
    <s v="junho_2022"/>
    <n v="1048.97"/>
  </r>
  <r>
    <n v="15067"/>
    <x v="3"/>
    <n v="1838723005358"/>
    <s v="Brf S/A"/>
    <s v="Nova Santa Rita"/>
    <s v="RS"/>
    <n v="25979"/>
    <s v="PP2"/>
    <s v="O"/>
    <s v="PE"/>
    <s v="Comercial / Pedido"/>
    <m/>
    <n v="103985243"/>
    <d v="2022-04-26T00:00:00"/>
    <d v="2022-06-09T00:00:00"/>
    <d v="2022-05-12T00:00:00"/>
    <s v="  /  /  "/>
    <n v="0"/>
    <s v="  /  /  "/>
    <n v="0"/>
    <s v="                                        "/>
    <s v="  /  /  "/>
    <s v="sat290"/>
    <d v="2022-05-26T00:00:00"/>
    <s v="Sem rota"/>
    <n v="0"/>
    <m/>
    <n v="0"/>
    <m/>
    <n v="0"/>
    <s v="Logber - Colatina Es"/>
    <s v="CIF"/>
    <n v="20754.61"/>
    <n v="150006.76"/>
    <s v="junho_2022"/>
    <n v="20754.61"/>
  </r>
  <r>
    <n v="15908"/>
    <x v="10"/>
    <n v="6147451000132"/>
    <s v="Calamo Dist de Produtos de Beleza S.A"/>
    <s v="Curitiba"/>
    <s v="PR"/>
    <n v="25901"/>
    <s v="FLR1"/>
    <s v="O"/>
    <s v="FP"/>
    <s v="Envio de Material de Venda"/>
    <m/>
    <n v="4501196913"/>
    <d v="2022-04-13T00:00:00"/>
    <d v="2022-06-09T00:00:00"/>
    <d v="2022-04-13T00:00:00"/>
    <d v="2022-04-18T00:00:00"/>
    <n v="6324"/>
    <d v="2022-05-25T00:00:00"/>
    <n v="6866"/>
    <s v="                                        "/>
    <s v="  /  /  "/>
    <s v="sat257"/>
    <d v="2022-04-13T00:00:00"/>
    <s v="Sem rota"/>
    <n v="0"/>
    <m/>
    <n v="0"/>
    <m/>
    <n v="0"/>
    <s v="Logber - Colatina Es"/>
    <s v="CIF"/>
    <n v="0"/>
    <n v="-1844.29"/>
    <s v="junho_2022"/>
    <n v="0"/>
  </r>
  <r>
    <n v="15908"/>
    <x v="10"/>
    <n v="3002339014418"/>
    <s v="Maxmix Comercial Ltda"/>
    <s v="Cabreuva"/>
    <s v="SP"/>
    <n v="25687"/>
    <s v="PSL1"/>
    <s v="O"/>
    <s v="FP"/>
    <s v="Envio de Material de Venda"/>
    <m/>
    <n v="16205"/>
    <d v="2022-03-22T00:00:00"/>
    <d v="2022-06-09T00:00:00"/>
    <d v="2022-03-22T00:00:00"/>
    <d v="2022-04-05T00:00:00"/>
    <n v="6156"/>
    <d v="2022-04-05T00:00:00"/>
    <n v="6156"/>
    <s v="                                        "/>
    <s v="  /  /  "/>
    <s v="sat240"/>
    <d v="2022-03-22T00:00:00"/>
    <s v="Sem rota"/>
    <n v="0"/>
    <m/>
    <n v="0"/>
    <m/>
    <n v="0"/>
    <s v="Logber - Colatina Es"/>
    <s v="CIF"/>
    <n v="0"/>
    <n v="793.18"/>
    <s v="junho_2022"/>
    <n v="0"/>
  </r>
  <r>
    <n v="15910"/>
    <x v="11"/>
    <n v="7814284000107"/>
    <s v="Castelo Alimentos S.A"/>
    <s v="Jundiai"/>
    <s v="SP"/>
    <n v="25043"/>
    <s v="DRI2"/>
    <s v="V"/>
    <s v="PE"/>
    <s v="Normal"/>
    <s v="26508 06 B"/>
    <m/>
    <d v="2021-11-24T00:00:00"/>
    <d v="2022-06-09T00:00:00"/>
    <d v="2021-12-10T00:00:00"/>
    <s v="  /  /  "/>
    <n v="0"/>
    <s v="  /  /  "/>
    <n v="0"/>
    <s v="                                        "/>
    <s v="  /  /  "/>
    <s v="sa570"/>
    <d v="2021-12-15T00:00:00"/>
    <s v="Sem rota"/>
    <n v="0"/>
    <m/>
    <n v="0"/>
    <m/>
    <n v="0"/>
    <s v="Logber - Colatina Es"/>
    <s v="CIF"/>
    <n v="627.41999999999996"/>
    <n v="456758.32"/>
    <s v="junho_2022"/>
    <n v="627.41999999999996"/>
  </r>
  <r>
    <n v="15909"/>
    <x v="15"/>
    <n v="10970887007530"/>
    <s v="Fedex Brasil Logistica e Transporte S/A"/>
    <s v="Caxias do Sul"/>
    <s v="RS"/>
    <n v="26346"/>
    <m/>
    <s v="V"/>
    <s v="PE"/>
    <s v="Espelho de Nf"/>
    <n v="29149"/>
    <m/>
    <d v="2022-06-09T00:00:00"/>
    <d v="2022-06-09T00:00:00"/>
    <d v="2022-06-09T00:00:00"/>
    <s v="  /  /  "/>
    <n v="0"/>
    <s v="  /  /  "/>
    <n v="0"/>
    <s v="                                        "/>
    <s v="  /  /  "/>
    <m/>
    <s v="/  /"/>
    <s v="Sem rota"/>
    <n v="208"/>
    <s v="14 Ddf  S/juros"/>
    <n v="0"/>
    <m/>
    <n v="0"/>
    <s v="Logber - Colatina Es"/>
    <s v="CIF"/>
    <n v="0"/>
    <n v="366537.5"/>
    <s v="junho_2022"/>
    <n v="0"/>
  </r>
  <r>
    <n v="15063"/>
    <x v="23"/>
    <n v="9316105001605"/>
    <s v="Friovix Comercio de Refrigeracao Ltda"/>
    <s v="Extrema"/>
    <s v="MG"/>
    <n v="24646"/>
    <s v="PP2"/>
    <s v="V"/>
    <s v="FP"/>
    <s v="Normal"/>
    <s v="26156 02 D"/>
    <n v="1"/>
    <d v="2021-10-07T00:00:00"/>
    <d v="2022-06-09T00:00:00"/>
    <d v="2022-04-14T00:00:00"/>
    <d v="2022-02-28T00:00:00"/>
    <n v="5609"/>
    <d v="2022-05-30T00:00:00"/>
    <n v="6966"/>
    <s v="                                        "/>
    <s v="  /  /  "/>
    <s v="sa580"/>
    <d v="2021-12-21T00:00:00"/>
    <s v="Sem rota"/>
    <n v="0"/>
    <m/>
    <n v="0"/>
    <m/>
    <n v="0"/>
    <s v="Logber - Colatina Es"/>
    <s v="CIF"/>
    <n v="29892.66"/>
    <n v="438314.32"/>
    <s v="junho_2022"/>
    <n v="29892.66"/>
  </r>
  <r>
    <n v="15910"/>
    <x v="11"/>
    <n v="1438784006995"/>
    <s v="Leroy Merlin Cmp Brasileira de Bricolage"/>
    <s v="Cajamar"/>
    <s v="SP"/>
    <n v="25060"/>
    <s v="TRANSELEVADOR"/>
    <s v="V"/>
    <s v="FP"/>
    <s v="Normal"/>
    <s v="26376 02 F"/>
    <m/>
    <d v="2021-09-22T00:00:00"/>
    <d v="2022-06-09T00:00:00"/>
    <d v="2022-05-10T00:00:00"/>
    <d v="2022-05-13T00:00:00"/>
    <n v="6698"/>
    <d v="2022-05-28T00:00:00"/>
    <n v="6941"/>
    <s v="                                        "/>
    <s v="  /  /  "/>
    <s v="sa606"/>
    <d v="2022-02-02T00:00:00"/>
    <s v="Sem rota"/>
    <n v="0"/>
    <m/>
    <n v="0"/>
    <m/>
    <n v="0"/>
    <s v="Logber - Colatina Es"/>
    <s v="CIF"/>
    <n v="21180.14"/>
    <n v="1090037.3"/>
    <s v="junho_2022"/>
    <n v="21180.14"/>
  </r>
  <r>
    <n v="15020"/>
    <x v="7"/>
    <n v="140"/>
    <s v="Granja Avicola Integral Sofia Ltda"/>
    <s v="Santa Cruz de La Siera"/>
    <s v="EX"/>
    <n v="25380"/>
    <s v="PP1"/>
    <s v="V"/>
    <s v="PE"/>
    <s v="Normal"/>
    <s v="28304 00 A"/>
    <m/>
    <d v="2022-01-31T00:00:00"/>
    <d v="2022-06-10T00:00:00"/>
    <d v="2022-02-02T00:00:00"/>
    <s v="  /  /  "/>
    <n v="0"/>
    <s v="  /  /  "/>
    <n v="0"/>
    <s v="                                        "/>
    <s v="  /  /  "/>
    <s v="sa630"/>
    <d v="2022-02-11T00:00:00"/>
    <s v="Nit 1028779020"/>
    <n v="0"/>
    <m/>
    <n v="0"/>
    <m/>
    <n v="0"/>
    <m/>
    <s v="FCA"/>
    <n v="188.14"/>
    <n v="7213.19"/>
    <s v="junho_2022"/>
    <n v="188.14"/>
  </r>
  <r>
    <n v="15064"/>
    <x v="17"/>
    <n v="1838723032592"/>
    <s v="Brf S/A"/>
    <s v="Jundiai"/>
    <s v="SP"/>
    <n v="25525"/>
    <s v="PP3"/>
    <s v="V"/>
    <s v="PE"/>
    <s v="Normal"/>
    <s v="24207 03 G"/>
    <n v="105059059"/>
    <d v="2022-02-25T00:00:00"/>
    <d v="2022-06-10T00:00:00"/>
    <d v="2022-05-27T00:00:00"/>
    <s v="  /  /  "/>
    <n v="0"/>
    <s v="  /  /  "/>
    <n v="0"/>
    <s v="                                        "/>
    <s v="  /  /  "/>
    <s v="sa658"/>
    <d v="2022-03-09T00:00:00"/>
    <s v="Sem rota"/>
    <n v="482"/>
    <s v="150 DDF S/juros"/>
    <n v="0"/>
    <m/>
    <n v="0"/>
    <s v="Logber - Colatina Es"/>
    <s v="CIF"/>
    <n v="832.72"/>
    <n v="497045.5"/>
    <s v="junho_2022"/>
    <n v="832.72"/>
  </r>
  <r>
    <n v="15020"/>
    <x v="7"/>
    <n v="0"/>
    <s v="Cargill de Honduras de S.r.l."/>
    <s v="Tegucigalpa M.d.c. Honduras Ca"/>
    <s v="EX"/>
    <n v="25122"/>
    <s v="PSH1"/>
    <s v="V"/>
    <s v="PE"/>
    <s v="Normal"/>
    <s v="27526 02 D"/>
    <m/>
    <d v="2021-12-13T00:00:00"/>
    <d v="2022-06-10T00:00:00"/>
    <d v="2022-03-09T00:00:00"/>
    <s v="  /  /  "/>
    <n v="0"/>
    <s v="  /  /  "/>
    <n v="0"/>
    <s v="                                        "/>
    <s v="  /  /  "/>
    <s v="sa644"/>
    <d v="2022-02-23T00:00:00"/>
    <s v="Sem rota"/>
    <n v="0"/>
    <m/>
    <n v="0"/>
    <m/>
    <n v="0"/>
    <m/>
    <s v="CIF"/>
    <n v="9842.66"/>
    <n v="3741079.5"/>
    <s v="junho_2022"/>
    <n v="9842.66"/>
  </r>
  <r>
    <n v="15020"/>
    <x v="7"/>
    <n v="0"/>
    <s v="Cargill de Honduras de S.r.l."/>
    <s v="Tegucigalpa M.d.c. Honduras Ca"/>
    <s v="EX"/>
    <n v="25123"/>
    <s v="PP2"/>
    <s v="V"/>
    <s v="PE"/>
    <s v="Normal"/>
    <s v="27526 02 D"/>
    <m/>
    <d v="2021-12-13T00:00:00"/>
    <d v="2022-06-10T00:00:00"/>
    <d v="2022-03-09T00:00:00"/>
    <s v="  /  /  "/>
    <n v="0"/>
    <s v="  /  /  "/>
    <n v="0"/>
    <s v="                                        "/>
    <s v="  /  /  "/>
    <s v="sa646"/>
    <d v="2022-02-25T00:00:00"/>
    <s v="Sem rota"/>
    <n v="0"/>
    <m/>
    <n v="0"/>
    <m/>
    <n v="0"/>
    <m/>
    <s v="CIF"/>
    <n v="4710.5300000000007"/>
    <n v="1460537"/>
    <s v="junho_2022"/>
    <n v="4710.5300000000007"/>
  </r>
  <r>
    <n v="15062"/>
    <x v="1"/>
    <n v="55566871000592"/>
    <s v="Dan Vigor Industria e Com de Laticinios"/>
    <s v="Barra do Pirai"/>
    <s v="RJ"/>
    <n v="26221"/>
    <s v="DRI2"/>
    <s v="O"/>
    <s v="PE"/>
    <s v="Comercial / Pedido"/>
    <m/>
    <n v="2021989240"/>
    <d v="2022-05-26T00:00:00"/>
    <d v="2022-06-10T00:00:00"/>
    <d v="2022-05-31T00:00:00"/>
    <s v="  /  /  "/>
    <n v="0"/>
    <s v="  /  /  "/>
    <n v="0"/>
    <s v="                                        "/>
    <s v="  /  /  "/>
    <s v="sat293"/>
    <d v="2022-05-31T00:00:00"/>
    <s v="Sem rota"/>
    <n v="0"/>
    <m/>
    <n v="0"/>
    <m/>
    <n v="0"/>
    <s v="Logber - Colatina Es"/>
    <s v="CIF"/>
    <n v="1357.4099999999999"/>
    <n v="14043.03"/>
    <s v="junho_2022"/>
    <n v="1357.4099999999999"/>
  </r>
  <r>
    <n v="15066"/>
    <x v="18"/>
    <n v="43818780000194"/>
    <s v="Daycoval Leasing - Banco Multiplo S.A"/>
    <s v="Sao Paulo"/>
    <s v="SP"/>
    <n v="26262"/>
    <m/>
    <s v="V"/>
    <s v="PE"/>
    <s v="Normal"/>
    <s v="29672 03 D"/>
    <m/>
    <d v="2022-05-30T00:00:00"/>
    <d v="2022-06-10T00:00:00"/>
    <d v="2022-05-30T00:00:00"/>
    <s v="  /  /  "/>
    <n v="0"/>
    <s v="  /  /  "/>
    <n v="0"/>
    <s v="                                        "/>
    <s v="  /  /  "/>
    <m/>
    <s v="/  /"/>
    <s v="Sem rota"/>
    <n v="2011"/>
    <s v="Leasing"/>
    <n v="0"/>
    <m/>
    <n v="0"/>
    <m/>
    <s v="CIF"/>
    <n v="70687"/>
    <n v="1231567.28"/>
    <s v="junho_2022"/>
    <n v="70687"/>
  </r>
  <r>
    <n v="15067"/>
    <x v="3"/>
    <n v="3961151000447"/>
    <s v="Imd Comercio de Moveis Ltda"/>
    <s v="Navegantes"/>
    <s v="SC"/>
    <n v="25036"/>
    <s v="PP2"/>
    <s v="V"/>
    <s v="FP"/>
    <s v="Normal"/>
    <s v="27586 03 C"/>
    <m/>
    <d v="2021-12-01T00:00:00"/>
    <d v="2022-06-10T00:00:00"/>
    <d v="2021-12-14T00:00:00"/>
    <d v="2022-03-31T00:00:00"/>
    <n v="6114"/>
    <d v="2022-03-31T00:00:00"/>
    <n v="6116"/>
    <s v="                                        "/>
    <s v="  /  /  "/>
    <s v="sa588"/>
    <d v="2021-12-27T00:00:00"/>
    <s v="Sem rota"/>
    <n v="0"/>
    <m/>
    <n v="0"/>
    <m/>
    <n v="0"/>
    <s v="Logber - Colatina Es"/>
    <s v="CIF"/>
    <n v="4843.01"/>
    <n v="1674632.21"/>
    <s v="junho_2022"/>
    <n v="4843.01"/>
  </r>
  <r>
    <n v="15059"/>
    <x v="20"/>
    <n v="12680452001112"/>
    <s v="Platinum Log Armazens Ltda"/>
    <s v="Navegantes"/>
    <s v="SC"/>
    <n v="26318"/>
    <s v="PP1"/>
    <s v="O"/>
    <s v="PE"/>
    <s v="Comercial / Pedido"/>
    <m/>
    <m/>
    <d v="2022-06-06T00:00:00"/>
    <d v="2022-06-10T00:00:00"/>
    <d v="2022-06-07T00:00:00"/>
    <s v="  /  /  "/>
    <n v="0"/>
    <s v="  /  /  "/>
    <n v="0"/>
    <s v="                                        "/>
    <s v="  /  /  "/>
    <s v="sat295"/>
    <d v="2022-06-07T00:00:00"/>
    <s v="Sem rota"/>
    <n v="0"/>
    <m/>
    <n v="0"/>
    <m/>
    <n v="0"/>
    <s v="Logber - Colatina Es"/>
    <s v="CIF"/>
    <n v="0"/>
    <n v="166.23"/>
    <s v="junho_2022"/>
    <n v="0"/>
  </r>
  <r>
    <n v="15073"/>
    <x v="16"/>
    <n v="2229804000516"/>
    <s v="Platlog Imp Log e Distribuicao Ltda"/>
    <s v="Jundiai"/>
    <s v="SP"/>
    <n v="26274"/>
    <s v="PP1"/>
    <s v="V"/>
    <s v="PE"/>
    <s v="Normal"/>
    <s v="30118 00 A"/>
    <n v="723186"/>
    <d v="2022-05-31T00:00:00"/>
    <d v="2022-06-10T00:00:00"/>
    <d v="2022-05-31T00:00:00"/>
    <s v="  /  /  "/>
    <n v="0"/>
    <s v="  /  /  "/>
    <n v="0"/>
    <s v="                                        "/>
    <s v="  /  /  "/>
    <s v="sa750"/>
    <d v="2022-06-03T00:00:00"/>
    <s v="Sem rota"/>
    <n v="2000"/>
    <s v="28 DDF S/juros"/>
    <n v="0"/>
    <m/>
    <n v="0"/>
    <s v="Logber - Colatina Es"/>
    <s v="CIF"/>
    <n v="0"/>
    <n v="2065"/>
    <s v="junho_2022"/>
    <n v="0"/>
  </r>
  <r>
    <n v="15066"/>
    <x v="18"/>
    <n v="4423462000172"/>
    <s v="Poli Logistica Ltda"/>
    <s v="Uberlandia"/>
    <s v="MG"/>
    <n v="26127"/>
    <s v="PP1"/>
    <s v="O"/>
    <s v="PE"/>
    <s v="Normal"/>
    <s v="29672 03 D"/>
    <m/>
    <d v="2022-05-13T00:00:00"/>
    <d v="2022-06-10T00:00:00"/>
    <d v="2022-06-03T00:00:00"/>
    <s v="  /  /  "/>
    <n v="0"/>
    <s v="  /  /  "/>
    <n v="0"/>
    <s v="                                        "/>
    <s v="  /  /  "/>
    <s v="sa729"/>
    <d v="2022-05-18T00:00:00"/>
    <s v="Sem rota"/>
    <n v="2011"/>
    <s v="Leasing"/>
    <n v="0"/>
    <m/>
    <n v="0"/>
    <s v="Logber - Colatina Es"/>
    <s v="CIF"/>
    <n v="345.62"/>
    <n v="1231567.28"/>
    <s v="junho_2022"/>
    <n v="345.62"/>
  </r>
  <r>
    <n v="15059"/>
    <x v="20"/>
    <n v="1333984000276"/>
    <s v="Segala's Alimentos Ltda"/>
    <s v="Gaspar"/>
    <s v="SC"/>
    <n v="26240"/>
    <s v="PSH1"/>
    <s v="O"/>
    <s v="PE"/>
    <s v="Detalhamento"/>
    <m/>
    <m/>
    <d v="2022-05-27T00:00:00"/>
    <d v="2022-06-10T00:00:00"/>
    <d v="2022-05-27T00:00:00"/>
    <s v="  /  /  "/>
    <n v="0"/>
    <s v="  /  /  "/>
    <n v="0"/>
    <s v="                                        "/>
    <s v="  /  /  "/>
    <s v="sat291"/>
    <d v="2022-05-27T00:00:00"/>
    <s v="Sem rota"/>
    <n v="0"/>
    <m/>
    <n v="0"/>
    <m/>
    <n v="0"/>
    <s v="Logber - Colatina Es"/>
    <s v="CIF"/>
    <n v="0"/>
    <n v="520.1"/>
    <s v="junho_2022"/>
    <n v="0"/>
  </r>
  <r>
    <n v="15020"/>
    <x v="7"/>
    <n v="0"/>
    <s v="Apolo Import S.a."/>
    <s v="Ciudad Del Este"/>
    <s v="EX"/>
    <n v="26203"/>
    <s v="ANÁLISE TÉCNICA"/>
    <s v="V"/>
    <s v="PE"/>
    <s v="Normal"/>
    <s v="27247 00 B"/>
    <m/>
    <d v="2022-05-24T00:00:00"/>
    <d v="2022-06-13T00:00:00"/>
    <d v="2022-05-26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19561.2"/>
    <s v="junho_2022"/>
    <n v="0"/>
  </r>
  <r>
    <n v="15000"/>
    <x v="26"/>
    <n v="87556650001410"/>
    <s v="Bertolini S.A"/>
    <s v="Bento Goncalves"/>
    <s v="RS"/>
    <n v="26250"/>
    <m/>
    <s v="T"/>
    <s v="PE"/>
    <s v="Normal"/>
    <m/>
    <m/>
    <d v="2022-05-27T00:00:00"/>
    <d v="2022-06-13T00:00:00"/>
    <d v="2022-06-08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438.87"/>
    <n v="1.03"/>
    <s v="junho_2022"/>
    <n v="438.87"/>
  </r>
  <r>
    <n v="15910"/>
    <x v="11"/>
    <n v="1438784006995"/>
    <s v="Leroy Merlin Cmp Brasileira de Bricolage"/>
    <s v="Cajamar"/>
    <s v="SP"/>
    <n v="24502"/>
    <s v="TRANSELEVADOR"/>
    <s v="V"/>
    <s v="FP"/>
    <s v="Normal"/>
    <s v="26376 02 F"/>
    <m/>
    <d v="2021-09-22T00:00:00"/>
    <d v="2022-06-13T00:00:00"/>
    <d v="2022-05-10T00:00:00"/>
    <d v="2022-05-13T00:00:00"/>
    <n v="6696"/>
    <d v="2022-05-28T00:00:00"/>
    <n v="6940"/>
    <s v="                                        "/>
    <s v="  /  /  "/>
    <s v="sa604"/>
    <d v="2022-02-02T00:00:00"/>
    <s v="Sem rota"/>
    <n v="0"/>
    <m/>
    <n v="0"/>
    <m/>
    <n v="0"/>
    <s v="Logber - Colatina Es"/>
    <s v="CIF"/>
    <n v="26157.72"/>
    <n v="768412"/>
    <s v="junho_2022"/>
    <n v="26157.72"/>
  </r>
  <r>
    <n v="15062"/>
    <x v="1"/>
    <n v="68915891003408"/>
    <s v="Technip Brasil Eng Inst e Apoio Maritimo"/>
    <s v="Macae"/>
    <s v="RJ"/>
    <n v="25434"/>
    <s v="PP3"/>
    <s v="V"/>
    <s v="PE"/>
    <s v="Normal"/>
    <s v="27799 02 C"/>
    <s v="432497TC1"/>
    <d v="2022-02-10T00:00:00"/>
    <d v="2022-06-13T00:00:00"/>
    <d v="2022-02-10T00:00:00"/>
    <s v="  /  /  "/>
    <n v="0"/>
    <s v="  /  /  "/>
    <n v="0"/>
    <s v="                                        "/>
    <s v="  /  /  "/>
    <s v="sa650"/>
    <d v="2022-03-01T00:00:00"/>
    <s v="Sem rota"/>
    <n v="13"/>
    <s v="45 Ddf S/j"/>
    <n v="0"/>
    <m/>
    <n v="0"/>
    <s v="Logber - Colatina Es"/>
    <s v="CIF"/>
    <n v="626.49"/>
    <n v="64196.72"/>
    <s v="junho_2022"/>
    <n v="626.49"/>
  </r>
  <r>
    <n v="15910"/>
    <x v="11"/>
    <n v="6053214000102"/>
    <s v="Toyota Mat Hald Merc Ind e Com de Equip"/>
    <s v="Sao Bernardo do Campo"/>
    <s v="SP"/>
    <n v="25653"/>
    <s v="PP3"/>
    <s v="O"/>
    <s v="PE"/>
    <s v="Comercial / Pedido"/>
    <m/>
    <n v="217220"/>
    <d v="2022-03-17T00:00:00"/>
    <d v="2022-06-14T00:00:00"/>
    <d v="2022-03-17T00:00:00"/>
    <s v="  /  /  "/>
    <n v="0"/>
    <s v="  /  /  "/>
    <n v="0"/>
    <s v="                                        "/>
    <s v="  /  /  "/>
    <s v="sat234"/>
    <d v="2022-03-17T00:00:00"/>
    <s v="Sem rota"/>
    <n v="0"/>
    <m/>
    <n v="0"/>
    <m/>
    <n v="0"/>
    <s v="Logber - Colatina Es"/>
    <s v="CIF"/>
    <n v="0"/>
    <n v="1503.32"/>
    <s v="junho_2022"/>
    <n v="0"/>
  </r>
  <r>
    <n v="15909"/>
    <x v="15"/>
    <n v="11137051040641"/>
    <s v="Boticário Produtos de Beleza Ltda."/>
    <s v="Registro"/>
    <s v="SP"/>
    <n v="26728"/>
    <s v="SERVIÇO"/>
    <s v="V"/>
    <s v="PE"/>
    <s v="Normal"/>
    <s v="29767 00 B"/>
    <m/>
    <d v="2022-05-31T00:00:00"/>
    <d v="2022-06-15T00:00:00"/>
    <d v="2022-05-31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m/>
    <s v="CIF"/>
    <n v="0"/>
    <n v="170000"/>
    <s v="junho_2022"/>
    <n v="0"/>
  </r>
  <r>
    <n v="15073"/>
    <x v="16"/>
    <n v="382468003375"/>
    <s v="Colgate Palmolive Comercial Ltda"/>
    <s v="Sao Bernardo do Campo"/>
    <s v="SP"/>
    <n v="26330"/>
    <s v="SERVIÇO"/>
    <s v="V"/>
    <s v="PE"/>
    <s v="Normal"/>
    <s v="30181 00 A"/>
    <n v="8500253443"/>
    <d v="2022-06-08T00:00:00"/>
    <d v="2022-06-15T00:00:00"/>
    <d v="2022-06-09T00:00:00"/>
    <s v="  /  /  "/>
    <n v="0"/>
    <s v="  /  /  "/>
    <n v="0"/>
    <s v="                                        "/>
    <s v="  /  /  "/>
    <m/>
    <s v="/  /"/>
    <s v="Sem rota"/>
    <n v="1217"/>
    <s v="58 Ddf Sem Juros"/>
    <n v="0"/>
    <m/>
    <n v="0"/>
    <m/>
    <s v="CIF"/>
    <n v="0"/>
    <n v="21000"/>
    <s v="junho_2022"/>
    <n v="0"/>
  </r>
  <r>
    <n v="15070"/>
    <x v="14"/>
    <n v="77595395005025"/>
    <s v="Frimesa Cooperativa Central"/>
    <s v="Assis Chateaubriand"/>
    <s v="PR"/>
    <n v="23505"/>
    <s v="DRI2"/>
    <s v="V"/>
    <s v="FP"/>
    <s v="Normal"/>
    <s v="22593 09 H"/>
    <n v="2260950"/>
    <d v="2021-03-25T00:00:00"/>
    <d v="2022-06-15T00:00:00"/>
    <d v="2022-05-17T00:00:00"/>
    <d v="2022-05-17T00:00:00"/>
    <n v="6767"/>
    <d v="2022-06-07T00:00:00"/>
    <n v="7078"/>
    <s v="                                        "/>
    <s v="  /  /  "/>
    <s v="sa302"/>
    <d v="2021-05-14T00:00:00"/>
    <s v="Sem rota"/>
    <n v="0"/>
    <m/>
    <n v="0"/>
    <m/>
    <n v="0"/>
    <s v="Logber - Colatina Es"/>
    <s v="CIF"/>
    <n v="28003.429999999997"/>
    <n v="926250.65"/>
    <s v="junho_2022"/>
    <n v="28003.429999999997"/>
  </r>
  <r>
    <n v="15910"/>
    <x v="11"/>
    <n v="1438784006995"/>
    <s v="Leroy Merlin Cmp Brasileira de Bricolage"/>
    <s v="Cajamar"/>
    <s v="SP"/>
    <n v="25061"/>
    <s v="TRANSELEVADOR"/>
    <s v="V"/>
    <s v="FP"/>
    <s v="Normal"/>
    <s v="26376 02 F"/>
    <m/>
    <d v="2021-09-22T00:00:00"/>
    <d v="2022-06-15T00:00:00"/>
    <d v="2022-02-01T00:00:00"/>
    <d v="2022-05-26T00:00:00"/>
    <n v="6905"/>
    <d v="2022-05-31T00:00:00"/>
    <n v="6994"/>
    <s v="                                        "/>
    <s v="  /  /  "/>
    <s v="sa607"/>
    <d v="2022-02-02T00:00:00"/>
    <s v="Sem rota"/>
    <n v="0"/>
    <m/>
    <n v="0"/>
    <m/>
    <n v="0"/>
    <s v="Logber - Colatina Es"/>
    <s v="CIF"/>
    <n v="42572.61"/>
    <n v="2258819.9700000002"/>
    <s v="junho_2022"/>
    <n v="42572.61"/>
  </r>
  <r>
    <n v="15910"/>
    <x v="11"/>
    <n v="1438784006995"/>
    <s v="Leroy Merlin Cmp Brasileira de Bricolage"/>
    <s v="Cajamar"/>
    <s v="SP"/>
    <n v="25062"/>
    <s v="TRANSELEVADOR"/>
    <s v="V"/>
    <s v="FP"/>
    <s v="Normal"/>
    <s v="26376 02 F"/>
    <m/>
    <d v="2021-09-22T00:00:00"/>
    <d v="2022-06-15T00:00:00"/>
    <d v="2022-02-01T00:00:00"/>
    <d v="2022-05-26T00:00:00"/>
    <n v="6903"/>
    <d v="2022-05-28T00:00:00"/>
    <n v="6943"/>
    <s v="                                        "/>
    <s v="  /  /  "/>
    <s v="sa608"/>
    <d v="2022-02-02T00:00:00"/>
    <s v="Sem rota"/>
    <n v="0"/>
    <m/>
    <n v="0"/>
    <m/>
    <n v="0"/>
    <s v="Logber - Colatina Es"/>
    <s v="CIF"/>
    <n v="95073.43"/>
    <n v="2386938.33"/>
    <s v="junho_2022"/>
    <n v="95073.43"/>
  </r>
  <r>
    <n v="15908"/>
    <x v="10"/>
    <n v="577604000448"/>
    <s v="Medchap Distr de Medicamentos Chapeco Lt"/>
    <s v="Sao Jose dos Pinhais"/>
    <s v="PR"/>
    <n v="26265"/>
    <s v="PP1"/>
    <s v="O"/>
    <s v="PE"/>
    <s v="Detalhamento"/>
    <m/>
    <m/>
    <d v="2022-05-30T00:00:00"/>
    <d v="2022-06-15T00:00:00"/>
    <d v="2022-06-02T00:00:00"/>
    <s v="  /  /  "/>
    <n v="0"/>
    <s v="  /  /  "/>
    <n v="0"/>
    <s v="                                        "/>
    <s v="  /  /  "/>
    <s v="sat294"/>
    <d v="2022-06-02T00:00:00"/>
    <s v="Sem rota"/>
    <n v="0"/>
    <m/>
    <n v="0"/>
    <m/>
    <n v="0"/>
    <s v="Logber - Colatina Es"/>
    <s v="CIF"/>
    <n v="0"/>
    <n v="350"/>
    <s v="junho_2022"/>
    <n v="0"/>
  </r>
  <r>
    <n v="15052"/>
    <x v="25"/>
    <n v="18631739002968"/>
    <s v="Neovia Nutricao e Saude Animal Ltda."/>
    <s v="Descalvado"/>
    <s v="SP"/>
    <n v="26312"/>
    <s v="ANÁLISE TÉCNICA"/>
    <s v="V"/>
    <s v="PE"/>
    <s v="Normal"/>
    <s v="22659 00 B"/>
    <m/>
    <d v="2022-06-03T00:00:00"/>
    <d v="2022-06-15T00:00:00"/>
    <d v="2022-06-03T00:00:00"/>
    <s v="  /  /  "/>
    <n v="0"/>
    <s v="  /  /  "/>
    <n v="0"/>
    <s v="                                        "/>
    <s v="  /  /  "/>
    <m/>
    <s v="/  /"/>
    <s v="Sem rota"/>
    <n v="879"/>
    <s v="60 Ddf S/j"/>
    <n v="0"/>
    <m/>
    <n v="0"/>
    <m/>
    <s v="CIF"/>
    <n v="0"/>
    <n v="13346"/>
    <s v="junho_2022"/>
    <n v="0"/>
  </r>
  <r>
    <n v="15059"/>
    <x v="20"/>
    <n v="7175725001484"/>
    <s v="Weg Equipamentos Eletricos S/A"/>
    <s v="Blumenau"/>
    <s v="SC"/>
    <n v="25522"/>
    <s v="PP3"/>
    <s v="V"/>
    <s v="PE"/>
    <s v="Normal"/>
    <s v="28546 01 B"/>
    <n v="4512525877"/>
    <d v="2022-02-24T00:00:00"/>
    <d v="2022-06-15T00:00:00"/>
    <d v="2022-02-24T00:00:00"/>
    <s v="  /  /  "/>
    <n v="0"/>
    <s v="  /  /  "/>
    <n v="0"/>
    <s v="                                        "/>
    <s v="  /  /  "/>
    <s v="sa655"/>
    <d v="2022-03-08T00:00:00"/>
    <s v="Sem rota"/>
    <n v="2000"/>
    <s v="28 DDF S/juros"/>
    <n v="0"/>
    <m/>
    <n v="0"/>
    <s v="Logber - Colatina Es"/>
    <s v="CIF"/>
    <n v="15.77"/>
    <n v="2053.64"/>
    <s v="junho_2022"/>
    <n v="15.77"/>
  </r>
  <r>
    <n v="15079"/>
    <x v="27"/>
    <n v="22902554000117"/>
    <s v="Mineracao Morro do Ipe S.A"/>
    <s v="Brumadinho"/>
    <s v="MG"/>
    <n v="25794"/>
    <s v="PP3"/>
    <s v="V"/>
    <s v="PE"/>
    <s v="Normal"/>
    <s v="28629 01 C"/>
    <s v="PC010229"/>
    <d v="2022-03-31T00:00:00"/>
    <d v="2022-06-16T00:00:00"/>
    <d v="2022-04-05T00:00:00"/>
    <s v="  /  /  "/>
    <n v="0"/>
    <s v="  /  /  "/>
    <n v="0"/>
    <s v="                                        "/>
    <s v="  /  /  "/>
    <s v="sa685"/>
    <d v="2022-04-07T00:00:00"/>
    <s v="Sem rota"/>
    <n v="44"/>
    <s v="30 DDF S/juros"/>
    <n v="0"/>
    <m/>
    <n v="0"/>
    <m/>
    <s v="CIF"/>
    <n v="2380.81"/>
    <n v="104091.38"/>
    <s v="junho_2022"/>
    <n v="2380.81"/>
  </r>
  <r>
    <n v="15908"/>
    <x v="10"/>
    <n v="6147451000132"/>
    <s v="Calamo Dist de Produtos de Beleza S.A"/>
    <s v="Curitiba"/>
    <s v="PR"/>
    <n v="26319"/>
    <s v="psl3"/>
    <s v="O"/>
    <s v="PE"/>
    <s v="Causas Nao Identificadas"/>
    <m/>
    <m/>
    <d v="2022-06-07T00:00:00"/>
    <d v="2022-06-17T00:00:00"/>
    <d v="2022-06-09T00:00:00"/>
    <s v="  /  /  "/>
    <n v="0"/>
    <s v="  /  /  "/>
    <n v="0"/>
    <s v="                                        "/>
    <s v="  /  /  "/>
    <s v="sat296"/>
    <d v="2022-06-09T00:00:00"/>
    <s v="Sem rota"/>
    <n v="0"/>
    <m/>
    <n v="0"/>
    <m/>
    <n v="0"/>
    <s v="Logber - Colatina Es"/>
    <s v="CIF"/>
    <s v=""/>
    <n v="11853.1"/>
    <s v="junho_2022"/>
    <s v=""/>
  </r>
  <r>
    <n v="15063"/>
    <x v="23"/>
    <n v="27942085003956"/>
    <s v="Coopeavi - Coop Agropecuaria Centro Serr"/>
    <s v="Ibiracu"/>
    <s v="ES"/>
    <n v="25458"/>
    <s v="PP1"/>
    <s v="V"/>
    <s v="PE"/>
    <s v="Normal"/>
    <s v="28556 01 B"/>
    <m/>
    <d v="2022-02-14T00:00:00"/>
    <d v="2022-06-17T00:00:00"/>
    <d v="2022-03-08T00:00:00"/>
    <s v="  /  /  "/>
    <n v="0"/>
    <s v="  /  /  "/>
    <n v="0"/>
    <s v="                                        "/>
    <s v="  /  /  "/>
    <s v="sa658"/>
    <d v="2022-03-09T00:00:00"/>
    <s v="Sem rota"/>
    <n v="0"/>
    <m/>
    <n v="0"/>
    <m/>
    <n v="0"/>
    <s v="Logber - Colatina Es"/>
    <s v="CIF"/>
    <n v="846.52"/>
    <n v="62250"/>
    <s v="junho_2022"/>
    <n v="846.52"/>
  </r>
  <r>
    <n v="15000"/>
    <x v="26"/>
    <n v="87556650001410"/>
    <s v="Bertolini S.A"/>
    <s v="Bento Goncalves"/>
    <s v="RS"/>
    <n v="26316"/>
    <m/>
    <s v="O"/>
    <s v="PE"/>
    <s v="Normal"/>
    <m/>
    <m/>
    <d v="2022-06-03T00:00:00"/>
    <d v="2022-06-17T00:00:00"/>
    <d v="2022-06-03T00:00:00"/>
    <s v="  /  /  "/>
    <n v="0"/>
    <s v="  /  /  "/>
    <n v="0"/>
    <s v="                                        "/>
    <s v="  /  /  "/>
    <s v="sa752"/>
    <d v="2022-06-06T00:00:00"/>
    <s v="Sem rota"/>
    <n v="0"/>
    <m/>
    <n v="0"/>
    <m/>
    <n v="0"/>
    <s v="Logber"/>
    <s v="CIF"/>
    <n v="0"/>
    <n v="1.03"/>
    <s v="junho_2022"/>
    <n v="0"/>
  </r>
  <r>
    <n v="15062"/>
    <x v="1"/>
    <n v="2385669000174"/>
    <s v="Fiotec Fund P Des Cient Tecnol Em Saude"/>
    <s v="Rio de Janeiro"/>
    <s v="RJ"/>
    <n v="25806"/>
    <s v="PP3"/>
    <s v="V"/>
    <s v="PE"/>
    <s v="Normal"/>
    <s v="26792 03 I"/>
    <n v="4500313614"/>
    <d v="2022-03-31T00:00:00"/>
    <d v="2022-06-17T00:00:00"/>
    <d v="2022-05-06T00:00:00"/>
    <s v="  /  /  "/>
    <n v="0"/>
    <s v="  /  /  "/>
    <n v="0"/>
    <s v="                                        "/>
    <s v="  /  /  "/>
    <s v="sa706"/>
    <d v="2022-05-06T00:00:00"/>
    <s v="Sem rota"/>
    <n v="44"/>
    <s v="30 DDF S/juros"/>
    <n v="0"/>
    <m/>
    <n v="0"/>
    <m/>
    <s v="CIF"/>
    <n v="2224.5299999999997"/>
    <n v="122491.81"/>
    <s v="junho_2022"/>
    <n v="2224.5299999999997"/>
  </r>
  <r>
    <n v="15051"/>
    <x v="13"/>
    <n v="76204130000108"/>
    <s v="Fospar S.A"/>
    <s v="Paranagua"/>
    <s v="PR"/>
    <n v="25456"/>
    <s v="PP1"/>
    <s v="V"/>
    <s v="PE"/>
    <s v="Normal"/>
    <s v="28583 01 A"/>
    <n v="5000204287"/>
    <d v="2022-02-14T00:00:00"/>
    <d v="2022-06-17T00:00:00"/>
    <d v="2022-02-25T00:00:00"/>
    <s v="  /  /  "/>
    <n v="0"/>
    <s v="  /  /  "/>
    <n v="0"/>
    <s v="                                        "/>
    <s v="  /  /  "/>
    <s v="sa647"/>
    <d v="2022-03-01T00:00:00"/>
    <s v="Sem rota"/>
    <n v="2000"/>
    <s v="28 DDF S/juros"/>
    <n v="0"/>
    <m/>
    <n v="0"/>
    <s v="Logber - Colatina Es"/>
    <s v="CIF"/>
    <s v=""/>
    <n v="46462.5"/>
    <s v="junho_2022"/>
    <s v=""/>
  </r>
  <r>
    <n v="15059"/>
    <x v="20"/>
    <n v="18252904000170"/>
    <s v="Health Care &amp; Dubebe Com Imp Exp Prod Hi"/>
    <s v="Tijucas"/>
    <s v="SC"/>
    <n v="25645"/>
    <s v="PP2"/>
    <s v="V"/>
    <s v="PE"/>
    <s v="Normal"/>
    <s v="28904 02 C"/>
    <m/>
    <d v="2022-03-16T00:00:00"/>
    <d v="2022-06-17T00:00:00"/>
    <d v="2022-03-17T00:00:00"/>
    <s v="  /  /  "/>
    <n v="0"/>
    <s v="  /  /  "/>
    <n v="0"/>
    <s v="                                        "/>
    <s v="  /  /  "/>
    <s v="sa677"/>
    <d v="2022-03-29T00:00:00"/>
    <s v="Sem rota"/>
    <n v="0"/>
    <m/>
    <n v="0"/>
    <m/>
    <n v="0"/>
    <s v="Logber - Colatina Es"/>
    <s v="CIF"/>
    <n v="4108.95"/>
    <n v="157017.44"/>
    <s v="junho_2022"/>
    <n v="4108.95"/>
  </r>
  <r>
    <n v="15057"/>
    <x v="0"/>
    <n v="92702158000121"/>
    <s v="Ivacir Barp e Cia Ltda"/>
    <s v="Sao Gabriel"/>
    <s v="RS"/>
    <n v="25547"/>
    <s v="PP1"/>
    <s v="V"/>
    <s v="PE"/>
    <s v="Normal"/>
    <s v="28587 02 C"/>
    <m/>
    <d v="2022-02-28T00:00:00"/>
    <d v="2022-06-17T00:00:00"/>
    <d v="2022-03-03T00:00:00"/>
    <s v="  /  /  "/>
    <n v="0"/>
    <s v="  /  /  "/>
    <n v="0"/>
    <s v="                                        "/>
    <s v="  /  /  "/>
    <s v="sa655"/>
    <d v="2022-03-08T00:00:00"/>
    <s v="Sem rota"/>
    <n v="2235"/>
    <s v="50% Conf e Saldo 28ddf"/>
    <n v="0"/>
    <m/>
    <n v="0"/>
    <s v="Logber - Colatina Es"/>
    <s v="CIF"/>
    <n v="1974.1"/>
    <n v="91624.05"/>
    <s v="junho_2022"/>
    <n v="1974.1"/>
  </r>
  <r>
    <n v="15081"/>
    <x v="28"/>
    <n v="3623218000271"/>
    <s v="Mercado do Sabor Comercio de Alimentos"/>
    <s v="Fortaleza"/>
    <s v="CE"/>
    <n v="26018"/>
    <s v="PP2"/>
    <s v="V"/>
    <s v="PE"/>
    <s v="Normal"/>
    <s v="29477 02 C"/>
    <m/>
    <d v="2022-04-29T00:00:00"/>
    <d v="2022-06-17T00:00:00"/>
    <d v="2022-06-02T00:00:00"/>
    <s v="  /  /  "/>
    <n v="0"/>
    <s v="  /  /  "/>
    <n v="0"/>
    <s v="                                        "/>
    <s v="  /  /  "/>
    <s v="sa710"/>
    <d v="2022-05-05T00:00:00"/>
    <s v="Sem rota"/>
    <n v="0"/>
    <m/>
    <n v="0"/>
    <m/>
    <n v="0"/>
    <m/>
    <s v="FOB"/>
    <n v="17879.89"/>
    <n v="400610"/>
    <s v="junho_2022"/>
    <n v="17879.89"/>
  </r>
  <r>
    <n v="15070"/>
    <x v="14"/>
    <n v="76795418000102"/>
    <s v="Recco, Recco &amp; Cia Ltda"/>
    <s v="Maringa"/>
    <s v="PR"/>
    <n v="26340"/>
    <s v="PP2"/>
    <s v="O"/>
    <s v="PE"/>
    <s v="Fabrica / Separacao"/>
    <m/>
    <m/>
    <d v="2022-06-09T00:00:00"/>
    <d v="2022-06-17T00:00:00"/>
    <d v="2022-06-09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15"/>
    <n v="108.41"/>
    <s v="junho_2022"/>
    <n v="15"/>
  </r>
  <r>
    <n v="15910"/>
    <x v="11"/>
    <n v="8969770000159"/>
    <s v="Rio Quality Com.de Alimentos Ltda"/>
    <s v="Rio de Janeiro"/>
    <s v="RJ"/>
    <n v="26286"/>
    <s v="PP1"/>
    <s v="V"/>
    <s v="PE"/>
    <s v="Normal"/>
    <s v="29867 00 A"/>
    <m/>
    <d v="2022-05-31T00:00:00"/>
    <d v="2022-06-17T00:00:00"/>
    <d v="2022-06-09T00:00:00"/>
    <s v="  /  /  "/>
    <n v="0"/>
    <s v="  /  /  "/>
    <n v="0"/>
    <s v="                                        "/>
    <s v="  /  /  "/>
    <s v="sa756"/>
    <d v="2022-06-07T00:00:00"/>
    <s v="Sem rota"/>
    <n v="2257"/>
    <s v="40% Conf/30%14ddf/saldo28ddf"/>
    <n v="0"/>
    <m/>
    <n v="0"/>
    <m/>
    <s v="CIF"/>
    <n v="0"/>
    <n v="17469.900000000001"/>
    <s v="junho_2022"/>
    <n v="0"/>
  </r>
  <r>
    <n v="15063"/>
    <x v="23"/>
    <n v="8237002006060"/>
    <s v="Sk Automotive Distribuidora de Autopecas"/>
    <s v="Viana"/>
    <s v="ES"/>
    <n v="26016"/>
    <s v="PP1"/>
    <s v="V"/>
    <s v="PE"/>
    <s v="Normal"/>
    <s v="29077 02 C"/>
    <n v="2513058"/>
    <d v="2022-04-28T00:00:00"/>
    <d v="2022-06-17T00:00:00"/>
    <d v="2022-04-28T00:00:00"/>
    <s v="  /  /  "/>
    <n v="0"/>
    <s v="  /  /  "/>
    <n v="0"/>
    <s v="                                        "/>
    <s v="  /  /  "/>
    <s v="sa705"/>
    <d v="2022-05-03T00:00:00"/>
    <s v="Sem rota"/>
    <n v="44"/>
    <s v="30 DDF S/juros"/>
    <n v="0"/>
    <m/>
    <n v="0"/>
    <s v="Logber - Colatina Es"/>
    <s v="CIF"/>
    <n v="36822.43"/>
    <n v="639117.5"/>
    <s v="junho_2022"/>
    <n v="36822.43"/>
  </r>
  <r>
    <n v="15063"/>
    <x v="23"/>
    <n v="8237002002901"/>
    <s v="Sk Automotive Distribuidora de Autopecas"/>
    <s v="Sao Jose"/>
    <s v="SC"/>
    <n v="26024"/>
    <s v="PP1"/>
    <s v="V"/>
    <s v="PE"/>
    <s v="Normal"/>
    <s v="29385 01 A"/>
    <n v="2523062"/>
    <d v="2022-04-29T00:00:00"/>
    <d v="2022-06-17T00:00:00"/>
    <d v="2022-04-29T00:00:00"/>
    <s v="  /  /  "/>
    <n v="0"/>
    <s v="  /  /  "/>
    <n v="0"/>
    <s v="                                        "/>
    <s v="  /  /  "/>
    <s v="sa710"/>
    <d v="2022-05-05T00:00:00"/>
    <s v="Sem rota"/>
    <n v="44"/>
    <s v="30 DDF S/juros"/>
    <n v="0"/>
    <m/>
    <n v="0"/>
    <m/>
    <s v="CIF"/>
    <n v="2486.9699999999998"/>
    <n v="70277.08"/>
    <s v="junho_2022"/>
    <n v="2486.9699999999998"/>
  </r>
  <r>
    <n v="15057"/>
    <x v="0"/>
    <n v="79687588000153"/>
    <s v="Videplast Industria de Embalagens Ltda"/>
    <s v="Videira"/>
    <s v="SC"/>
    <n v="24949"/>
    <s v="PP3"/>
    <s v="V"/>
    <s v="FP"/>
    <s v="Normal"/>
    <s v="17664 04 F"/>
    <n v="4500171674"/>
    <d v="2021-11-19T00:00:00"/>
    <d v="2022-06-17T00:00:00"/>
    <d v="2022-05-27T00:00:00"/>
    <d v="2022-05-27T00:00:00"/>
    <n v="6913"/>
    <d v="2022-05-27T00:00:00"/>
    <n v="6917"/>
    <s v="                                        "/>
    <s v="  /  /  "/>
    <s v="sa631"/>
    <d v="2022-02-11T00:00:00"/>
    <s v="Sem rota"/>
    <n v="0"/>
    <m/>
    <n v="0"/>
    <m/>
    <n v="0"/>
    <s v="Logber - Colatina Es"/>
    <s v="CIF"/>
    <n v="1020.64"/>
    <n v="119134.62"/>
    <s v="junho_2022"/>
    <n v="1020.64"/>
  </r>
  <r>
    <n v="15909"/>
    <x v="15"/>
    <n v="92754738047983"/>
    <s v="Lojas Renner S.A"/>
    <s v="Cabreuva"/>
    <s v="SP"/>
    <n v="26264"/>
    <m/>
    <s v="O"/>
    <s v="FP"/>
    <s v="Coleta de Material"/>
    <m/>
    <m/>
    <d v="2022-05-30T00:00:00"/>
    <d v="2022-06-20T00:00:00"/>
    <d v="2022-06-03T00:00:00"/>
    <d v="2022-06-03T00:00:00"/>
    <n v="7048"/>
    <d v="2022-06-03T00:00:00"/>
    <n v="7048"/>
    <s v="                                        "/>
    <s v="  /  /  "/>
    <m/>
    <s v="/  /"/>
    <s v="Sem rota"/>
    <n v="0"/>
    <m/>
    <n v="0"/>
    <m/>
    <n v="0"/>
    <s v="Logber - Colatina Es"/>
    <s v="CIF"/>
    <n v="0"/>
    <n v="159750"/>
    <s v="junho_2022"/>
    <n v="0"/>
  </r>
  <r>
    <n v="15020"/>
    <x v="7"/>
    <n v="0"/>
    <s v="Feral S.a."/>
    <s v="Montevideo"/>
    <s v="EX"/>
    <n v="25887"/>
    <s v="PP2"/>
    <s v="O"/>
    <s v="PE"/>
    <s v="Fabrica / Separacao"/>
    <m/>
    <m/>
    <d v="2022-04-11T00:00:00"/>
    <d v="2022-06-21T00:00:00"/>
    <d v="2022-04-14T00:00:00"/>
    <s v="  /  /  "/>
    <n v="0"/>
    <s v="  /  /  "/>
    <n v="0"/>
    <s v="                                        "/>
    <s v="  /  /  "/>
    <s v="sat254"/>
    <d v="2022-04-29T00:00:00"/>
    <s v="Sem rota"/>
    <n v="0"/>
    <m/>
    <n v="0"/>
    <m/>
    <n v="0"/>
    <m/>
    <s v="CIF"/>
    <n v="649.20000000000005"/>
    <n v="6269.36"/>
    <s v="junho_2022"/>
    <n v="649.20000000000005"/>
  </r>
  <r>
    <n v="15907"/>
    <x v="8"/>
    <n v="8380701000105"/>
    <s v="Unimed Natal Sociedade Coop de Trab Medi"/>
    <s v="Natal"/>
    <s v="RN"/>
    <n v="26332"/>
    <s v="PP3"/>
    <s v="O"/>
    <s v="PE"/>
    <s v="Logistica"/>
    <m/>
    <m/>
    <d v="2022-06-08T00:00:00"/>
    <d v="2022-06-22T00:00:00"/>
    <d v="2022-06-09T00:00:00"/>
    <s v="  /  /  "/>
    <n v="0"/>
    <s v="  /  /  "/>
    <n v="0"/>
    <s v="                                        "/>
    <s v="  /  /  "/>
    <s v="sat296"/>
    <d v="2022-06-09T00:00:00"/>
    <s v="Sem rota"/>
    <n v="0"/>
    <m/>
    <n v="0"/>
    <m/>
    <n v="0"/>
    <s v="Logber - Colatina Es"/>
    <s v="CIF"/>
    <s v=""/>
    <n v="10458.4"/>
    <s v="junho_2022"/>
    <s v=""/>
  </r>
  <r>
    <n v="15066"/>
    <x v="18"/>
    <n v="64858525003756"/>
    <s v="Monsanto do Brasil Ltda"/>
    <s v="Itai"/>
    <s v="SP"/>
    <n v="26031"/>
    <s v="DRI1"/>
    <s v="O"/>
    <s v="PE"/>
    <s v="Envio de Material de Venda"/>
    <m/>
    <n v="6500480179"/>
    <d v="2022-04-29T00:00:00"/>
    <d v="2022-06-23T00:00:00"/>
    <d v="2022-05-02T00:00:00"/>
    <s v="  /  /  "/>
    <n v="0"/>
    <s v="  /  /  "/>
    <n v="0"/>
    <s v="                                        "/>
    <s v="  /  /  "/>
    <s v="sat265"/>
    <d v="2022-05-02T00:00:00"/>
    <s v="Sem rota"/>
    <n v="0"/>
    <m/>
    <n v="0"/>
    <m/>
    <n v="0"/>
    <s v="Logber - Colatina Es"/>
    <s v="CIF"/>
    <n v="10678.97"/>
    <n v="80442.080000000002"/>
    <s v="junho_2022"/>
    <n v="10678.97"/>
  </r>
  <r>
    <n v="15055"/>
    <x v="4"/>
    <n v="12423997000171"/>
    <s v="Up Distribuidora de Prod Descartaveis Lt"/>
    <s v="Rio Largo"/>
    <s v="AL"/>
    <n v="25690"/>
    <s v="PP1"/>
    <s v="V"/>
    <s v="PE"/>
    <s v="Normal"/>
    <s v="28810 01 B"/>
    <m/>
    <d v="2022-03-22T00:00:00"/>
    <d v="2022-06-23T00:00:00"/>
    <d v="2022-03-22T00:00:00"/>
    <s v="  /  /  "/>
    <n v="0"/>
    <s v="  /  /  "/>
    <n v="0"/>
    <s v="                                        "/>
    <s v="  /  /  "/>
    <s v="sa677"/>
    <d v="2022-03-29T00:00:00"/>
    <s v="Sem rota"/>
    <n v="2163"/>
    <s v="25%conf./saldo 30/60/90 Ddf"/>
    <n v="0"/>
    <m/>
    <n v="0"/>
    <s v="Logber - Colatina Es"/>
    <s v="CIF"/>
    <n v="5841.4699999999993"/>
    <n v="270225.90000000002"/>
    <s v="junho_2022"/>
    <n v="5841.4699999999993"/>
  </r>
  <r>
    <n v="15000"/>
    <x v="26"/>
    <n v="87556650001500"/>
    <s v="Bertolini S.A"/>
    <s v="Colatina"/>
    <s v="ES"/>
    <n v="26344"/>
    <m/>
    <s v="T"/>
    <s v="PE"/>
    <s v="Normal"/>
    <s v="29167 01"/>
    <m/>
    <d v="2022-06-09T00:00:00"/>
    <d v="2022-06-24T00:00:00"/>
    <d v="2022-06-09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7693"/>
    <n v="112542.5"/>
    <s v="junho_2022"/>
    <n v="7693"/>
  </r>
  <r>
    <n v="15908"/>
    <x v="10"/>
    <n v="77388007000157"/>
    <s v="Botica Comercial Farmaceutica Ltda"/>
    <s v="Sao Jose dos Pinhais"/>
    <s v="PR"/>
    <n v="24931"/>
    <s v="PSL1"/>
    <s v="V"/>
    <s v="PE"/>
    <s v="Normal"/>
    <s v="27308 06 G"/>
    <n v="4501263453"/>
    <d v="2021-11-18T00:00:00"/>
    <d v="2022-06-24T00:00:00"/>
    <d v="2022-04-14T00:00:00"/>
    <s v="  /  /  "/>
    <n v="0"/>
    <s v="  /  /  "/>
    <n v="0"/>
    <s v="                                        "/>
    <s v="  /  /  "/>
    <s v="sa669"/>
    <d v="2022-03-21T00:00:00"/>
    <s v="Sem rota"/>
    <n v="944"/>
    <s v="90 DDF Sem Juros"/>
    <n v="0"/>
    <m/>
    <n v="0"/>
    <s v="Logber - Colatina Es"/>
    <s v="CIF"/>
    <n v="5148.55"/>
    <n v="170362.5"/>
    <s v="junho_2022"/>
    <n v="5148.55"/>
  </r>
  <r>
    <n v="15059"/>
    <x v="20"/>
    <n v="7593518000397"/>
    <s v="Ccl Industries do Brasil S.A"/>
    <s v="Criciuma"/>
    <s v="SC"/>
    <n v="25489"/>
    <s v="PP3"/>
    <s v="V"/>
    <s v="PE"/>
    <s v="Normal"/>
    <s v="26887 04 H"/>
    <n v="34739"/>
    <d v="2022-02-18T00:00:00"/>
    <d v="2022-06-24T00:00:00"/>
    <d v="2022-02-18T00:00:00"/>
    <s v="  /  /  "/>
    <n v="0"/>
    <s v="  /  /  "/>
    <n v="0"/>
    <s v="                                        "/>
    <s v="  /  /  "/>
    <s v="sa650"/>
    <d v="2022-03-01T00:00:00"/>
    <s v="Sem rota"/>
    <n v="0"/>
    <m/>
    <n v="0"/>
    <m/>
    <n v="0"/>
    <s v="Logber - Colatina Es"/>
    <s v="CIF"/>
    <n v="9685.7299999999977"/>
    <n v="269069.5"/>
    <s v="junho_2022"/>
    <n v="9685.7299999999977"/>
  </r>
  <r>
    <n v="15067"/>
    <x v="3"/>
    <n v="33767574000149"/>
    <s v="Corelog Logistica Ltda"/>
    <s v="Cachoeirinha"/>
    <s v="RS"/>
    <n v="26039"/>
    <s v="PP1"/>
    <s v="V"/>
    <s v="PE"/>
    <s v="Normal"/>
    <s v="28462 04 D"/>
    <m/>
    <d v="2022-04-29T00:00:00"/>
    <d v="2022-06-24T00:00:00"/>
    <d v="2022-05-04T00:00:00"/>
    <s v="  /  /  "/>
    <n v="0"/>
    <s v="  /  /  "/>
    <n v="0"/>
    <s v="                                        "/>
    <s v="  /  /  "/>
    <s v="sa710"/>
    <d v="2022-05-05T00:00:00"/>
    <s v="Sem rota"/>
    <n v="0"/>
    <m/>
    <n v="0"/>
    <m/>
    <n v="0"/>
    <m/>
    <s v="CIF"/>
    <n v="33011.74"/>
    <n v="586924.63"/>
    <s v="junho_2022"/>
    <n v="33011.74"/>
  </r>
  <r>
    <n v="15909"/>
    <x v="15"/>
    <n v="56228356004048"/>
    <s v="Crbs S.A"/>
    <s v="Feira de Santana"/>
    <s v="BA"/>
    <n v="25827"/>
    <s v="PP3"/>
    <s v="V"/>
    <s v="PE"/>
    <s v="Normal"/>
    <s v="28927 01 A"/>
    <m/>
    <d v="2022-03-31T00:00:00"/>
    <d v="2022-06-24T00:00:00"/>
    <d v="2022-04-04T00:00:00"/>
    <s v="  /  /  "/>
    <n v="0"/>
    <s v="  /  /  "/>
    <n v="0"/>
    <s v="                                        "/>
    <s v="  /  /  "/>
    <m/>
    <s v="/  /"/>
    <s v="Sem rota"/>
    <n v="1300"/>
    <s v="95 Dias S/ Juros"/>
    <n v="0"/>
    <m/>
    <n v="0"/>
    <s v="Logber - Colatina Es"/>
    <s v="CIF"/>
    <n v="19167"/>
    <n v="430574.89"/>
    <s v="junho_2022"/>
    <n v="19167"/>
  </r>
  <r>
    <n v="15909"/>
    <x v="15"/>
    <n v="10970887014405"/>
    <s v="Fedex Brasil Logistica e Transporte Ltda"/>
    <s v="Viana"/>
    <s v="ES"/>
    <n v="23827"/>
    <s v="PP1"/>
    <s v="V"/>
    <s v="FP"/>
    <s v="Normal"/>
    <s v="25052 01 A"/>
    <n v="2021021274"/>
    <d v="2021-05-14T00:00:00"/>
    <d v="2022-06-24T00:00:00"/>
    <d v="2021-06-28T00:00:00"/>
    <d v="2022-05-23T00:00:00"/>
    <n v="6843"/>
    <d v="2022-05-23T00:00:00"/>
    <n v="6845"/>
    <s v="                                        "/>
    <s v="  /  /  "/>
    <s v="sa690"/>
    <d v="2022-04-11T00:00:00"/>
    <s v="Sem rota"/>
    <n v="0"/>
    <m/>
    <n v="0"/>
    <m/>
    <n v="0"/>
    <s v="Logber - Colatina Es"/>
    <s v="CIF"/>
    <n v="24290.420000000002"/>
    <n v="1150485.45"/>
    <s v="junho_2022"/>
    <n v="24290.420000000002"/>
  </r>
  <r>
    <n v="15057"/>
    <x v="0"/>
    <n v="7206816007390"/>
    <s v="M Dias Branco S.A Ind e Com de Aliments"/>
    <s v="Guarulhos"/>
    <s v="SP"/>
    <n v="25553"/>
    <s v="PP1"/>
    <s v="V"/>
    <s v="FP"/>
    <s v="Normal"/>
    <s v="28705 02 D"/>
    <n v="1799919"/>
    <d v="2022-02-28T00:00:00"/>
    <d v="2022-06-24T00:00:00"/>
    <d v="2022-06-02T00:00:00"/>
    <d v="2022-05-26T00:00:00"/>
    <n v="6896"/>
    <d v="2022-06-02T00:00:00"/>
    <n v="7027"/>
    <s v="                                        "/>
    <s v="  /  /  "/>
    <s v="sa654"/>
    <d v="2022-03-08T00:00:00"/>
    <s v="Sem rota"/>
    <n v="879"/>
    <s v="60 Ddf S/j"/>
    <n v="0"/>
    <m/>
    <n v="0"/>
    <s v="Logber - Colatina Es"/>
    <s v="CIF"/>
    <n v="5508.74"/>
    <n v="98298.17"/>
    <s v="junho_2022"/>
    <n v="5508.74"/>
  </r>
  <r>
    <n v="15064"/>
    <x v="17"/>
    <n v="47960950166607"/>
    <s v="Magazine Luiza S.A"/>
    <s v="Duque de Caxias"/>
    <s v="RJ"/>
    <n v="26323"/>
    <s v="PP2"/>
    <s v="V"/>
    <s v="PE"/>
    <s v="Normal"/>
    <s v="30028 00 B"/>
    <n v="4171581"/>
    <d v="2022-06-07T00:00:00"/>
    <d v="2022-06-24T00:00:00"/>
    <d v="2022-06-07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s v="Logber - Colatina Es"/>
    <s v="CIF"/>
    <n v="5454.6440000000002"/>
    <n v="47469.19"/>
    <s v="junho_2022"/>
    <n v="5454.6440000000002"/>
  </r>
  <r>
    <n v="15073"/>
    <x v="16"/>
    <n v="29050381000103"/>
    <s v="Mec G Store Ltda"/>
    <s v="Santo Andre"/>
    <s v="SP"/>
    <n v="26004"/>
    <s v="PP1"/>
    <s v="V"/>
    <s v="PE"/>
    <s v="Normal"/>
    <s v="29453 01 C"/>
    <m/>
    <d v="2022-04-28T00:00:00"/>
    <d v="2022-06-24T00:00:00"/>
    <d v="2022-04-29T00:00:00"/>
    <s v="  /  /  "/>
    <n v="0"/>
    <s v="  /  /  "/>
    <n v="0"/>
    <s v="                                        "/>
    <s v="  /  /  "/>
    <s v="sa704"/>
    <d v="2022-05-02T00:00:00"/>
    <s v="Sem rota"/>
    <n v="2257"/>
    <s v="40% Conf/30%14ddf/saldo28ddf"/>
    <n v="0"/>
    <m/>
    <n v="0"/>
    <s v="Logber - Colatina Es"/>
    <s v="CIF"/>
    <n v="3127.64"/>
    <n v="65047.5"/>
    <s v="junho_2022"/>
    <n v="3127.64"/>
  </r>
  <r>
    <n v="15057"/>
    <x v="0"/>
    <n v="95422218000906"/>
    <s v="Metalurgica Mor S.A"/>
    <s v="Sao Lourenco da Mata"/>
    <s v="PE"/>
    <n v="25499"/>
    <s v="PP1"/>
    <s v="V"/>
    <s v="PE"/>
    <s v="Normal"/>
    <s v="28378 00 B"/>
    <n v="236517"/>
    <d v="2022-02-22T00:00:00"/>
    <d v="2022-06-24T00:00:00"/>
    <d v="2022-02-23T00:00:00"/>
    <s v="  /  /  "/>
    <n v="0"/>
    <s v="  /  /  "/>
    <n v="0"/>
    <s v="                                        "/>
    <s v="  /  /  "/>
    <s v="sa655"/>
    <d v="2022-03-08T00:00:00"/>
    <s v="Sem rota"/>
    <n v="2235"/>
    <s v="50% Conf e Saldo 28ddf"/>
    <n v="0"/>
    <m/>
    <n v="0"/>
    <s v="Logber - Colatina Es"/>
    <s v="CIF"/>
    <n v="678.16"/>
    <n v="51625"/>
    <s v="junho_2022"/>
    <n v="678.16"/>
  </r>
  <r>
    <n v="15074"/>
    <x v="21"/>
    <n v="62545686001206"/>
    <s v="Oxiteno S.A Industria e Comercio"/>
    <s v="Tremembe"/>
    <s v="SP"/>
    <n v="25050"/>
    <s v="PP3"/>
    <s v="V"/>
    <s v="PE"/>
    <s v="Normal"/>
    <s v="27292 02 C"/>
    <n v="500381"/>
    <d v="2021-12-02T00:00:00"/>
    <d v="2022-06-24T00:00:00"/>
    <d v="2021-12-09T00:00:00"/>
    <s v="  /  /  "/>
    <n v="0"/>
    <s v="  /  /  "/>
    <n v="0"/>
    <s v="                                        "/>
    <s v="  /  /  "/>
    <s v="sa631"/>
    <d v="2022-02-11T00:00:00"/>
    <s v="Sem rota"/>
    <n v="2000"/>
    <s v="28 DDF S/juros"/>
    <n v="0"/>
    <m/>
    <n v="0"/>
    <s v="Logber - Colatina Es"/>
    <s v="CIF"/>
    <n v="1.56"/>
    <n v="17484.36"/>
    <s v="junho_2022"/>
    <n v="1.56"/>
  </r>
  <r>
    <n v="15073"/>
    <x v="16"/>
    <n v="60621141000668"/>
    <s v="Paumar S.A - Industria e Comercio"/>
    <s v="Maua"/>
    <s v="SP"/>
    <n v="26014"/>
    <s v="PP2"/>
    <s v="V"/>
    <s v="PE"/>
    <s v="Normal"/>
    <s v="28792 00 D"/>
    <n v="4512795712"/>
    <d v="2022-04-28T00:00:00"/>
    <d v="2022-06-24T00:00:00"/>
    <d v="2022-04-28T00:00:00"/>
    <s v="  /  /  "/>
    <n v="0"/>
    <s v="  /  /  "/>
    <n v="0"/>
    <s v="                                        "/>
    <s v="  /  /  "/>
    <s v="sa705"/>
    <d v="2022-05-03T00:00:00"/>
    <s v="Sem rota"/>
    <n v="2000"/>
    <s v="28 DDF S/juros"/>
    <n v="0"/>
    <m/>
    <n v="0"/>
    <s v="Logber - Colatina Es"/>
    <s v="CIF"/>
    <n v="36.020000000000003"/>
    <n v="6416.99"/>
    <s v="junho_2022"/>
    <n v="36.020000000000003"/>
  </r>
  <r>
    <n v="15067"/>
    <x v="3"/>
    <n v="4522379000665"/>
    <s v="Qualicoco Ltda"/>
    <s v="Rio Largo"/>
    <s v="AL"/>
    <n v="26333"/>
    <s v="PP1"/>
    <s v="V"/>
    <s v="PE"/>
    <s v="Normal"/>
    <s v="30252 00 A"/>
    <m/>
    <d v="2022-06-08T00:00:00"/>
    <d v="2022-06-24T00:00:00"/>
    <d v="2022-06-08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209"/>
    <n v="5157.34"/>
    <s v="junho_2022"/>
    <n v="209"/>
  </r>
  <r>
    <n v="15074"/>
    <x v="21"/>
    <n v="89519706000178"/>
    <s v="Rud Correntes Industriais Ltda"/>
    <s v="Mogi das Cruzes"/>
    <s v="SP"/>
    <n v="25567"/>
    <s v="PP1"/>
    <s v="V"/>
    <s v="PE"/>
    <s v="Normal"/>
    <s v="28713 02 C"/>
    <n v="67548"/>
    <d v="2022-03-03T00:00:00"/>
    <d v="2022-06-24T00:00:00"/>
    <d v="2022-03-07T00:00:00"/>
    <s v="  /  /  "/>
    <n v="0"/>
    <s v="  /  /  "/>
    <n v="0"/>
    <s v="                                        "/>
    <s v="  /  /  "/>
    <s v="sa658"/>
    <d v="2022-03-09T00:00:00"/>
    <s v="Sem rota"/>
    <n v="0"/>
    <m/>
    <n v="0"/>
    <m/>
    <n v="0"/>
    <s v="Logber - Colatina Es"/>
    <s v="CIF"/>
    <n v="706.30000000000007"/>
    <n v="18068.75"/>
    <s v="junho_2022"/>
    <n v="706.30000000000007"/>
  </r>
  <r>
    <n v="15074"/>
    <x v="21"/>
    <n v="89519706000178"/>
    <s v="Rud Correntes Industriais Ltda"/>
    <s v="Mogi das Cruzes"/>
    <s v="SP"/>
    <n v="26255"/>
    <s v="PP2"/>
    <s v="O"/>
    <s v="PE"/>
    <s v="Normal"/>
    <s v="30117 01 A"/>
    <m/>
    <d v="2022-05-30T00:00:00"/>
    <d v="2022-06-24T00:00:00"/>
    <d v="2022-05-30T00:00:00"/>
    <s v="  /  /  "/>
    <n v="0"/>
    <s v="  /  /  "/>
    <n v="0"/>
    <s v="                                        "/>
    <s v="  /  /  "/>
    <s v="sa750"/>
    <d v="2022-06-03T00:00:00"/>
    <s v="Sem rota"/>
    <n v="77"/>
    <s v="Brindes"/>
    <n v="0"/>
    <m/>
    <n v="0"/>
    <s v="Logber - Colatina Es"/>
    <s v="CIF"/>
    <n v="0"/>
    <n v="1765.58"/>
    <s v="junho_2022"/>
    <n v="0"/>
  </r>
  <r>
    <n v="15080"/>
    <x v="29"/>
    <n v="4053268000142"/>
    <s v="Wise Plasticos S.A"/>
    <s v="Itatiba"/>
    <s v="SP"/>
    <n v="26106"/>
    <s v="PP1"/>
    <s v="V"/>
    <s v="PE"/>
    <s v="Normal"/>
    <s v="29255 00 B"/>
    <s v="073994/1"/>
    <d v="2022-05-11T00:00:00"/>
    <d v="2022-06-24T00:00:00"/>
    <d v="2022-05-11T00:00:00"/>
    <s v="  /  /  "/>
    <n v="0"/>
    <s v="  /  /  "/>
    <n v="0"/>
    <s v="                                        "/>
    <s v="  /  /  "/>
    <s v="sa728"/>
    <d v="2022-05-17T00:00:00"/>
    <s v="Sem rota"/>
    <n v="191"/>
    <s v="30/60/90 DDF Sem Juros"/>
    <n v="0"/>
    <m/>
    <n v="0"/>
    <s v="Logber - Colatina Es"/>
    <s v="CIF"/>
    <n v="994.3"/>
    <n v="30975"/>
    <s v="junho_2022"/>
    <n v="994.3"/>
  </r>
  <r>
    <n v="15909"/>
    <x v="15"/>
    <n v="77388007000157"/>
    <s v="Botica Comercial Farmaceutica Ltda"/>
    <s v="Sao Jose dos Pinhais"/>
    <s v="PR"/>
    <n v="25602"/>
    <s v="PP3"/>
    <s v="V"/>
    <s v="PE"/>
    <s v="Normal"/>
    <s v="28633 02 B"/>
    <n v="4501266753"/>
    <d v="2022-03-10T00:00:00"/>
    <d v="2022-06-25T00:00:00"/>
    <d v="2022-03-14T00:00:00"/>
    <s v="  /  /  "/>
    <n v="0"/>
    <s v="  /  /  "/>
    <n v="0"/>
    <s v="                                        "/>
    <s v="  /  /  "/>
    <s v="sa695"/>
    <d v="2022-04-14T00:00:00"/>
    <s v="Sem rota"/>
    <n v="944"/>
    <s v="90 DDF Sem Juros"/>
    <n v="0"/>
    <m/>
    <n v="0"/>
    <s v="Logber - Colatina Es"/>
    <s v="CIF"/>
    <n v="2.7"/>
    <n v="185478.3"/>
    <s v="junho_2022"/>
    <n v="2.7"/>
  </r>
  <r>
    <n v="15909"/>
    <x v="15"/>
    <n v="92754738047983"/>
    <s v="Lojas Renner S.A"/>
    <s v="Cabreuva"/>
    <s v="SP"/>
    <n v="26338"/>
    <s v="DIN1"/>
    <s v="O"/>
    <s v="PE"/>
    <s v="Montagem"/>
    <m/>
    <m/>
    <d v="2022-06-09T00:00:00"/>
    <d v="2022-06-27T00:00:00"/>
    <d v="2022-06-09T00:00:00"/>
    <s v="  /  /  "/>
    <n v="0"/>
    <s v="  /  /  "/>
    <n v="0"/>
    <s v="                                        "/>
    <s v="  /  /  "/>
    <s v="sat296"/>
    <d v="2022-06-09T00:00:00"/>
    <s v="Sem rota"/>
    <n v="0"/>
    <m/>
    <n v="0"/>
    <m/>
    <n v="0"/>
    <s v="Logber - Colatina Es"/>
    <s v="CIF"/>
    <s v=""/>
    <n v="117600"/>
    <s v="junho_2022"/>
    <s v=""/>
  </r>
  <r>
    <n v="15057"/>
    <x v="0"/>
    <n v="1554846000136"/>
    <s v="Tramontina Teec S/A"/>
    <s v="Carlos Barbosa"/>
    <s v="RS"/>
    <n v="25941"/>
    <m/>
    <s v="O"/>
    <s v="PE"/>
    <s v="Calculo"/>
    <m/>
    <m/>
    <d v="2022-04-19T00:00:00"/>
    <d v="2022-06-27T00:00:00"/>
    <d v="2022-04-25T00:00:00"/>
    <s v="  /  /  "/>
    <n v="0"/>
    <s v="  /  /  "/>
    <n v="0"/>
    <s v="                                        "/>
    <s v="  /  /  "/>
    <s v="sat261"/>
    <d v="2022-04-25T00:00:00"/>
    <s v="Sem rota"/>
    <n v="0"/>
    <m/>
    <n v="0"/>
    <m/>
    <n v="0"/>
    <s v="Logber - Colatina Es"/>
    <s v="CIF"/>
    <n v="0"/>
    <n v="19950"/>
    <s v="junho_2022"/>
    <n v="0"/>
  </r>
  <r>
    <n v="15055"/>
    <x v="4"/>
    <n v="11507415000253"/>
    <s v="Industrias Reunidas Raymundo da Fonte S."/>
    <s v="Salvador"/>
    <s v="BA"/>
    <n v="24850"/>
    <s v="APT2"/>
    <s v="V"/>
    <s v="PE"/>
    <s v="Normal"/>
    <s v="27337 01 B"/>
    <n v="110720"/>
    <d v="2021-11-05T00:00:00"/>
    <d v="2022-06-28T00:00:00"/>
    <d v="2021-12-06T00:00:00"/>
    <s v="  /  /  "/>
    <n v="0"/>
    <s v="  /  /  "/>
    <n v="0"/>
    <s v="                                        "/>
    <s v="  /  /  "/>
    <s v="sa615"/>
    <d v="2022-02-04T00:00:00"/>
    <s v="Sem rota"/>
    <n v="0"/>
    <m/>
    <n v="0"/>
    <m/>
    <n v="0"/>
    <s v="Logber - Colatina Es"/>
    <s v="CIF"/>
    <n v="85.47"/>
    <n v="880000.2"/>
    <s v="junho_2022"/>
    <n v="85.47"/>
  </r>
  <r>
    <n v="15063"/>
    <x v="23"/>
    <n v="12892415001097"/>
    <s v="Frisa Comercial S.A"/>
    <s v="Guarapari"/>
    <s v="ES"/>
    <n v="23923"/>
    <s v="PP3"/>
    <s v="V"/>
    <s v="PE"/>
    <s v="Normal"/>
    <s v="24787 03 D"/>
    <n v="21"/>
    <d v="2021-06-07T00:00:00"/>
    <d v="2022-06-29T00:00:00"/>
    <d v="2021-07-09T00:00:00"/>
    <s v="  /  /  "/>
    <n v="0"/>
    <s v="  /  /  "/>
    <n v="0"/>
    <s v="                                        "/>
    <s v="  /  /  "/>
    <s v="sa499"/>
    <d v="2021-09-22T00:00:00"/>
    <s v="Sem rota"/>
    <n v="2257"/>
    <s v="40% Conf/30%14ddf/saldo28ddf"/>
    <n v="0"/>
    <m/>
    <n v="0"/>
    <s v="Logber - Colatina Es"/>
    <s v="CIF"/>
    <n v="49.5"/>
    <n v="28207.9"/>
    <s v="junho_2022"/>
    <n v="49.5"/>
  </r>
  <r>
    <n v="15057"/>
    <x v="0"/>
    <n v="3853896000220"/>
    <s v="Marfrig Global Foods S.A"/>
    <s v="Bataguassu"/>
    <s v="MS"/>
    <n v="24515"/>
    <s v="DRI1"/>
    <s v="V"/>
    <s v="FP"/>
    <s v="Normal"/>
    <s v="24492 08 I"/>
    <n v="170937"/>
    <d v="2021-09-23T00:00:00"/>
    <d v="2022-06-29T00:00:00"/>
    <d v="2022-06-07T00:00:00"/>
    <d v="2022-03-24T00:00:00"/>
    <n v="5982"/>
    <d v="2022-05-21T00:00:00"/>
    <n v="6829"/>
    <s v="                                        "/>
    <s v="  /  /  "/>
    <s v="sa542"/>
    <d v="2021-11-16T00:00:00"/>
    <s v="Sem rota"/>
    <n v="0"/>
    <m/>
    <n v="0"/>
    <m/>
    <n v="0"/>
    <s v="Logber - Colatina Es"/>
    <s v="CIF"/>
    <n v="178.54"/>
    <n v="24306.91"/>
    <s v="junho_2022"/>
    <n v="178.54"/>
  </r>
  <r>
    <n v="15066"/>
    <x v="18"/>
    <n v="64858525010299"/>
    <s v="Monsanto do Brasil Ltda"/>
    <s v="Paracatu"/>
    <s v="MG"/>
    <n v="26047"/>
    <s v="DRI2"/>
    <s v="O"/>
    <s v="PE"/>
    <s v="Envio de Material de Venda"/>
    <m/>
    <n v="64858525010299"/>
    <d v="2022-05-03T00:00:00"/>
    <d v="2022-06-29T00:00:00"/>
    <d v="2022-05-04T00:00:00"/>
    <s v="  /  /  "/>
    <n v="0"/>
    <s v="  /  /  "/>
    <n v="0"/>
    <s v="                                        "/>
    <s v="  /  /  "/>
    <s v="sat268"/>
    <d v="2022-05-04T00:00:00"/>
    <s v="Sem rota"/>
    <n v="0"/>
    <m/>
    <n v="0"/>
    <m/>
    <n v="0"/>
    <s v="Logber - Colatina Es"/>
    <s v="CIF"/>
    <n v="3690.3900000000003"/>
    <n v="150006.76"/>
    <s v="junho_2022"/>
    <n v="3690.3900000000003"/>
  </r>
  <r>
    <n v="15077"/>
    <x v="30"/>
    <n v="66573759000171"/>
    <s v="Eletroleste Com Imp Mat Eletrico Ltda"/>
    <s v="Sao Paulo"/>
    <s v="SP"/>
    <n v="25669"/>
    <s v="PP1"/>
    <s v="V"/>
    <s v="PE"/>
    <s v="Normal"/>
    <s v="28986 02 C"/>
    <m/>
    <d v="2022-03-18T00:00:00"/>
    <d v="2022-06-30T00:00:00"/>
    <d v="2022-04-11T00:00:00"/>
    <s v="  /  /  "/>
    <n v="0"/>
    <s v="  /  /  "/>
    <n v="0"/>
    <s v="                                        "/>
    <s v="  /  /  "/>
    <s v="sa693"/>
    <d v="2022-04-13T00:00:00"/>
    <s v="Sem rota"/>
    <n v="0"/>
    <m/>
    <n v="0"/>
    <m/>
    <n v="0"/>
    <s v="Logber - Colatina Es"/>
    <s v="CIF"/>
    <n v="16630.39"/>
    <n v="485990.53"/>
    <s v="junho_2022"/>
    <n v="16630.39"/>
  </r>
  <r>
    <n v="15077"/>
    <x v="30"/>
    <n v="66573759000171"/>
    <s v="Eletroleste Com Imp Mat Eletrico Ltda"/>
    <s v="Sao Paulo"/>
    <s v="SP"/>
    <n v="25671"/>
    <s v="PP1"/>
    <s v="V"/>
    <s v="PE"/>
    <s v="Normal"/>
    <s v="28561 03 C"/>
    <m/>
    <d v="2022-03-18T00:00:00"/>
    <d v="2022-06-30T00:00:00"/>
    <d v="2022-04-11T00:00:00"/>
    <s v="  /  /  "/>
    <n v="0"/>
    <s v="  /  /  "/>
    <n v="0"/>
    <s v="                                        "/>
    <s v="  /  /  "/>
    <s v="sa693"/>
    <d v="2022-04-13T00:00:00"/>
    <s v="Sem rota"/>
    <n v="0"/>
    <m/>
    <n v="0"/>
    <m/>
    <n v="0"/>
    <s v="Logber - Colatina Es"/>
    <s v="CIF"/>
    <n v="107940.95000000001"/>
    <n v="1846884.25"/>
    <s v="junho_2022"/>
    <n v="107940.95000000001"/>
  </r>
  <r>
    <n v="15077"/>
    <x v="30"/>
    <n v="66573759000171"/>
    <s v="Eletroleste Com Imp Mat Eletrico Ltda"/>
    <s v="Sao Paulo"/>
    <s v="SP"/>
    <n v="25672"/>
    <s v="PP1"/>
    <s v="V"/>
    <s v="PE"/>
    <s v="Normal"/>
    <s v="28561 03 C"/>
    <m/>
    <d v="2022-03-18T00:00:00"/>
    <d v="2022-06-30T00:00:00"/>
    <d v="2022-04-11T00:00:00"/>
    <s v="  /  /  "/>
    <n v="0"/>
    <s v="  /  /  "/>
    <n v="0"/>
    <s v="                                        "/>
    <s v="  /  /  "/>
    <s v="sa693"/>
    <d v="2022-04-13T00:00:00"/>
    <s v="Sem rota"/>
    <n v="0"/>
    <m/>
    <n v="0"/>
    <m/>
    <n v="0"/>
    <s v="Logber - Colatina Es"/>
    <s v="CIF"/>
    <n v="108270.48"/>
    <n v="1846884.25"/>
    <s v="junho_2022"/>
    <n v="108270.48"/>
  </r>
  <r>
    <n v="15051"/>
    <x v="13"/>
    <n v="2473058000188"/>
    <s v="Hafele Brasil Ltda"/>
    <s v="Piraquara"/>
    <s v="PR"/>
    <n v="25825"/>
    <s v="PP2"/>
    <s v="V"/>
    <s v="PE"/>
    <s v="Normal"/>
    <s v="29212 01 B"/>
    <m/>
    <d v="2022-03-31T00:00:00"/>
    <d v="2022-06-30T00:00:00"/>
    <d v="2022-04-06T00:00:00"/>
    <s v="  /  /  "/>
    <n v="0"/>
    <s v="  /  /  "/>
    <n v="0"/>
    <s v="                                        "/>
    <s v="  /  /  "/>
    <s v="sa686"/>
    <d v="2022-04-08T00:00:00"/>
    <s v="Sem rota"/>
    <n v="0"/>
    <m/>
    <n v="0"/>
    <m/>
    <n v="0"/>
    <s v="Logber - Colatina Es"/>
    <s v="CIF"/>
    <n v="7749.7599999999993"/>
    <n v="356212.5"/>
    <s v="junho_2022"/>
    <n v="7749.7599999999993"/>
  </r>
  <r>
    <n v="15909"/>
    <x v="15"/>
    <n v="92754738047983"/>
    <s v="Lojas Renner S.A"/>
    <s v="Cabreuva"/>
    <s v="SP"/>
    <n v="26135"/>
    <s v="DIN1"/>
    <s v="O"/>
    <s v="FP"/>
    <s v="Normal"/>
    <m/>
    <m/>
    <d v="2022-05-16T00:00:00"/>
    <d v="2022-06-30T00:00:00"/>
    <d v="2022-05-23T00:00:00"/>
    <d v="2022-05-27T00:00:00"/>
    <n v="6906"/>
    <d v="2022-06-03T00:00:00"/>
    <n v="7062"/>
    <s v="                                        "/>
    <s v="  /  /  "/>
    <s v="sat283"/>
    <d v="2022-05-23T00:00:00"/>
    <s v="Sem rota"/>
    <n v="0"/>
    <m/>
    <n v="0"/>
    <m/>
    <n v="0"/>
    <m/>
    <s v="CIF"/>
    <n v="0"/>
    <n v="3553567.2"/>
    <s v="junho_2022"/>
    <n v="0"/>
  </r>
  <r>
    <n v="15073"/>
    <x v="16"/>
    <n v="7471771000106"/>
    <s v="Postall Transporte Armazenagem Ltda"/>
    <s v="Cotia"/>
    <s v="SP"/>
    <n v="26146"/>
    <s v="PP1"/>
    <s v="V"/>
    <s v="PE"/>
    <s v="Normal"/>
    <s v="28559 02 F"/>
    <m/>
    <d v="2022-05-17T00:00:00"/>
    <d v="2022-06-30T00:00:00"/>
    <d v="2022-06-01T00:00:00"/>
    <s v="  /  /  "/>
    <n v="0"/>
    <s v="  /  /  "/>
    <n v="0"/>
    <s v="                                        "/>
    <s v="  /  /  "/>
    <s v="sa737"/>
    <d v="2022-05-24T00:00:00"/>
    <s v="Sem rota"/>
    <n v="3012"/>
    <s v="40% Cofirmação / Saldo 30/60"/>
    <n v="0"/>
    <m/>
    <n v="0"/>
    <s v="Logber - Colatina Es"/>
    <s v="CIF"/>
    <n v="90121.66"/>
    <n v="1700000"/>
    <s v="junho_2022"/>
    <n v="90121.66"/>
  </r>
  <r>
    <n v="15077"/>
    <x v="30"/>
    <n v="13223553000155"/>
    <s v="Soudal Brasil Ind e Com de Prod Quimcos"/>
    <s v="Barueri"/>
    <s v="SP"/>
    <n v="26023"/>
    <s v="PP1"/>
    <s v="V"/>
    <s v="PE"/>
    <s v="Normal"/>
    <s v="29219 02 C"/>
    <m/>
    <d v="2022-04-29T00:00:00"/>
    <d v="2022-06-30T00:00:00"/>
    <d v="2022-05-03T00:00:00"/>
    <s v="  /  /  "/>
    <n v="0"/>
    <s v="  /  /  "/>
    <n v="0"/>
    <s v="                                        "/>
    <s v="  /  /  "/>
    <s v="sa705"/>
    <d v="2022-05-03T00:00:00"/>
    <s v="Sem rota"/>
    <n v="2257"/>
    <s v="40% Conf/30%14ddf/saldo28ddf"/>
    <n v="0"/>
    <m/>
    <n v="0"/>
    <s v="Logber - Colatina Es"/>
    <s v="CIF"/>
    <n v="7377.58"/>
    <n v="340725"/>
    <s v="junho_2022"/>
    <n v="7377.58"/>
  </r>
  <r>
    <n v="15077"/>
    <x v="30"/>
    <n v="13223553000155"/>
    <s v="Soudal Brasil Ind e Com de Prod Quimcos"/>
    <s v="Barueri"/>
    <s v="SP"/>
    <n v="26125"/>
    <s v="PP1"/>
    <s v="V"/>
    <s v="PE"/>
    <s v="Normal"/>
    <s v="29808 02 C"/>
    <m/>
    <d v="2022-05-13T00:00:00"/>
    <d v="2022-06-30T00:00:00"/>
    <d v="2022-05-18T00:00:00"/>
    <s v="  /  /  "/>
    <n v="0"/>
    <s v="  /  /  "/>
    <n v="0"/>
    <s v="                                        "/>
    <s v="  /  /  "/>
    <s v="sa732"/>
    <d v="2022-05-19T00:00:00"/>
    <s v="Sem rota"/>
    <n v="2257"/>
    <s v="40% Conf/30%14ddf/saldo28ddf"/>
    <n v="0"/>
    <m/>
    <n v="0"/>
    <s v="Logber - Colatina Es"/>
    <s v="CIF"/>
    <n v="1207.05"/>
    <n v="51212"/>
    <s v="junho_2022"/>
    <n v="1207.05"/>
  </r>
  <r>
    <n v="15067"/>
    <x v="3"/>
    <n v="212675000366"/>
    <s v="Abt Comercial Eletrica Ltda"/>
    <s v="Porto Alegre"/>
    <s v="RS"/>
    <n v="25764"/>
    <s v="PP2"/>
    <s v="V"/>
    <s v="PE"/>
    <s v="Normal"/>
    <s v="28084 02 C"/>
    <m/>
    <d v="2022-03-29T00:00:00"/>
    <d v="2022-07-01T00:00:00"/>
    <d v="2022-03-31T00:00:00"/>
    <s v="  /  /  "/>
    <n v="0"/>
    <s v="  /  /  "/>
    <n v="0"/>
    <s v="                                        "/>
    <s v="  /  /  "/>
    <s v="sa682"/>
    <d v="2022-04-05T00:00:00"/>
    <s v="Sem rota"/>
    <n v="0"/>
    <m/>
    <n v="0"/>
    <m/>
    <n v="0"/>
    <s v="Logber - Colatina Es"/>
    <s v="CIF"/>
    <n v="589.04"/>
    <n v="27418.04"/>
    <s v="julho_2022"/>
    <n v="589.04"/>
  </r>
  <r>
    <n v="15057"/>
    <x v="0"/>
    <n v="14235268000117"/>
    <s v="Alaor Jose Cirolini Ltda"/>
    <s v="Restinga Seca"/>
    <s v="RS"/>
    <n v="25725"/>
    <s v="PP1"/>
    <s v="V"/>
    <s v="PE"/>
    <s v="Normal"/>
    <s v="29108 02 B"/>
    <m/>
    <d v="2022-03-25T00:00:00"/>
    <d v="2022-07-01T00:00:00"/>
    <d v="2022-03-29T00:00:00"/>
    <s v="  /  /  "/>
    <n v="0"/>
    <s v="  /  /  "/>
    <n v="0"/>
    <s v="                                        "/>
    <s v="  /  /  "/>
    <s v="sa679"/>
    <d v="2022-04-12T00:00:00"/>
    <s v="Sem rota"/>
    <n v="2235"/>
    <s v="50% Conf e Saldo 28ddf"/>
    <n v="0"/>
    <m/>
    <n v="0"/>
    <s v="Logber - Colatina Es"/>
    <s v="CIF"/>
    <n v="1286.5"/>
    <n v="47768.67"/>
    <s v="julho_2022"/>
    <n v="1286.5"/>
  </r>
  <r>
    <n v="15054"/>
    <x v="2"/>
    <n v="22488292000196"/>
    <s v="Aqualis Solucoes Em Higiene Ltda Me"/>
    <s v="Goiania"/>
    <s v="GO"/>
    <n v="25612"/>
    <s v="PP3"/>
    <s v="V"/>
    <s v="PE"/>
    <s v="Normal"/>
    <s v="25777 04 D"/>
    <m/>
    <d v="2022-03-11T00:00:00"/>
    <d v="2022-07-01T00:00:00"/>
    <d v="2022-03-17T00:00:00"/>
    <s v="  /  /  "/>
    <n v="0"/>
    <s v="  /  /  "/>
    <n v="0"/>
    <s v="                                        "/>
    <s v="  /  /  "/>
    <s v="sa667"/>
    <d v="2022-03-18T00:00:00"/>
    <s v="Sem rota"/>
    <n v="2257"/>
    <s v="40% Conf/30%14ddf/saldo28ddf"/>
    <n v="0"/>
    <m/>
    <n v="0"/>
    <s v="Logber - Colatina Es"/>
    <s v="CIF"/>
    <n v="5905.48"/>
    <n v="242048.98"/>
    <s v="julho_2022"/>
    <n v="5905.48"/>
  </r>
  <r>
    <n v="15063"/>
    <x v="23"/>
    <n v="16590234002543"/>
    <s v="Arezzo Industria e Comercio S.A"/>
    <s v="Cariacica"/>
    <s v="ES"/>
    <n v="26028"/>
    <s v="PP3"/>
    <s v="V"/>
    <s v="PE"/>
    <s v="Normal"/>
    <s v="29169 04 D"/>
    <n v="4500830689"/>
    <d v="2022-04-29T00:00:00"/>
    <d v="2022-07-01T00:00:00"/>
    <d v="2022-05-17T00:00:00"/>
    <s v="  /  /  "/>
    <n v="0"/>
    <s v="  /  /  "/>
    <n v="0"/>
    <s v="                                        "/>
    <s v="  /  /  "/>
    <s v="sa727"/>
    <d v="2022-05-16T00:00:00"/>
    <s v="Sem rota"/>
    <n v="0"/>
    <m/>
    <n v="0"/>
    <m/>
    <n v="0"/>
    <s v="Logber - Colatina Es"/>
    <s v="CIF"/>
    <n v="46168.2"/>
    <n v="1553415.37"/>
    <s v="julho_2022"/>
    <n v="46168.2"/>
  </r>
  <r>
    <n v="15063"/>
    <x v="23"/>
    <n v="16590234002543"/>
    <s v="Arezzo Industria e Comercio S.A"/>
    <s v="Cariacica"/>
    <s v="ES"/>
    <n v="26029"/>
    <s v="PSL1"/>
    <s v="V"/>
    <s v="PE"/>
    <s v="Normal"/>
    <s v="29169 04 D"/>
    <n v="4500830689"/>
    <d v="2022-04-29T00:00:00"/>
    <d v="2022-07-01T00:00:00"/>
    <d v="2022-06-07T00:00:00"/>
    <s v="  /  /  "/>
    <n v="0"/>
    <s v="  /  /  "/>
    <n v="0"/>
    <s v="                                        "/>
    <s v="  /  /  "/>
    <s v="sa749"/>
    <d v="2022-06-01T00:00:00"/>
    <s v="Sem rota"/>
    <n v="0"/>
    <m/>
    <n v="0"/>
    <m/>
    <n v="0"/>
    <s v="Logber - Colatina Es"/>
    <s v="CIF"/>
    <n v="40875.880000000012"/>
    <n v="1055357.21"/>
    <s v="julho_2022"/>
    <n v="40875.880000000012"/>
  </r>
  <r>
    <n v="15063"/>
    <x v="23"/>
    <n v="12377080000188"/>
    <s v="Atacado Uniao Ltda"/>
    <s v="Serra"/>
    <s v="ES"/>
    <n v="25728"/>
    <s v="PP2"/>
    <s v="V"/>
    <s v="PE"/>
    <s v="Normal"/>
    <s v="28665 00 B"/>
    <n v="884780"/>
    <d v="2022-03-25T00:00:00"/>
    <d v="2022-07-01T00:00:00"/>
    <d v="2022-03-25T00:00:00"/>
    <s v="  /  /  "/>
    <n v="0"/>
    <s v="  /  /  "/>
    <n v="0"/>
    <s v="                                        "/>
    <s v="  /  /  "/>
    <s v="sa679"/>
    <d v="2022-04-12T00:00:00"/>
    <s v="Sem rota"/>
    <n v="191"/>
    <s v="30/60/90 DDF Sem Juros"/>
    <n v="0"/>
    <m/>
    <n v="0"/>
    <s v="Logber - Colatina Es"/>
    <s v="CIF"/>
    <n v="96.710000000000008"/>
    <n v="6442.8"/>
    <s v="julho_2022"/>
    <n v="96.710000000000008"/>
  </r>
  <r>
    <n v="15067"/>
    <x v="3"/>
    <n v="8603476000129"/>
    <s v="Basf Comercio de Alimentos Ltda"/>
    <s v="Porto Alegre"/>
    <s v="RS"/>
    <n v="25744"/>
    <s v="PP1"/>
    <s v="V"/>
    <s v="PE"/>
    <s v="Normal"/>
    <s v="27914 02 C"/>
    <m/>
    <d v="2022-03-28T00:00:00"/>
    <d v="2022-07-01T00:00:00"/>
    <d v="2022-03-30T00:00:00"/>
    <s v="  /  /  "/>
    <n v="0"/>
    <s v="  /  /  "/>
    <n v="0"/>
    <s v="                                        "/>
    <s v="  /  /  "/>
    <s v="sa679"/>
    <d v="2022-04-12T00:00:00"/>
    <s v="Sem rota"/>
    <n v="0"/>
    <m/>
    <n v="0"/>
    <m/>
    <n v="0"/>
    <s v="Logber - Colatina Es"/>
    <s v="CIF"/>
    <n v="1912.5400000000002"/>
    <n v="76921.25"/>
    <s v="julho_2022"/>
    <n v="1912.5400000000002"/>
  </r>
  <r>
    <n v="15059"/>
    <x v="20"/>
    <n v="10447904000113"/>
    <s v="Blutrade Imp e Exp de Produtos Graficos"/>
    <s v="Blumenau"/>
    <s v="SC"/>
    <n v="25615"/>
    <s v="PP2"/>
    <s v="V"/>
    <s v="PE"/>
    <s v="Normal"/>
    <s v="28515 04 E"/>
    <m/>
    <d v="2022-03-11T00:00:00"/>
    <d v="2022-07-01T00:00:00"/>
    <d v="2022-03-29T00:00:00"/>
    <s v="  /  /  "/>
    <n v="0"/>
    <s v="  /  /  "/>
    <n v="0"/>
    <s v="                                        "/>
    <s v="  /  /  "/>
    <s v="sa679"/>
    <d v="2022-04-12T00:00:00"/>
    <s v="Sem rota"/>
    <n v="0"/>
    <m/>
    <n v="0"/>
    <m/>
    <n v="0"/>
    <s v="Logber - Colatina Es"/>
    <s v="CIF"/>
    <n v="1162.01"/>
    <n v="37644.949999999997"/>
    <s v="julho_2022"/>
    <n v="1162.01"/>
  </r>
  <r>
    <n v="15020"/>
    <x v="7"/>
    <n v="0"/>
    <s v="Corin S.a."/>
    <s v="Montevideo"/>
    <s v="EX"/>
    <n v="24588"/>
    <s v="DRI1"/>
    <s v="V"/>
    <s v="PE"/>
    <s v="Normal"/>
    <s v="27131 05 F"/>
    <m/>
    <d v="2021-09-30T00:00:00"/>
    <d v="2022-07-01T00:00:00"/>
    <d v="2022-03-22T00:00:00"/>
    <s v="  /  /  "/>
    <n v="0"/>
    <s v="  /  /  "/>
    <n v="0"/>
    <s v="                                        "/>
    <s v="  /  /  "/>
    <s v="sa665"/>
    <d v="2022-03-22T00:00:00"/>
    <s v="Sem rota"/>
    <n v="0"/>
    <m/>
    <n v="0"/>
    <m/>
    <n v="0"/>
    <m/>
    <s v="FCA"/>
    <n v="3871.8"/>
    <n v="1956120"/>
    <s v="julho_2022"/>
    <n v="3871.8"/>
  </r>
  <r>
    <n v="15077"/>
    <x v="30"/>
    <n v="66573759000171"/>
    <s v="Eletroleste Com Imp Mat Eletrico Ltda"/>
    <s v="Sao Paulo"/>
    <s v="SP"/>
    <n v="25748"/>
    <s v="PP1"/>
    <s v="V"/>
    <s v="PE"/>
    <s v="Normal"/>
    <s v="29082 03 C"/>
    <m/>
    <d v="2022-03-28T00:00:00"/>
    <d v="2022-07-01T00:00:00"/>
    <d v="2022-04-14T00:00:00"/>
    <s v="  /  /  "/>
    <n v="0"/>
    <s v="  /  /  "/>
    <n v="0"/>
    <s v="                                        "/>
    <s v="  /  /  "/>
    <s v="sa698"/>
    <d v="2022-04-18T00:00:00"/>
    <s v="Sem rota"/>
    <n v="0"/>
    <m/>
    <n v="0"/>
    <m/>
    <n v="0"/>
    <s v="Logber - Colatina Es"/>
    <s v="CIF"/>
    <n v="66849.3"/>
    <n v="1169337.3500000001"/>
    <s v="julho_2022"/>
    <n v="66849.3"/>
  </r>
  <r>
    <n v="15063"/>
    <x v="23"/>
    <n v="10921911000709"/>
    <s v="Fortlev Industria e Comercio de Plastico"/>
    <s v="Araquari"/>
    <s v="SC"/>
    <n v="25775"/>
    <s v="PP2"/>
    <s v="V"/>
    <s v="PE"/>
    <s v="Normal"/>
    <s v="27645 03 C"/>
    <m/>
    <d v="2022-03-30T00:00:00"/>
    <d v="2022-07-01T00:00:00"/>
    <d v="2022-04-26T00:00:00"/>
    <s v="  /  /  "/>
    <n v="0"/>
    <s v="  /  /  "/>
    <n v="0"/>
    <s v="                                        "/>
    <s v="  /  /  "/>
    <s v="sa701"/>
    <d v="2022-04-27T00:00:00"/>
    <s v="Sem rota"/>
    <n v="2257"/>
    <s v="40% Conf/30%14ddf/saldo28ddf"/>
    <n v="0"/>
    <m/>
    <n v="0"/>
    <s v="Logber - Colatina Es"/>
    <s v="CIF"/>
    <n v="12637.11"/>
    <n v="319364.64"/>
    <s v="julho_2022"/>
    <n v="12637.11"/>
  </r>
  <r>
    <n v="15054"/>
    <x v="2"/>
    <n v="41247590000139"/>
    <s v="Frutos do Centro Oeste Ltda"/>
    <s v="Goiania"/>
    <s v="GO"/>
    <n v="25603"/>
    <s v="PP3"/>
    <s v="V"/>
    <s v="PE"/>
    <s v="Normal"/>
    <s v="28811 03 C"/>
    <m/>
    <d v="2022-03-10T00:00:00"/>
    <d v="2022-07-01T00:00:00"/>
    <d v="2022-03-15T00:00:00"/>
    <s v="  /  /  "/>
    <n v="0"/>
    <s v="  /  /  "/>
    <n v="0"/>
    <s v="                                        "/>
    <s v="  /  /  "/>
    <s v="sa664"/>
    <d v="2022-03-17T00:00:00"/>
    <s v="Sem rota"/>
    <n v="2257"/>
    <s v="40% Conf/30%14ddf/saldo28ddf"/>
    <n v="0"/>
    <m/>
    <n v="0"/>
    <s v="Logber - Colatina Es"/>
    <s v="CIF"/>
    <n v="1226.9000000000001"/>
    <n v="87246.25"/>
    <s v="julho_2022"/>
    <n v="1226.9000000000001"/>
  </r>
  <r>
    <n v="15020"/>
    <x v="7"/>
    <n v="0"/>
    <s v="Industrias de Aceite S.a."/>
    <s v="Santa Cruz"/>
    <s v="EX"/>
    <n v="25872"/>
    <s v="DRI2"/>
    <s v="V"/>
    <s v="PE"/>
    <s v="Normal"/>
    <s v="22081 00 A"/>
    <m/>
    <d v="2022-04-06T00:00:00"/>
    <d v="2022-07-01T00:00:00"/>
    <d v="2022-04-06T00:00:00"/>
    <s v="  /  /  "/>
    <n v="0"/>
    <s v="  /  /  "/>
    <n v="0"/>
    <s v="                                        "/>
    <s v="  /  /  "/>
    <s v="sa699"/>
    <d v="2022-04-20T00:00:00"/>
    <s v="Sem rota"/>
    <n v="0"/>
    <m/>
    <n v="0"/>
    <m/>
    <n v="0"/>
    <m/>
    <s v="FCA"/>
    <n v="99.75"/>
    <n v="57040.46"/>
    <s v="julho_2022"/>
    <n v="99.75"/>
  </r>
  <r>
    <n v="15059"/>
    <x v="20"/>
    <n v="82901000001603"/>
    <s v="Intelbras S/A - Ind D Telecom Eletr Br"/>
    <s v="Santa Rita do Sapucai"/>
    <s v="MG"/>
    <n v="25635"/>
    <s v="PP3"/>
    <s v="V"/>
    <s v="FP"/>
    <s v="Normal"/>
    <s v="28158 01 B"/>
    <n v="560606"/>
    <d v="2022-03-15T00:00:00"/>
    <d v="2022-07-01T00:00:00"/>
    <d v="2022-03-15T00:00:00"/>
    <d v="2022-06-09T00:00:00"/>
    <n v="7110"/>
    <d v="2022-06-09T00:00:00"/>
    <n v="7110"/>
    <s v="                                        "/>
    <s v="  /  /  "/>
    <s v="sa671"/>
    <d v="2022-03-22T00:00:00"/>
    <s v="Sem rota"/>
    <n v="2001"/>
    <s v="14/28 DDF S/juros"/>
    <n v="0"/>
    <m/>
    <n v="0"/>
    <s v="Logber - Colatina Es"/>
    <s v="CIF"/>
    <n v="11738.49"/>
    <n v="489893.1"/>
    <s v="julho_2022"/>
    <n v="11738.49"/>
  </r>
  <r>
    <n v="15066"/>
    <x v="18"/>
    <n v="7361225000112"/>
    <s v="Marca Agro Mercantil Ltda"/>
    <s v="Uberaba"/>
    <s v="MG"/>
    <n v="25754"/>
    <s v="PP1"/>
    <s v="V"/>
    <s v="PE"/>
    <s v="Normal"/>
    <s v="29098 01 D"/>
    <m/>
    <d v="2022-03-28T00:00:00"/>
    <d v="2022-07-01T00:00:00"/>
    <d v="2022-04-11T00:00:00"/>
    <s v="  /  /  "/>
    <n v="0"/>
    <s v="  /  /  "/>
    <n v="0"/>
    <s v="                                        "/>
    <s v="  /  /  "/>
    <s v="sa694"/>
    <d v="2022-04-13T00:00:00"/>
    <s v="Sem rota"/>
    <n v="2257"/>
    <s v="40% Conf/30%14ddf/saldo28ddf"/>
    <n v="0"/>
    <m/>
    <n v="0"/>
    <s v="Logber - Colatina Es"/>
    <s v="CIF"/>
    <n v="35935.379999999997"/>
    <n v="740663.88"/>
    <s v="julho_2022"/>
    <n v="35935.379999999997"/>
  </r>
  <r>
    <n v="15057"/>
    <x v="0"/>
    <n v="95422218000906"/>
    <s v="Metalurgica Mor S.A"/>
    <s v="Sao Lourenco da Mata"/>
    <s v="PE"/>
    <n v="26115"/>
    <m/>
    <s v="V"/>
    <s v="PE"/>
    <s v="Normal"/>
    <s v="29780 00 B"/>
    <n v="241162"/>
    <d v="2022-05-12T00:00:00"/>
    <d v="2022-07-01T00:00:00"/>
    <d v="2022-05-12T00:00:00"/>
    <s v="  /  /  "/>
    <n v="0"/>
    <s v="  /  /  "/>
    <n v="0"/>
    <s v="                                        "/>
    <s v="  /  /  "/>
    <s v="sa728"/>
    <d v="2022-05-17T00:00:00"/>
    <s v="Sem rota"/>
    <n v="208"/>
    <s v="14 Ddf  S/juros"/>
    <n v="0"/>
    <m/>
    <n v="0"/>
    <s v="Logber - Colatina Es"/>
    <s v="CIF"/>
    <n v="17.259999999999998"/>
    <n v="1755.25"/>
    <s v="julho_2022"/>
    <n v="17.259999999999998"/>
  </r>
  <r>
    <n v="15052"/>
    <x v="25"/>
    <n v="47078704000140"/>
    <s v="Mustang Pluron Quimica Ltda"/>
    <s v="Catanduva"/>
    <s v="SP"/>
    <n v="25721"/>
    <s v="PP2"/>
    <s v="V"/>
    <s v="PE"/>
    <s v="Normal"/>
    <s v="28983 01 B"/>
    <m/>
    <d v="2022-03-25T00:00:00"/>
    <d v="2022-07-01T00:00:00"/>
    <d v="2022-04-04T00:00:00"/>
    <s v="  /  /  "/>
    <n v="0"/>
    <s v="  /  /  "/>
    <n v="0"/>
    <s v="                                        "/>
    <s v="  /  /  "/>
    <s v="sa686"/>
    <d v="2022-04-08T00:00:00"/>
    <s v="Sem rota"/>
    <n v="2186"/>
    <s v="30%conf. Saldo30/60 Ddf"/>
    <n v="0"/>
    <m/>
    <n v="0"/>
    <s v="Logber - Colatina Es"/>
    <s v="CIF"/>
    <n v="134.69"/>
    <n v="14764.75"/>
    <s v="julho_2022"/>
    <n v="134.69"/>
  </r>
  <r>
    <n v="15067"/>
    <x v="3"/>
    <n v="92665611000177"/>
    <s v="Dimed S/A Distribuidora de Medicamentos"/>
    <s v="Eldorado do Sul"/>
    <s v="RS"/>
    <n v="25766"/>
    <s v="PP1"/>
    <s v="V"/>
    <s v="PE"/>
    <s v="Normal"/>
    <s v="28349 02 C"/>
    <m/>
    <d v="2022-03-29T00:00:00"/>
    <d v="2022-07-01T00:00:00"/>
    <d v="2022-04-18T00:00:00"/>
    <s v="  /  /  "/>
    <n v="0"/>
    <s v="  /  /  "/>
    <n v="0"/>
    <s v="                                        "/>
    <s v="  /  /  "/>
    <s v="sa697"/>
    <d v="2022-04-18T00:00:00"/>
    <s v="Sem rota"/>
    <n v="2257"/>
    <s v="40% Conf/30%14ddf/saldo28ddf"/>
    <n v="0"/>
    <m/>
    <n v="0"/>
    <s v="Logber - Colatina Es"/>
    <s v="CIF"/>
    <n v="604.75"/>
    <n v="185850"/>
    <s v="julho_2022"/>
    <n v="604.75"/>
  </r>
  <r>
    <n v="15074"/>
    <x v="21"/>
    <n v="934286000182"/>
    <s v="Snf Brasil Comercial Química Eireli"/>
    <s v="Guarulhos"/>
    <s v="SP"/>
    <n v="25893"/>
    <s v="PP2"/>
    <s v="V"/>
    <s v="PE"/>
    <s v="Normal"/>
    <s v="17127 04 F"/>
    <m/>
    <d v="2022-04-11T00:00:00"/>
    <d v="2022-07-01T00:00:00"/>
    <d v="2022-05-24T00:00:00"/>
    <s v="  /  /  "/>
    <n v="0"/>
    <s v="  /  /  "/>
    <n v="0"/>
    <s v="                                        "/>
    <s v="  /  /  "/>
    <s v="sa739"/>
    <d v="2022-05-25T00:00:00"/>
    <s v="Sem rota"/>
    <n v="2257"/>
    <s v="40% Conf/30%14ddf/saldo28ddf"/>
    <n v="0"/>
    <m/>
    <n v="0"/>
    <s v="Logber - Colatina Es"/>
    <s v="CIF"/>
    <n v="15437.45"/>
    <n v="313105.63"/>
    <s v="julho_2022"/>
    <n v="15437.45"/>
  </r>
  <r>
    <n v="15909"/>
    <x v="15"/>
    <n v="92754738047983"/>
    <s v="Lojas Renner S.A"/>
    <s v="Cabreuva"/>
    <s v="SP"/>
    <n v="26297"/>
    <s v="MEZ1"/>
    <s v="V"/>
    <s v="PE"/>
    <s v="Normal"/>
    <s v="29752 00 A"/>
    <m/>
    <d v="2022-05-31T00:00:00"/>
    <d v="2022-07-06T00:00:00"/>
    <d v="2022-06-06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s v="Logber - Colatina Es"/>
    <s v="CIF"/>
    <n v="1228"/>
    <n v="25812.5"/>
    <s v="julho_2022"/>
    <n v="1228"/>
  </r>
  <r>
    <n v="15055"/>
    <x v="4"/>
    <n v="2290277002507"/>
    <s v="Kimberly-clark Brasil Ind Com P Hig Ltda"/>
    <s v="Camacari"/>
    <s v="BA"/>
    <n v="25115"/>
    <s v="DRI2"/>
    <s v="V"/>
    <s v="FP"/>
    <s v="Normal"/>
    <s v="22816 01 H"/>
    <n v="6200192414"/>
    <d v="2021-12-10T00:00:00"/>
    <d v="2022-07-07T00:00:00"/>
    <d v="2022-05-31T00:00:00"/>
    <d v="2022-05-31T00:00:00"/>
    <n v="6998"/>
    <d v="2022-06-01T00:00:00"/>
    <n v="7004"/>
    <s v="                                        "/>
    <s v="  /  /  "/>
    <s v="sa633"/>
    <d v="2022-02-11T00:00:00"/>
    <s v="Sem rota"/>
    <n v="0"/>
    <m/>
    <n v="0"/>
    <m/>
    <n v="0"/>
    <s v="Logber - Colatina Es"/>
    <s v="CIF"/>
    <n v="0"/>
    <n v="24365.93"/>
    <s v="julho_2022"/>
    <n v="0"/>
  </r>
  <r>
    <n v="15055"/>
    <x v="4"/>
    <n v="2290277002507"/>
    <s v="Kimberly-clark Brasil Ind Com P Hig Ltda"/>
    <s v="Camacari"/>
    <s v="BA"/>
    <n v="25116"/>
    <s v="PP1"/>
    <s v="V"/>
    <s v="FP"/>
    <s v="Normal"/>
    <s v="22816 01 H"/>
    <n v="6200192414"/>
    <d v="2021-12-10T00:00:00"/>
    <d v="2022-07-07T00:00:00"/>
    <d v="2022-05-31T00:00:00"/>
    <d v="2022-05-31T00:00:00"/>
    <n v="6992"/>
    <d v="2022-05-31T00:00:00"/>
    <n v="6992"/>
    <s v="                                        "/>
    <s v="  /  /  "/>
    <s v="sa633"/>
    <d v="2022-02-11T00:00:00"/>
    <s v="Sem rota"/>
    <n v="0"/>
    <m/>
    <n v="0"/>
    <m/>
    <n v="0"/>
    <s v="Logber - Colatina Es"/>
    <s v="CIF"/>
    <n v="0"/>
    <n v="24548.01"/>
    <s v="julho_2022"/>
    <n v="0"/>
  </r>
  <r>
    <n v="15051"/>
    <x v="13"/>
    <n v="45858906000180"/>
    <s v="A G da Silva Complere Mont de Sist de Ar"/>
    <s v="Curitiba"/>
    <s v="PR"/>
    <n v="25840"/>
    <s v="PP1"/>
    <s v="V"/>
    <s v="PE"/>
    <s v="Normal"/>
    <s v="28896 00 C"/>
    <m/>
    <d v="2022-03-31T00:00:00"/>
    <d v="2022-07-08T00:00:00"/>
    <d v="2022-04-07T00:00:00"/>
    <s v="  /  /  "/>
    <n v="0"/>
    <s v="  /  /  "/>
    <n v="0"/>
    <s v="                                        "/>
    <s v="  /  /  "/>
    <s v="sa687"/>
    <d v="2022-04-08T00:00:00"/>
    <s v="Sem rota"/>
    <n v="0"/>
    <m/>
    <n v="0"/>
    <m/>
    <n v="0"/>
    <s v="Logber - Colatina Es"/>
    <s v="CIF"/>
    <n v="3201.38"/>
    <n v="169180.72"/>
    <s v="julho_2022"/>
    <n v="3201.38"/>
  </r>
  <r>
    <n v="15052"/>
    <x v="25"/>
    <n v="58764309000138"/>
    <s v="Agi Brasil Industria e Comercio S/A"/>
    <s v="Candido Mota"/>
    <s v="SP"/>
    <n v="25472"/>
    <s v="CTL1"/>
    <s v="V"/>
    <s v="PE"/>
    <s v="Normal"/>
    <s v="28306 00 C"/>
    <n v="88476"/>
    <d v="2022-02-16T00:00:00"/>
    <d v="2022-07-08T00:00:00"/>
    <d v="2022-02-16T00:00:00"/>
    <s v="  /  /  "/>
    <n v="0"/>
    <s v="  /  /  "/>
    <n v="0"/>
    <s v="                                        "/>
    <s v="  /  /  "/>
    <s v="sa648"/>
    <d v="2022-03-01T00:00:00"/>
    <s v="Sem rota"/>
    <n v="2000"/>
    <s v="28 DDF S/juros"/>
    <n v="0"/>
    <m/>
    <n v="0"/>
    <s v="Logber - Colatina Es"/>
    <s v="CIF"/>
    <n v="0"/>
    <n v="7537.25"/>
    <s v="julho_2022"/>
    <n v="0"/>
  </r>
  <r>
    <n v="15076"/>
    <x v="31"/>
    <n v="15285173000170"/>
    <s v="B.p Distribuidora Ltda"/>
    <s v="Manaus"/>
    <s v="AM"/>
    <n v="25822"/>
    <s v="PP1"/>
    <s v="V"/>
    <s v="PE"/>
    <s v="Normal"/>
    <s v="22224 02 E"/>
    <m/>
    <d v="2022-03-31T00:00:00"/>
    <d v="2022-07-08T00:00:00"/>
    <d v="2022-04-08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FOB"/>
    <n v="5938.5510000000004"/>
    <n v="76729.119999999995"/>
    <s v="julho_2022"/>
    <n v="5938.5510000000004"/>
  </r>
  <r>
    <n v="15062"/>
    <x v="1"/>
    <n v="8056030000202"/>
    <s v="Brasil Port Log Offshore e Estal Naval"/>
    <s v="Sao Joao da Barra"/>
    <s v="RJ"/>
    <n v="25884"/>
    <s v="PP2"/>
    <s v="V"/>
    <s v="PE"/>
    <s v="Normal"/>
    <s v="28995 01 B"/>
    <n v="18803"/>
    <d v="2022-04-08T00:00:00"/>
    <d v="2022-07-08T00:00:00"/>
    <d v="2022-04-08T00:00:00"/>
    <s v="  /  /  "/>
    <n v="0"/>
    <s v="  /  /  "/>
    <n v="0"/>
    <s v="                                        "/>
    <s v="  /  /  "/>
    <s v="sa694"/>
    <d v="2022-04-13T00:00:00"/>
    <s v="Sem rota"/>
    <n v="44"/>
    <s v="30 DDF S/juros"/>
    <n v="0"/>
    <m/>
    <n v="0"/>
    <s v="Logber - Colatina Es"/>
    <s v="CIF"/>
    <n v="367.65999999999997"/>
    <n v="66677.11"/>
    <s v="julho_2022"/>
    <n v="367.65999999999997"/>
  </r>
  <r>
    <n v="15064"/>
    <x v="17"/>
    <n v="1838723032592"/>
    <s v="Brf S/A"/>
    <s v="Jundiai"/>
    <s v="SP"/>
    <n v="25720"/>
    <s v="DIN2"/>
    <s v="V"/>
    <s v="PE"/>
    <s v="Normal"/>
    <s v="27724 00 B"/>
    <n v="105186923"/>
    <d v="2022-03-25T00:00:00"/>
    <d v="2022-07-08T00:00:00"/>
    <d v="2022-03-25T00:00:00"/>
    <s v="  /  /  "/>
    <n v="0"/>
    <s v="  /  /  "/>
    <n v="0"/>
    <s v="                                        "/>
    <s v="  /  /  "/>
    <s v="sa680"/>
    <d v="2022-03-31T00:00:00"/>
    <s v="Sem rota"/>
    <n v="482"/>
    <s v="150 DDF S/juros"/>
    <n v="0"/>
    <m/>
    <n v="0"/>
    <s v="Logber - Colatina Es"/>
    <s v="CIF"/>
    <n v="0"/>
    <n v="3100"/>
    <s v="julho_2022"/>
    <n v="0"/>
  </r>
  <r>
    <n v="15067"/>
    <x v="3"/>
    <n v="94534237000104"/>
    <s v="Carmak Revenda Loc de Maq e Veic Ltda"/>
    <s v="Sao Leopoldo"/>
    <s v="RS"/>
    <n v="25839"/>
    <s v="PP2"/>
    <s v="V"/>
    <s v="PE"/>
    <s v="Normal"/>
    <s v="28414 02 B"/>
    <m/>
    <d v="2022-03-31T00:00:00"/>
    <d v="2022-07-08T00:00:00"/>
    <d v="2022-04-06T00:00:00"/>
    <s v="  /  /  "/>
    <n v="0"/>
    <s v="  /  /  "/>
    <n v="0"/>
    <s v="                                        "/>
    <s v="  /  /  "/>
    <s v="sa686"/>
    <d v="2022-04-08T00:00:00"/>
    <s v="Sem rota"/>
    <n v="0"/>
    <m/>
    <n v="0"/>
    <m/>
    <n v="0"/>
    <s v="Logber - Colatina Es"/>
    <s v="CIF"/>
    <n v="626.54"/>
    <n v="38202.5"/>
    <s v="julho_2022"/>
    <n v="626.54"/>
  </r>
  <r>
    <n v="15057"/>
    <x v="0"/>
    <n v="871981000142"/>
    <s v="Centralsul Ltda"/>
    <s v="Arroio do Meio"/>
    <s v="RS"/>
    <n v="25841"/>
    <s v="PP1"/>
    <s v="V"/>
    <s v="PE"/>
    <s v="Normal"/>
    <s v="29134 02 C"/>
    <n v="14385"/>
    <d v="2022-03-31T00:00:00"/>
    <d v="2022-07-08T00:00:00"/>
    <d v="2022-04-04T00:00:00"/>
    <s v="  /  /  "/>
    <n v="0"/>
    <s v="  /  /  "/>
    <n v="0"/>
    <s v="                                        "/>
    <s v="  /  /  "/>
    <s v="sa687"/>
    <d v="2022-04-08T00:00:00"/>
    <s v="Sem rota"/>
    <n v="0"/>
    <m/>
    <n v="0"/>
    <m/>
    <n v="0"/>
    <s v="Logber - Colatina Es"/>
    <s v="CIF"/>
    <n v="4281.8999999999996"/>
    <n v="144301.21"/>
    <s v="julho_2022"/>
    <n v="4281.8999999999996"/>
  </r>
  <r>
    <n v="15064"/>
    <x v="17"/>
    <n v="1376079000112"/>
    <s v="Clarios Energy Solutions Brasil Ltda"/>
    <s v="Sorocaba"/>
    <s v="SP"/>
    <n v="25691"/>
    <s v="PP3"/>
    <s v="V"/>
    <s v="PE"/>
    <s v="Normal"/>
    <s v="28596 00 B"/>
    <s v="OC248168,"/>
    <d v="2022-03-22T00:00:00"/>
    <d v="2022-07-08T00:00:00"/>
    <d v="2022-03-22T00:00:00"/>
    <s v="  /  /  "/>
    <n v="0"/>
    <s v="  /  /  "/>
    <n v="0"/>
    <s v="                                        "/>
    <s v="  /  /  "/>
    <s v="sa677"/>
    <d v="2022-03-29T00:00:00"/>
    <s v="Sem rota"/>
    <n v="2000"/>
    <s v="28 DDF S/juros"/>
    <n v="0"/>
    <m/>
    <n v="0"/>
    <s v="Logber - Colatina Es"/>
    <s v="CIF"/>
    <n v="0.04"/>
    <n v="2101.14"/>
    <s v="julho_2022"/>
    <n v="0.04"/>
  </r>
  <r>
    <n v="15064"/>
    <x v="17"/>
    <n v="1376079000112"/>
    <s v="Clarios Energy Solutions Brasil Ltda"/>
    <s v="Sorocaba"/>
    <s v="SP"/>
    <n v="25692"/>
    <s v="SERVIÇO"/>
    <s v="V"/>
    <s v="PE"/>
    <s v="Normal"/>
    <s v="28596 00 B"/>
    <s v="OC248168"/>
    <d v="2022-03-22T00:00:00"/>
    <d v="2022-07-08T00:00:00"/>
    <d v="2022-03-22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m/>
    <s v="CIF"/>
    <n v="0"/>
    <n v="5265"/>
    <s v="julho_2022"/>
    <n v="0"/>
  </r>
  <r>
    <n v="15081"/>
    <x v="28"/>
    <n v="7667439000200"/>
    <s v="Comercial Ibiapina Ltda"/>
    <s v="Teresina"/>
    <s v="PI"/>
    <n v="25842"/>
    <s v="PP2"/>
    <s v="V"/>
    <s v="PE"/>
    <s v="Normal"/>
    <s v="29009 04 F"/>
    <m/>
    <d v="2022-03-31T00:00:00"/>
    <d v="2022-07-08T00:00:00"/>
    <d v="2022-04-05T00:00:00"/>
    <s v="  /  /  "/>
    <n v="0"/>
    <s v="  /  /  "/>
    <n v="0"/>
    <s v="                                        "/>
    <s v="  /  /  "/>
    <s v="sa689"/>
    <d v="2022-04-11T00:00:00"/>
    <s v="Sem rota"/>
    <n v="0"/>
    <m/>
    <n v="0"/>
    <m/>
    <n v="0"/>
    <m/>
    <s v="FOB"/>
    <n v="73546.73"/>
    <n v="1135750"/>
    <s v="julho_2022"/>
    <n v="73546.73"/>
  </r>
  <r>
    <n v="15067"/>
    <x v="3"/>
    <n v="2494715000173"/>
    <s v="Coop Central de Coop Unimed Rio Grande o"/>
    <s v="Canoas"/>
    <s v="RS"/>
    <n v="25804"/>
    <s v="PP1"/>
    <s v="V"/>
    <s v="PE"/>
    <s v="Normal"/>
    <s v="29079 02 C"/>
    <m/>
    <d v="2022-03-31T00:00:00"/>
    <d v="2022-07-08T00:00:00"/>
    <d v="2022-04-06T00:00:00"/>
    <s v="  /  /  "/>
    <n v="0"/>
    <s v="  /  /  "/>
    <n v="0"/>
    <s v="                                        "/>
    <s v="  /  /  "/>
    <s v="sa687"/>
    <d v="2022-04-08T00:00:00"/>
    <s v="Sem rota"/>
    <n v="2257"/>
    <s v="40% Conf/30%14ddf/saldo28ddf"/>
    <n v="0"/>
    <m/>
    <n v="0"/>
    <m/>
    <s v="CIF"/>
    <n v="1215.46"/>
    <n v="45894.63"/>
    <s v="julho_2022"/>
    <n v="1215.46"/>
  </r>
  <r>
    <n v="15077"/>
    <x v="30"/>
    <n v="30584194000342"/>
    <s v="Cromo Com e Dist de Mat Odonto-hospitala"/>
    <s v="Cotia"/>
    <s v="SP"/>
    <n v="25876"/>
    <s v="PP2"/>
    <s v="V"/>
    <s v="PE"/>
    <s v="Normal"/>
    <s v="28504 02 C"/>
    <m/>
    <d v="2022-04-07T00:00:00"/>
    <d v="2022-07-08T00:00:00"/>
    <d v="2022-04-12T00:00:00"/>
    <s v="  /  /  "/>
    <n v="0"/>
    <s v="  /  /  "/>
    <n v="0"/>
    <s v="                                        "/>
    <s v="  /  /  "/>
    <s v="sa694"/>
    <d v="2022-04-13T00:00:00"/>
    <s v="Sem rota"/>
    <n v="0"/>
    <m/>
    <n v="0"/>
    <m/>
    <n v="0"/>
    <s v="Logber - Colatina Es"/>
    <s v="CIF"/>
    <n v="3489.4500000000003"/>
    <n v="328409.64"/>
    <s v="julho_2022"/>
    <n v="3489.4500000000003"/>
  </r>
  <r>
    <n v="15070"/>
    <x v="14"/>
    <n v="22855387000109"/>
    <s v="Eletrogroup Mont Eletr e Manut Industria"/>
    <s v="Toledo"/>
    <s v="PR"/>
    <n v="25657"/>
    <s v="PP3"/>
    <s v="V"/>
    <s v="PE"/>
    <s v="Normal"/>
    <s v="28862 01 B"/>
    <m/>
    <d v="2022-03-17T00:00:00"/>
    <d v="2022-07-08T00:00:00"/>
    <d v="2022-03-17T00:00:00"/>
    <s v="  /  /  "/>
    <n v="0"/>
    <s v="  /  /  "/>
    <n v="0"/>
    <s v="                                        "/>
    <s v="  /  /  "/>
    <s v="sa674"/>
    <d v="2022-03-23T00:00:00"/>
    <s v="Sem rota"/>
    <n v="2000"/>
    <s v="28 DDF S/juros"/>
    <n v="0"/>
    <m/>
    <n v="0"/>
    <s v="Logber - Colatina Es"/>
    <s v="CIF"/>
    <n v="0"/>
    <n v="13525.75"/>
    <s v="julho_2022"/>
    <n v="0"/>
  </r>
  <r>
    <n v="15067"/>
    <x v="3"/>
    <n v="89723845000119"/>
    <s v="Industria de Pecas Inpel S/A"/>
    <s v="Sapucaia do Sul"/>
    <s v="RS"/>
    <n v="25878"/>
    <s v="PP2"/>
    <s v="V"/>
    <s v="PE"/>
    <s v="Normal"/>
    <s v="29275 00 B"/>
    <n v="46530"/>
    <d v="2022-04-08T00:00:00"/>
    <d v="2022-07-08T00:00:00"/>
    <d v="2022-04-12T00:00:00"/>
    <s v="  /  /  "/>
    <n v="0"/>
    <s v="  /  /  "/>
    <n v="0"/>
    <s v="                                        "/>
    <s v="  /  /  "/>
    <s v="sa694"/>
    <d v="2022-04-13T00:00:00"/>
    <s v="Sem rota"/>
    <n v="2257"/>
    <s v="40% Conf/30%14ddf/saldo28ddf"/>
    <n v="0"/>
    <m/>
    <n v="0"/>
    <s v="Logber - Colatina Es"/>
    <s v="CIF"/>
    <n v="357.5"/>
    <n v="12390"/>
    <s v="julho_2022"/>
    <n v="357.5"/>
  </r>
  <r>
    <n v="15070"/>
    <x v="14"/>
    <n v="3383709000373"/>
    <s v="J C Parro &amp; Cia Ltda"/>
    <s v="Sao Lourenco Cianorte"/>
    <s v="PR"/>
    <n v="26201"/>
    <s v="PP1"/>
    <s v="V"/>
    <s v="PE"/>
    <s v="Normal"/>
    <s v="29971 01 A"/>
    <m/>
    <d v="2022-05-24T00:00:00"/>
    <d v="2022-07-08T00:00:00"/>
    <d v="2022-05-26T00:00:00"/>
    <s v="  /  /  "/>
    <n v="0"/>
    <s v="  /  /  "/>
    <n v="0"/>
    <s v="                                        "/>
    <s v="  /  /  "/>
    <s v="sa740"/>
    <d v="2022-05-26T00:00:00"/>
    <s v="Sem rota"/>
    <n v="0"/>
    <m/>
    <n v="0"/>
    <m/>
    <n v="0"/>
    <s v="Logber - Colatina Es"/>
    <s v="CIF"/>
    <n v="1249.27"/>
    <n v="84148.75"/>
    <s v="julho_2022"/>
    <n v="1249.27"/>
  </r>
  <r>
    <n v="15070"/>
    <x v="14"/>
    <n v="3383709000373"/>
    <s v="J C Parro &amp; Cia Ltda"/>
    <s v="Sao Lourenco Cianorte"/>
    <s v="PR"/>
    <n v="26202"/>
    <s v="PP2"/>
    <s v="V"/>
    <s v="PE"/>
    <s v="Normal"/>
    <s v="20626 00 C"/>
    <m/>
    <d v="2022-05-24T00:00:00"/>
    <d v="2022-07-08T00:00:00"/>
    <d v="2022-05-24T00:00:00"/>
    <s v="  /  /  "/>
    <n v="0"/>
    <s v="  /  /  "/>
    <n v="0"/>
    <s v="                                        "/>
    <s v="  /  /  "/>
    <s v="sa747"/>
    <d v="2022-05-27T00:00:00"/>
    <s v="Sem rota"/>
    <n v="2000"/>
    <s v="28 DDF S/juros"/>
    <n v="0"/>
    <m/>
    <n v="0"/>
    <s v="Logber - Colatina Es"/>
    <s v="CIF"/>
    <n v="1.36"/>
    <n v="12092.64"/>
    <s v="julho_2022"/>
    <n v="1.36"/>
  </r>
  <r>
    <n v="15077"/>
    <x v="30"/>
    <n v="19576717000104"/>
    <s v="Kopell Distribuicao e Logistica Ltda"/>
    <s v="Sao Paulo"/>
    <s v="SP"/>
    <n v="25984"/>
    <s v="PP3"/>
    <s v="V"/>
    <s v="PE"/>
    <s v="Normal"/>
    <s v="29445 02 C"/>
    <m/>
    <d v="2022-04-26T00:00:00"/>
    <d v="2022-07-08T00:00:00"/>
    <d v="2022-04-28T00:00:00"/>
    <s v="  /  /  "/>
    <n v="0"/>
    <s v="  /  /  "/>
    <n v="0"/>
    <s v="                                        "/>
    <s v="  /  /  "/>
    <s v="sa713"/>
    <d v="2022-05-05T00:00:00"/>
    <s v="Sem rota"/>
    <n v="2257"/>
    <s v="40% Conf/30%14ddf/saldo28ddf"/>
    <n v="0"/>
    <m/>
    <n v="0"/>
    <s v="Logber - Colatina Es"/>
    <s v="CIF"/>
    <n v="745.37"/>
    <n v="139387.5"/>
    <s v="julho_2022"/>
    <n v="745.37"/>
  </r>
  <r>
    <n v="15080"/>
    <x v="29"/>
    <n v="20445801000178"/>
    <s v="Ottobock Ind Com Imp Exp de Prod Orto e"/>
    <s v="Vinhedo"/>
    <s v="SP"/>
    <n v="25874"/>
    <s v="PP2"/>
    <s v="V"/>
    <s v="PE"/>
    <s v="Normal"/>
    <s v="28523 00 D"/>
    <m/>
    <d v="2022-04-07T00:00:00"/>
    <d v="2022-07-08T00:00:00"/>
    <d v="2022-05-31T00:00:00"/>
    <s v="  /  /  "/>
    <n v="0"/>
    <s v="  /  /  "/>
    <n v="0"/>
    <s v="                                        "/>
    <s v="  /  /  "/>
    <s v="sa694"/>
    <d v="2022-04-13T00:00:00"/>
    <s v="Sem rota"/>
    <n v="0"/>
    <m/>
    <n v="0"/>
    <m/>
    <n v="0"/>
    <s v="Logber - Colatina Es"/>
    <s v="CIF"/>
    <n v="322.34000000000003"/>
    <n v="10004.93"/>
    <s v="julho_2022"/>
    <n v="322.34000000000003"/>
  </r>
  <r>
    <n v="15059"/>
    <x v="20"/>
    <n v="2278437000117"/>
    <s v="Pomerplast Ind e Com de Plasticos Ltda"/>
    <s v="Pomerode"/>
    <s v="SC"/>
    <n v="25861"/>
    <s v="PP1"/>
    <s v="V"/>
    <s v="PE"/>
    <s v="Normal"/>
    <s v="29299 00 B"/>
    <m/>
    <d v="2022-04-05T00:00:00"/>
    <d v="2022-07-08T00:00:00"/>
    <d v="2022-04-05T00:00:00"/>
    <s v="  /  /  "/>
    <n v="0"/>
    <s v="  /  /  "/>
    <n v="0"/>
    <s v="                                        "/>
    <s v="  /  /  "/>
    <s v="sa687"/>
    <d v="2022-04-08T00:00:00"/>
    <s v="Sem rota"/>
    <n v="208"/>
    <s v="14 Ddf  S/juros"/>
    <n v="0"/>
    <m/>
    <n v="0"/>
    <s v="Logber - Colatina Es"/>
    <s v="CIF"/>
    <n v="9.2899999999999991"/>
    <n v="722.75"/>
    <s v="julho_2022"/>
    <n v="9.2899999999999991"/>
  </r>
  <r>
    <n v="15067"/>
    <x v="3"/>
    <n v="4522379000665"/>
    <s v="Qualicoco Ltda"/>
    <s v="Rio Largo"/>
    <s v="AL"/>
    <n v="25801"/>
    <s v="PP2"/>
    <s v="V"/>
    <s v="PE"/>
    <s v="Normal"/>
    <s v="29307 01 A"/>
    <m/>
    <d v="2022-03-31T00:00:00"/>
    <d v="2022-07-08T00:00:00"/>
    <d v="2022-04-08T00:00:00"/>
    <s v="  /  /  "/>
    <n v="0"/>
    <s v="  /  /  "/>
    <n v="0"/>
    <s v="                                        "/>
    <s v="  /  /  "/>
    <s v="sa689"/>
    <d v="2022-04-11T00:00:00"/>
    <s v="Sem rota"/>
    <n v="2257"/>
    <s v="40% Conf/30%14ddf/saldo28ddf"/>
    <n v="0"/>
    <m/>
    <n v="0"/>
    <s v="Logber - Colatina Es"/>
    <s v="CIF"/>
    <n v="4657.1799999999994"/>
    <n v="194289.66"/>
    <s v="julho_2022"/>
    <n v="4657.1799999999994"/>
  </r>
  <r>
    <n v="15062"/>
    <x v="1"/>
    <n v="7757005000617"/>
    <s v="Trop Frutas do Brasil Ltda"/>
    <s v="Lavras"/>
    <s v="MG"/>
    <n v="25880"/>
    <s v="PP1"/>
    <s v="V"/>
    <s v="PE"/>
    <s v="Normal"/>
    <s v="27187 01 C"/>
    <m/>
    <d v="2022-04-08T00:00:00"/>
    <d v="2022-07-08T00:00:00"/>
    <d v="2022-04-12T00:00:00"/>
    <s v="  /  /  "/>
    <n v="0"/>
    <s v="  /  /  "/>
    <n v="0"/>
    <s v="                                        "/>
    <s v="  /  /  "/>
    <s v="sa697"/>
    <d v="2022-04-18T00:00:00"/>
    <s v="Sem rota"/>
    <n v="0"/>
    <m/>
    <n v="0"/>
    <m/>
    <n v="0"/>
    <s v="Logber - Colatina Es"/>
    <s v="CIF"/>
    <n v="398.17"/>
    <n v="208987.95"/>
    <s v="julho_2022"/>
    <n v="398.17"/>
  </r>
  <r>
    <n v="15064"/>
    <x v="17"/>
    <n v="7384827000195"/>
    <s v="Wago Eletroeletronicos Ltda"/>
    <s v="Jundiai"/>
    <s v="SP"/>
    <n v="25793"/>
    <s v="SERVIÇO"/>
    <s v="V"/>
    <s v="PE"/>
    <s v="Normal"/>
    <s v="28693 00 B"/>
    <m/>
    <d v="2022-03-31T00:00:00"/>
    <d v="2022-07-08T00:00:00"/>
    <d v="2022-03-31T00:00:00"/>
    <s v="  /  /  "/>
    <n v="0"/>
    <s v="  /  /  "/>
    <n v="0"/>
    <s v="                                        "/>
    <s v="  /  /  "/>
    <m/>
    <s v="/  /"/>
    <s v="Sem rota"/>
    <n v="2203"/>
    <s v="50% Conf e 50% 14ddf"/>
    <n v="0"/>
    <m/>
    <n v="0"/>
    <m/>
    <s v="CIF"/>
    <n v="0"/>
    <n v="7020"/>
    <s v="julho_2022"/>
    <n v="0"/>
  </r>
  <r>
    <n v="15057"/>
    <x v="0"/>
    <n v="74072513000659"/>
    <s v="Agro Comercial Afubra Ltda"/>
    <s v="Ararangua"/>
    <s v="SC"/>
    <n v="25667"/>
    <s v="PP3"/>
    <s v="V"/>
    <s v="PE"/>
    <s v="Normal"/>
    <s v="29081 00 A"/>
    <m/>
    <d v="2022-03-18T00:00:00"/>
    <d v="2022-07-15T00:00:00"/>
    <d v="2022-03-18T00:00:00"/>
    <s v="  /  /  "/>
    <n v="0"/>
    <s v="  /  /  "/>
    <n v="0"/>
    <s v="                                        "/>
    <s v="  /  /  "/>
    <s v="sa675"/>
    <d v="2022-03-24T00:00:00"/>
    <s v="Sem rota"/>
    <n v="0"/>
    <m/>
    <n v="0"/>
    <m/>
    <n v="0"/>
    <s v="Logber - Colatina Es"/>
    <s v="CIF"/>
    <n v="351.28"/>
    <n v="16272.2"/>
    <s v="julho_2022"/>
    <n v="351.28"/>
  </r>
  <r>
    <n v="15063"/>
    <x v="23"/>
    <n v="39350459000150"/>
    <s v="Agti Empreendimentos Ltda"/>
    <s v="Serra"/>
    <s v="ES"/>
    <n v="26290"/>
    <s v="PP1"/>
    <s v="V"/>
    <s v="PE"/>
    <s v="Normal"/>
    <s v="29222 01 B"/>
    <m/>
    <d v="2022-05-31T00:00:00"/>
    <d v="2022-07-15T00:00:00"/>
    <d v="2022-06-07T00:00:00"/>
    <s v="  /  /  "/>
    <n v="0"/>
    <s v="  /  /  "/>
    <n v="0"/>
    <s v="                                        "/>
    <s v="  /  /  "/>
    <s v="sa754"/>
    <d v="2022-06-07T00:00:00"/>
    <s v="Tims"/>
    <n v="0"/>
    <m/>
    <n v="0"/>
    <m/>
    <n v="0"/>
    <s v="Logber - Colatina Es"/>
    <s v="CIF"/>
    <n v="30731.239999999998"/>
    <n v="991200"/>
    <s v="julho_2022"/>
    <n v="30731.239999999998"/>
  </r>
  <r>
    <n v="15066"/>
    <x v="18"/>
    <n v="60498706013488"/>
    <s v="Cargill Agricola S/A"/>
    <s v="Uberlandia"/>
    <s v="MG"/>
    <n v="25317"/>
    <s v="DRI2"/>
    <s v="V"/>
    <s v="PE"/>
    <s v="Normal"/>
    <s v="27427 03 D"/>
    <n v="4511206584"/>
    <d v="2022-01-21T00:00:00"/>
    <d v="2022-07-15T00:00:00"/>
    <d v="2022-03-09T00:00:00"/>
    <s v="  /  /  "/>
    <n v="0"/>
    <s v="  /  /  "/>
    <n v="0"/>
    <s v="                                        "/>
    <s v="  /  /  "/>
    <s v="sa640"/>
    <d v="2022-02-17T00:00:00"/>
    <s v="Sem rota"/>
    <n v="0"/>
    <m/>
    <n v="0"/>
    <m/>
    <n v="0"/>
    <s v="Logber - Colatina Es"/>
    <s v="CIF"/>
    <n v="1628.9"/>
    <n v="826000"/>
    <s v="julho_2022"/>
    <n v="1628.9"/>
  </r>
  <r>
    <n v="15074"/>
    <x v="21"/>
    <n v="45070190000232"/>
    <s v="Cebrace Cristal Plano Ltda"/>
    <s v="Jacarei"/>
    <s v="SP"/>
    <n v="25752"/>
    <s v="PP2"/>
    <s v="V"/>
    <s v="PE"/>
    <s v="Normal"/>
    <s v="27566 02 C"/>
    <n v="4500515784"/>
    <d v="2022-03-28T00:00:00"/>
    <d v="2022-07-15T00:00:00"/>
    <d v="2022-03-28T00:00:00"/>
    <s v="  /  /  "/>
    <n v="0"/>
    <s v="  /  /  "/>
    <n v="0"/>
    <s v="                                        "/>
    <s v="  /  /  "/>
    <s v="sa682"/>
    <d v="2022-04-05T00:00:00"/>
    <s v="Sem rota"/>
    <n v="0"/>
    <m/>
    <n v="0"/>
    <m/>
    <n v="0"/>
    <s v="Logber - Colatina Es"/>
    <s v="CIF"/>
    <n v="2.9099999999999997"/>
    <n v="36324.239999999998"/>
    <s v="julho_2022"/>
    <n v="2.9099999999999997"/>
  </r>
  <r>
    <n v="15059"/>
    <x v="20"/>
    <n v="43270628000209"/>
    <s v="Confeccoes Kacyumara Ltda"/>
    <s v="Brusque"/>
    <s v="SC"/>
    <n v="25894"/>
    <s v="PP2"/>
    <s v="V"/>
    <s v="PE"/>
    <s v="Normal"/>
    <s v="28473 01 B"/>
    <m/>
    <d v="2022-04-11T00:00:00"/>
    <d v="2022-07-15T00:00:00"/>
    <d v="2022-04-19T00:00:00"/>
    <s v="  /  /  "/>
    <n v="0"/>
    <s v="  /  /  "/>
    <n v="0"/>
    <s v="                                        "/>
    <s v="  /  /  "/>
    <s v="sa699"/>
    <d v="2022-04-20T00:00:00"/>
    <s v="Sem rota"/>
    <n v="2257"/>
    <s v="40% Conf/30%14ddf/saldo28ddf"/>
    <n v="0"/>
    <m/>
    <n v="0"/>
    <s v="Logber - Colatina Es"/>
    <s v="CIF"/>
    <n v="93.259999999999991"/>
    <n v="85996.93"/>
    <s v="julho_2022"/>
    <n v="93.259999999999991"/>
  </r>
  <r>
    <n v="15051"/>
    <x v="13"/>
    <n v="77765840000170"/>
    <s v="Contabilista Suprimentos para Escritorio"/>
    <s v="Curitiba"/>
    <s v="PR"/>
    <n v="25331"/>
    <s v="FLR1"/>
    <s v="V"/>
    <s v="PE"/>
    <s v="Normal"/>
    <s v="26995 04 F"/>
    <m/>
    <d v="2022-01-24T00:00:00"/>
    <d v="2022-07-15T00:00:00"/>
    <d v="2022-02-16T00:00:00"/>
    <s v="  /  /  "/>
    <n v="0"/>
    <s v="  /  /  "/>
    <n v="0"/>
    <s v="                                        "/>
    <s v="  /  /  "/>
    <s v="sa648"/>
    <d v="2022-03-01T00:00:00"/>
    <s v="Sem rota"/>
    <n v="0"/>
    <m/>
    <n v="0"/>
    <m/>
    <n v="0"/>
    <s v="Logber - Colatina Es"/>
    <s v="CIF"/>
    <n v="674.62"/>
    <n v="175040.96"/>
    <s v="julho_2022"/>
    <n v="674.62"/>
  </r>
  <r>
    <n v="15051"/>
    <x v="13"/>
    <n v="77765840000170"/>
    <s v="Contabilista Suprimentos para Escritorio"/>
    <s v="Curitiba"/>
    <s v="PR"/>
    <n v="25332"/>
    <s v="AUTOMAÇÃO"/>
    <s v="V"/>
    <s v="PE"/>
    <s v="Normal"/>
    <s v="26995 04 F"/>
    <m/>
    <d v="2022-01-24T00:00:00"/>
    <d v="2022-07-15T00:00:00"/>
    <d v="2022-03-07T00:00:00"/>
    <s v="  /  /  "/>
    <n v="0"/>
    <s v="  /  /  "/>
    <n v="0"/>
    <s v="                                        "/>
    <s v="  /  /  "/>
    <s v="sa688"/>
    <d v="2022-04-11T00:00:00"/>
    <s v="Sem rota"/>
    <n v="0"/>
    <m/>
    <n v="0"/>
    <m/>
    <n v="0"/>
    <m/>
    <s v="CIF"/>
    <n v="0"/>
    <n v="1147905"/>
    <s v="julho_2022"/>
    <n v="0"/>
  </r>
  <r>
    <n v="15020"/>
    <x v="7"/>
    <n v="108"/>
    <s v="Embotelladoras Bolivianas Unidas S.a"/>
    <s v="La Paz"/>
    <s v="EX"/>
    <n v="25124"/>
    <s v="DRI2"/>
    <s v="V"/>
    <s v="PE"/>
    <s v="Normal"/>
    <s v="27969 01 A"/>
    <n v="1470011020"/>
    <d v="2021-12-13T00:00:00"/>
    <d v="2022-07-15T00:00:00"/>
    <d v="2021-12-20T00:00:00"/>
    <s v="  /  /  "/>
    <n v="0"/>
    <s v="  /  /  "/>
    <n v="0"/>
    <s v="                                        "/>
    <s v="  /  /  "/>
    <s v="sa633"/>
    <d v="2022-02-11T00:00:00"/>
    <s v="Sem rota"/>
    <n v="0"/>
    <m/>
    <n v="0"/>
    <m/>
    <n v="0"/>
    <m/>
    <s v="FCA"/>
    <n v="294.27999999999997"/>
    <n v="220063.5"/>
    <s v="julho_2022"/>
    <n v="294.27999999999997"/>
  </r>
  <r>
    <n v="15020"/>
    <x v="7"/>
    <n v="0"/>
    <s v="Embotteladoras Bolivianas Unidas S/a"/>
    <s v="La Paz"/>
    <s v="EX"/>
    <n v="25176"/>
    <s v="CST1"/>
    <s v="O"/>
    <s v="PE"/>
    <s v="Normal"/>
    <s v="25471 00 C"/>
    <m/>
    <d v="2021-12-17T00:00:00"/>
    <d v="2022-07-15T00:00:00"/>
    <d v="2022-03-25T00:00:00"/>
    <s v="  /  /  "/>
    <n v="0"/>
    <s v="  /  /  "/>
    <n v="0"/>
    <s v="                                        "/>
    <s v="  /  /  "/>
    <s v="sa661"/>
    <d v="2022-03-14T00:00:00"/>
    <s v="Sem rota"/>
    <n v="0"/>
    <m/>
    <n v="0"/>
    <m/>
    <n v="0"/>
    <m/>
    <s v="CIF"/>
    <n v="210.06"/>
    <n v="47553.279999999999"/>
    <s v="julho_2022"/>
    <n v="210.06"/>
  </r>
  <r>
    <n v="15910"/>
    <x v="11"/>
    <n v="955719000186"/>
    <s v="Imporiente Comercio Exterior Ltda"/>
    <s v="Duque de Caxias"/>
    <s v="RJ"/>
    <n v="26199"/>
    <s v="PP1"/>
    <s v="V"/>
    <s v="PE"/>
    <s v="Normal"/>
    <s v="29668 02 C"/>
    <m/>
    <d v="2022-05-24T00:00:00"/>
    <d v="2022-07-15T00:00:00"/>
    <d v="2022-05-24T00:00:00"/>
    <s v="  /  /  "/>
    <n v="0"/>
    <s v="  /  /  "/>
    <n v="0"/>
    <s v="                                        "/>
    <s v="  /  /  "/>
    <s v="sa740"/>
    <d v="2022-05-26T00:00:00"/>
    <s v="Sem rota"/>
    <n v="2257"/>
    <s v="40% Conf/30%14ddf/saldo28ddf"/>
    <n v="0"/>
    <m/>
    <n v="0"/>
    <s v="Logber - Colatina Es"/>
    <s v="CIF"/>
    <n v="79297.7"/>
    <n v="1385517.95"/>
    <s v="julho_2022"/>
    <n v="79297.7"/>
  </r>
  <r>
    <n v="15051"/>
    <x v="13"/>
    <n v="11283356000287"/>
    <s v="Philco Eletronicos S/A"/>
    <s v="Manaus"/>
    <s v="AM"/>
    <n v="24576"/>
    <s v="DRI2"/>
    <s v="V"/>
    <s v="PE"/>
    <s v="Normal"/>
    <s v="23386 02 F"/>
    <m/>
    <d v="2021-09-30T00:00:00"/>
    <d v="2022-07-15T00:00:00"/>
    <d v="2022-03-09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FOB"/>
    <n v="164406.51199999999"/>
    <n v="2660000"/>
    <s v="julho_2022"/>
    <n v="164406.51199999999"/>
  </r>
  <r>
    <n v="15051"/>
    <x v="13"/>
    <n v="11283356000287"/>
    <s v="Philco Eletronicos S/A"/>
    <s v="Manaus"/>
    <s v="AM"/>
    <n v="25258"/>
    <s v="DRI1"/>
    <s v="V"/>
    <s v="PE"/>
    <s v="Normal"/>
    <s v="24592 02 E"/>
    <m/>
    <d v="2021-12-28T00:00:00"/>
    <d v="2022-07-15T00:00:00"/>
    <d v="2022-03-09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FOB"/>
    <n v="92139.198999999993"/>
    <n v="1580000"/>
    <s v="julho_2022"/>
    <n v="92139.198999999993"/>
  </r>
  <r>
    <n v="15057"/>
    <x v="0"/>
    <n v="3707937000190"/>
    <s v="Polobrio Comercio de Mat de Limpeza Ltda"/>
    <s v="Concordia"/>
    <s v="SC"/>
    <n v="25891"/>
    <s v="PP2"/>
    <s v="V"/>
    <s v="PE"/>
    <s v="Normal"/>
    <s v="29295 01 B"/>
    <m/>
    <d v="2022-04-11T00:00:00"/>
    <d v="2022-07-15T00:00:00"/>
    <d v="2022-04-13T00:00:00"/>
    <s v="  /  /  "/>
    <n v="0"/>
    <s v="  /  /  "/>
    <n v="0"/>
    <s v="                                        "/>
    <s v="  /  /  "/>
    <s v="sa697"/>
    <d v="2022-04-18T00:00:00"/>
    <s v="Sem rota"/>
    <n v="2257"/>
    <s v="40% Conf/30%14ddf/saldo28ddf"/>
    <n v="0"/>
    <m/>
    <n v="0"/>
    <s v="Logber - Colatina Es"/>
    <s v="CIF"/>
    <n v="2.8"/>
    <n v="4309.1400000000003"/>
    <s v="julho_2022"/>
    <n v="2.8"/>
  </r>
  <r>
    <n v="15057"/>
    <x v="0"/>
    <n v="4478981000138"/>
    <s v="Schulz &amp; Thurow Ltda"/>
    <s v="Pelotas"/>
    <s v="RS"/>
    <n v="25679"/>
    <s v="PP3"/>
    <s v="V"/>
    <s v="PE"/>
    <s v="Normal"/>
    <s v="29049 01 B"/>
    <m/>
    <d v="2022-03-21T00:00:00"/>
    <d v="2022-07-15T00:00:00"/>
    <d v="2022-03-22T00:00:00"/>
    <s v="  /  /  "/>
    <n v="0"/>
    <s v="  /  /  "/>
    <n v="0"/>
    <s v="                                        "/>
    <s v="  /  /  "/>
    <s v="sa676"/>
    <d v="2022-03-28T00:00:00"/>
    <s v="Sem rota"/>
    <n v="2257"/>
    <s v="40% Conf/30%14ddf/saldo28ddf"/>
    <n v="0"/>
    <m/>
    <n v="0"/>
    <s v="Logber - Colatina Es"/>
    <s v="CIF"/>
    <n v="0.93"/>
    <n v="3247.21"/>
    <s v="julho_2022"/>
    <n v="0.93"/>
  </r>
  <r>
    <n v="15076"/>
    <x v="31"/>
    <n v="61454393000106"/>
    <s v="Recofarma Industria do Amazonas Ltda"/>
    <s v="Manaus"/>
    <s v="AM"/>
    <n v="25255"/>
    <s v="DRI1"/>
    <s v="V"/>
    <s v="PE"/>
    <s v="Normal"/>
    <s v="22888 01 E"/>
    <n v="4509095212"/>
    <d v="2021-12-29T00:00:00"/>
    <d v="2022-07-15T00:00:00"/>
    <d v="2022-01-11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m/>
    <s v="FOB"/>
    <n v="10744.035"/>
    <n v="215134.67"/>
    <s v="julho_2022"/>
    <n v="10744.035"/>
  </r>
  <r>
    <n v="15057"/>
    <x v="0"/>
    <n v="9228600000186"/>
    <s v="Sul Doces Distribuidora Ltda."/>
    <s v="Lajeado"/>
    <s v="RS"/>
    <n v="25907"/>
    <s v="PP3"/>
    <s v="V"/>
    <s v="PE"/>
    <s v="Normal"/>
    <s v="29394 02 B"/>
    <m/>
    <d v="2022-04-14T00:00:00"/>
    <d v="2022-07-15T00:00:00"/>
    <d v="2022-04-19T00:00:00"/>
    <s v="  /  /  "/>
    <n v="0"/>
    <s v="  /  /  "/>
    <n v="0"/>
    <s v="                                        "/>
    <s v="  /  /  "/>
    <s v="sa699"/>
    <d v="2022-04-20T00:00:00"/>
    <s v="Sem rota"/>
    <n v="0"/>
    <m/>
    <n v="0"/>
    <m/>
    <n v="0"/>
    <s v="Logber - Colatina Es"/>
    <s v="CIF"/>
    <n v="51.11"/>
    <n v="41797.589999999997"/>
    <s v="julho_2022"/>
    <n v="51.11"/>
  </r>
  <r>
    <n v="15067"/>
    <x v="3"/>
    <n v="87727277000107"/>
    <s v="Instituto Pasteur de Cosmiatria Ltda"/>
    <s v="Porto Alegre"/>
    <s v="RS"/>
    <n v="26112"/>
    <s v="PP1"/>
    <s v="V"/>
    <s v="PE"/>
    <s v="Normal"/>
    <s v="29202 02 C"/>
    <n v="19152"/>
    <d v="2022-05-12T00:00:00"/>
    <d v="2022-07-20T00:00:00"/>
    <d v="2022-05-16T00:00:00"/>
    <s v="  /  /  "/>
    <n v="0"/>
    <s v="  /  /  "/>
    <n v="0"/>
    <s v="                                        "/>
    <s v="  /  /  "/>
    <s v="sa728"/>
    <d v="2022-05-17T00:00:00"/>
    <s v="Sem rota"/>
    <n v="0"/>
    <m/>
    <n v="0"/>
    <m/>
    <n v="0"/>
    <s v="Logber - Colatina Es"/>
    <s v="CIF"/>
    <n v="3452.07"/>
    <n v="180142.34"/>
    <s v="julho_2022"/>
    <n v="3452.07"/>
  </r>
  <r>
    <n v="15057"/>
    <x v="0"/>
    <n v="37014225000107"/>
    <s v="Bbh Indústria de Máquinas Ltda"/>
    <s v="Campos Novos"/>
    <s v="SC"/>
    <n v="25934"/>
    <s v="PP1"/>
    <s v="V"/>
    <s v="PE"/>
    <s v="Normal"/>
    <s v="28565 03 C"/>
    <n v="252"/>
    <d v="2022-04-19T00:00:00"/>
    <d v="2022-07-22T00:00:00"/>
    <d v="2022-04-19T00:00:00"/>
    <s v="  /  /  "/>
    <n v="0"/>
    <s v="  /  /  "/>
    <n v="0"/>
    <s v="                                        "/>
    <s v="  /  /  "/>
    <s v="sa703"/>
    <d v="2022-04-27T00:00:00"/>
    <s v="Sem rota"/>
    <n v="0"/>
    <m/>
    <n v="0"/>
    <m/>
    <n v="0"/>
    <s v="Logber - Colatina Es"/>
    <s v="CIF"/>
    <n v="104.59"/>
    <n v="18700.43"/>
    <s v="julho_2022"/>
    <n v="104.59"/>
  </r>
  <r>
    <n v="15052"/>
    <x v="25"/>
    <n v="58538372000156"/>
    <s v="Bio-art- Equip Odontologicos Ltda"/>
    <s v="Sao Carlos"/>
    <s v="SP"/>
    <n v="25948"/>
    <s v="PP2"/>
    <s v="V"/>
    <s v="PE"/>
    <s v="Normal"/>
    <s v="29444 02 C"/>
    <n v="45550"/>
    <d v="2022-04-20T00:00:00"/>
    <d v="2022-07-22T00:00:00"/>
    <d v="2022-04-25T00:00:00"/>
    <s v="  /  /  "/>
    <n v="0"/>
    <s v="  /  /  "/>
    <n v="0"/>
    <s v="                                        "/>
    <s v="  /  /  "/>
    <s v="sa713"/>
    <d v="2022-05-05T00:00:00"/>
    <s v="Sem rota"/>
    <n v="2257"/>
    <s v="40% Conf/30%14ddf/saldo28ddf"/>
    <n v="0"/>
    <m/>
    <n v="0"/>
    <s v="Logber - Colatina Es"/>
    <s v="CIF"/>
    <n v="107.22"/>
    <n v="18760.53"/>
    <s v="julho_2022"/>
    <n v="107.22"/>
  </r>
  <r>
    <n v="15064"/>
    <x v="17"/>
    <n v="45569555000197"/>
    <s v="Catalent Brasil Ltda"/>
    <s v="Sorocaba"/>
    <s v="SP"/>
    <n v="25945"/>
    <s v="PP1"/>
    <s v="V"/>
    <s v="PE"/>
    <s v="Normal"/>
    <s v="21117 04 E"/>
    <s v="007962/1"/>
    <d v="2022-04-20T00:00:00"/>
    <d v="2022-07-22T00:00:00"/>
    <d v="2022-04-20T00:00:00"/>
    <s v="  /  /  "/>
    <n v="0"/>
    <s v="  /  /  "/>
    <n v="0"/>
    <s v="                                        "/>
    <s v="  /  /  "/>
    <s v="sa703"/>
    <d v="2022-04-27T00:00:00"/>
    <s v="Sem rota"/>
    <n v="2000"/>
    <s v="28 DDF S/juros"/>
    <n v="0"/>
    <m/>
    <n v="0"/>
    <s v="Logber - Colatina Es"/>
    <s v="CIF"/>
    <n v="2278.0499999999997"/>
    <n v="94542.17"/>
    <s v="julho_2022"/>
    <n v="2278.0499999999997"/>
  </r>
  <r>
    <n v="15057"/>
    <x v="0"/>
    <n v="97078463004952"/>
    <s v="Coop Triticola Reg Saoluizense Ltda"/>
    <s v="Sao Luiz Gonzaga"/>
    <s v="RS"/>
    <n v="26143"/>
    <s v="PP1"/>
    <s v="V"/>
    <s v="PE"/>
    <s v="Normal"/>
    <s v="29553 00 B"/>
    <m/>
    <d v="2022-05-17T00:00:00"/>
    <d v="2022-07-22T00:00:00"/>
    <d v="2022-05-17T00:00:00"/>
    <s v="  /  /  "/>
    <n v="0"/>
    <s v="  /  /  "/>
    <n v="0"/>
    <s v="                                        "/>
    <s v="  /  /  "/>
    <s v="sa738"/>
    <d v="2022-05-24T00:00:00"/>
    <s v="Sem rota"/>
    <n v="2000"/>
    <s v="28 DDF S/juros"/>
    <n v="0"/>
    <m/>
    <n v="0"/>
    <s v="Logber - Colatina Es"/>
    <s v="CIF"/>
    <n v="371.03"/>
    <n v="9215.06"/>
    <s v="julho_2022"/>
    <n v="371.03"/>
  </r>
  <r>
    <n v="15063"/>
    <x v="23"/>
    <n v="16582162000115"/>
    <s v="Coop de Con dos Particip da Rede Farmes"/>
    <s v="Vila Velha"/>
    <s v="ES"/>
    <n v="25879"/>
    <s v="PP3"/>
    <s v="V"/>
    <s v="PE"/>
    <s v="Normal"/>
    <s v="29192 02 B"/>
    <m/>
    <d v="2022-04-08T00:00:00"/>
    <d v="2022-07-22T00:00:00"/>
    <d v="2022-04-12T00:00:00"/>
    <s v="  /  /  "/>
    <n v="0"/>
    <s v="  /  /  "/>
    <n v="0"/>
    <s v="                                        "/>
    <s v="  /  /  "/>
    <s v="sa694"/>
    <d v="2022-04-13T00:00:00"/>
    <s v="Sem rota"/>
    <n v="0"/>
    <m/>
    <n v="0"/>
    <m/>
    <n v="0"/>
    <s v="Logber - Colatina Es"/>
    <s v="CIF"/>
    <n v="4086.2200000000007"/>
    <n v="106347.5"/>
    <s v="julho_2022"/>
    <n v="4086.2200000000007"/>
  </r>
  <r>
    <n v="15051"/>
    <x v="13"/>
    <n v="1287588000845"/>
    <s v="Dass Nordeste Calcados e Art. Esp. Ltda"/>
    <s v="Vitoria da Conquista"/>
    <s v="BA"/>
    <n v="25947"/>
    <s v="PP2"/>
    <s v="V"/>
    <s v="PE"/>
    <s v="Normal"/>
    <s v="29141 01 D"/>
    <n v="10007195"/>
    <d v="2022-04-20T00:00:00"/>
    <d v="2022-07-22T00:00:00"/>
    <d v="2022-04-20T00:00:00"/>
    <s v="  /  /  "/>
    <n v="0"/>
    <s v="  /  /  "/>
    <n v="0"/>
    <s v="                                        "/>
    <s v="  /  /  "/>
    <s v="sa713"/>
    <d v="2022-05-05T00:00:00"/>
    <s v="Sem rota"/>
    <n v="784"/>
    <s v="28/56/84/112 DDF S/juros"/>
    <n v="0"/>
    <m/>
    <n v="0"/>
    <m/>
    <s v="FOB"/>
    <n v="4443.17"/>
    <n v="145066.25"/>
    <s v="julho_2022"/>
    <n v="4443.17"/>
  </r>
  <r>
    <n v="15079"/>
    <x v="27"/>
    <n v="28990075000852"/>
    <s v="Diagnosticos Laboratoriais Especializada"/>
    <s v="Vespasiano"/>
    <s v="MG"/>
    <n v="26298"/>
    <s v="PP1"/>
    <s v="V"/>
    <s v="PE"/>
    <s v="Normal"/>
    <s v="29523 01 C"/>
    <m/>
    <d v="2022-05-31T00:00:00"/>
    <d v="2022-07-22T00:00:00"/>
    <d v="2022-06-09T00:00:00"/>
    <s v="  /  /  "/>
    <n v="0"/>
    <s v="  /  /  "/>
    <n v="0"/>
    <s v="                                        "/>
    <s v="  /  /  "/>
    <s v="sa757"/>
    <d v="2022-06-08T00:00:00"/>
    <s v="Sem rota"/>
    <n v="0"/>
    <m/>
    <n v="0"/>
    <m/>
    <n v="0"/>
    <s v="Logber - Colatina Es"/>
    <s v="CIF"/>
    <n v="1875.3400000000001"/>
    <n v="80000"/>
    <s v="julho_2022"/>
    <n v="1875.3400000000001"/>
  </r>
  <r>
    <n v="15074"/>
    <x v="21"/>
    <n v="58635830000175"/>
    <s v="Farmarin Industria e Comercio Ltda"/>
    <s v="Guarulhos"/>
    <s v="SP"/>
    <n v="25162"/>
    <s v="DRI1"/>
    <s v="V"/>
    <s v="PE"/>
    <s v="Normal"/>
    <s v="16315 08 K"/>
    <n v="10905"/>
    <d v="2021-12-16T00:00:00"/>
    <d v="2022-07-22T00:00:00"/>
    <d v="2022-06-07T00:00:00"/>
    <s v="  /  /  "/>
    <n v="0"/>
    <s v="  /  /  "/>
    <n v="0"/>
    <s v="                                        "/>
    <s v="  /  /  "/>
    <s v="sa634"/>
    <d v="2022-02-11T00:00:00"/>
    <s v="Sem rota"/>
    <n v="600"/>
    <s v="30/60/90/120/ Ddf Sem Juros"/>
    <n v="0"/>
    <m/>
    <n v="0"/>
    <s v="Logber - Colatina Es"/>
    <s v="CIF"/>
    <n v="913.24999999999989"/>
    <n v="358277.5"/>
    <s v="julho_2022"/>
    <n v="913.24999999999989"/>
  </r>
  <r>
    <n v="15057"/>
    <x v="0"/>
    <n v="88674080000101"/>
    <s v="Tramontina Eletrik S/A"/>
    <s v="Carlos Barbosa"/>
    <s v="RS"/>
    <n v="25937"/>
    <s v="PP1"/>
    <s v="V"/>
    <s v="PE"/>
    <s v="Normal"/>
    <s v="29377 01 B"/>
    <n v="188544"/>
    <d v="2022-04-19T00:00:00"/>
    <d v="2022-07-22T00:00:00"/>
    <d v="2022-04-19T00:00:00"/>
    <s v="  /  /  "/>
    <n v="0"/>
    <s v="  /  /  "/>
    <n v="0"/>
    <s v="                                        "/>
    <s v="  /  /  "/>
    <s v="sa703"/>
    <d v="2022-04-27T00:00:00"/>
    <s v="Sem rota"/>
    <n v="119"/>
    <s v="28/56/84 Ddf S/juros"/>
    <n v="0"/>
    <m/>
    <n v="0"/>
    <s v="Logber - Colatina Es"/>
    <s v="CIF"/>
    <n v="4841.47"/>
    <n v="98087.5"/>
    <s v="julho_2022"/>
    <n v="4841.47"/>
  </r>
  <r>
    <n v="15059"/>
    <x v="20"/>
    <n v="58500398000610"/>
    <s v="Imb Textil S.A"/>
    <s v="Biguacu"/>
    <s v="SC"/>
    <n v="25479"/>
    <s v="PP2"/>
    <s v="V"/>
    <s v="PE"/>
    <s v="Normal"/>
    <s v="29174 01 B"/>
    <m/>
    <d v="2022-03-28T00:00:00"/>
    <d v="2022-07-22T00:00:00"/>
    <d v="2022-04-01T00:00:00"/>
    <s v="  /  /  "/>
    <n v="0"/>
    <s v="  /  /  "/>
    <n v="0"/>
    <s v="                                        "/>
    <s v="  /  /  "/>
    <s v="sa682"/>
    <d v="2022-04-05T00:00:00"/>
    <s v="Sem rota"/>
    <n v="2257"/>
    <s v="40% Conf/30%14ddf/saldo28ddf"/>
    <n v="0"/>
    <m/>
    <n v="0"/>
    <s v="Logber - Colatina Es"/>
    <s v="CIF"/>
    <n v="19.11"/>
    <n v="61950"/>
    <s v="julho_2022"/>
    <n v="19.11"/>
  </r>
  <r>
    <n v="15079"/>
    <x v="27"/>
    <n v="7159649000107"/>
    <s v="M K Locacao de Maquinas Ltda"/>
    <s v="Betim"/>
    <s v="MG"/>
    <n v="25813"/>
    <s v="PP3"/>
    <s v="V"/>
    <s v="PE"/>
    <s v="Normal"/>
    <s v="28753 00 E"/>
    <m/>
    <d v="2022-03-31T00:00:00"/>
    <d v="2022-07-22T00:00:00"/>
    <d v="2022-04-06T00:00:00"/>
    <s v="  /  /  "/>
    <n v="0"/>
    <s v="  /  /  "/>
    <n v="0"/>
    <s v="                                        "/>
    <s v="  /  /  "/>
    <s v="sa697"/>
    <d v="2022-04-18T00:00:00"/>
    <s v="Sem rota"/>
    <n v="2257"/>
    <s v="40% Conf/30%14ddf/saldo28ddf"/>
    <n v="0"/>
    <m/>
    <n v="0"/>
    <m/>
    <s v="CIF"/>
    <n v="207.55"/>
    <n v="153755.76999999999"/>
    <s v="julho_2022"/>
    <n v="207.55"/>
  </r>
  <r>
    <n v="15059"/>
    <x v="20"/>
    <n v="84229624000175"/>
    <s v="Metalurgica Fey Ltda"/>
    <s v="Indaial"/>
    <s v="SC"/>
    <n v="25818"/>
    <s v="PP3"/>
    <s v="V"/>
    <s v="PE"/>
    <s v="Normal"/>
    <s v="28470 03 D"/>
    <n v="4500015955"/>
    <d v="2022-03-31T00:00:00"/>
    <d v="2022-07-22T00:00:00"/>
    <d v="2022-04-07T00:00:00"/>
    <s v="  /  /  "/>
    <n v="0"/>
    <s v="  /  /  "/>
    <n v="0"/>
    <s v="                                        "/>
    <s v="  /  /  "/>
    <s v="sa697"/>
    <d v="2022-04-18T00:00:00"/>
    <s v="Sem rota"/>
    <n v="2257"/>
    <s v="40% Conf/30%14ddf/saldo28ddf"/>
    <n v="0"/>
    <m/>
    <n v="0"/>
    <s v="Logber - Colatina Es"/>
    <s v="CIF"/>
    <n v="1339.32"/>
    <n v="141906.82"/>
    <s v="julho_2022"/>
    <n v="1339.32"/>
  </r>
  <r>
    <n v="15062"/>
    <x v="1"/>
    <n v="59476770003769"/>
    <s v="Procter Gamble do Brasil Ltda"/>
    <s v="Seropedica"/>
    <s v="RJ"/>
    <n v="25809"/>
    <s v="PSH1"/>
    <s v="V"/>
    <s v="PE"/>
    <s v="Normal"/>
    <s v="28134 05 I"/>
    <m/>
    <d v="2022-03-31T00:00:00"/>
    <d v="2022-07-22T00:00:00"/>
    <d v="2022-04-20T00:00:00"/>
    <s v="  /  /  "/>
    <n v="0"/>
    <s v="  /  /  "/>
    <n v="0"/>
    <s v="                                        "/>
    <s v="  /  /  "/>
    <s v="sa702"/>
    <d v="2022-04-27T00:00:00"/>
    <s v="Sem rota"/>
    <n v="944"/>
    <s v="90 DDF Sem Juros"/>
    <n v="0"/>
    <m/>
    <n v="0"/>
    <m/>
    <s v="CIF"/>
    <n v="24203.63"/>
    <n v="1128624.7"/>
    <s v="julho_2022"/>
    <n v="24203.63"/>
  </r>
  <r>
    <n v="15062"/>
    <x v="1"/>
    <n v="59476770003769"/>
    <s v="Procter Gamble do Brasil Ltda"/>
    <s v="Seropedica"/>
    <s v="RJ"/>
    <n v="25962"/>
    <s v="DIN1"/>
    <s v="V"/>
    <s v="PE"/>
    <s v="Normal"/>
    <s v="28134 05 I"/>
    <m/>
    <d v="2022-03-31T00:00:00"/>
    <d v="2022-07-22T00:00:00"/>
    <d v="2022-04-25T00:00:00"/>
    <s v="  /  /  "/>
    <n v="0"/>
    <s v="  /  /  "/>
    <n v="0"/>
    <s v="                                        "/>
    <s v="  /  /  "/>
    <s v="sa720"/>
    <d v="2022-05-10T00:00:00"/>
    <s v="Sem rota"/>
    <n v="944"/>
    <s v="90 DDF Sem Juros"/>
    <n v="0"/>
    <m/>
    <n v="0"/>
    <s v="Logber - Colatina Es"/>
    <s v="CIF"/>
    <n v="566.82000000000005"/>
    <n v="55000"/>
    <s v="julho_2022"/>
    <n v="566.82000000000005"/>
  </r>
  <r>
    <n v="15062"/>
    <x v="1"/>
    <n v="59476770003769"/>
    <s v="Procter Gamble do Brasil Ltda"/>
    <s v="Seropedica"/>
    <s v="RJ"/>
    <n v="25963"/>
    <s v="SERVIÇO"/>
    <s v="V"/>
    <s v="PE"/>
    <s v="Normal"/>
    <s v="28134 05 I"/>
    <m/>
    <d v="2022-03-31T00:00:00"/>
    <d v="2022-07-22T00:00:00"/>
    <d v="2022-04-25T00:00:00"/>
    <s v="  /  /  "/>
    <n v="0"/>
    <s v="  /  /  "/>
    <n v="0"/>
    <s v="                                        "/>
    <s v="  /  /  "/>
    <m/>
    <s v="/  /"/>
    <s v="Sem rota"/>
    <n v="944"/>
    <s v="90 DDF Sem Juros"/>
    <n v="0"/>
    <m/>
    <n v="0"/>
    <m/>
    <s v="CIF"/>
    <n v="0"/>
    <n v="523634.52"/>
    <s v="julho_2022"/>
    <n v="0"/>
  </r>
  <r>
    <n v="15075"/>
    <x v="5"/>
    <n v="94661428000200"/>
    <s v="Peter Chemical Industrial e Comercial Ei"/>
    <s v="Novo Hamburgo"/>
    <s v="RS"/>
    <n v="25952"/>
    <s v="PP2"/>
    <s v="V"/>
    <s v="PE"/>
    <s v="Normal"/>
    <s v="29266 00 B"/>
    <n v="1202"/>
    <d v="2022-04-20T00:00:00"/>
    <d v="2022-07-22T00:00:00"/>
    <d v="2022-05-05T00:00:00"/>
    <s v="  /  /  "/>
    <n v="0"/>
    <s v="  /  /  "/>
    <n v="0"/>
    <s v="                                        "/>
    <s v="  /  /  "/>
    <s v="sa715"/>
    <d v="2022-05-09T00:00:00"/>
    <s v="Sem rota"/>
    <n v="0"/>
    <m/>
    <n v="0"/>
    <m/>
    <n v="0"/>
    <s v="Logber - Colatina Es"/>
    <s v="CIF"/>
    <n v="1.59"/>
    <n v="17934.53"/>
    <s v="julho_2022"/>
    <n v="1.59"/>
  </r>
  <r>
    <n v="15057"/>
    <x v="0"/>
    <n v="21205440000155"/>
    <s v="Plasticos Vernier Eireli Epp"/>
    <s v="Santa Cruz do Sul"/>
    <s v="RS"/>
    <n v="25940"/>
    <s v="PP2"/>
    <s v="V"/>
    <s v="PE"/>
    <s v="Normal"/>
    <s v="28675 04 H"/>
    <m/>
    <d v="2022-04-19T00:00:00"/>
    <d v="2022-07-22T00:00:00"/>
    <d v="2022-04-20T00:00:00"/>
    <s v="  /  /  "/>
    <n v="0"/>
    <s v="  /  /  "/>
    <n v="0"/>
    <s v="                                        "/>
    <s v="  /  /  "/>
    <s v="sa701"/>
    <d v="2022-04-27T00:00:00"/>
    <s v="Sem rota"/>
    <n v="2257"/>
    <s v="40% Conf/30%14ddf/saldo28ddf"/>
    <n v="0"/>
    <m/>
    <n v="0"/>
    <s v="Logber - Colatina Es"/>
    <s v="CIF"/>
    <n v="501.48"/>
    <n v="36584.57"/>
    <s v="julho_2022"/>
    <n v="501.48"/>
  </r>
  <r>
    <n v="15067"/>
    <x v="3"/>
    <n v="18808950000102"/>
    <s v="Rm Artigos Funerarios Ltda"/>
    <s v="Caxias do Sul"/>
    <s v="RS"/>
    <n v="25796"/>
    <s v="PP3"/>
    <s v="V"/>
    <s v="PE"/>
    <s v="Normal"/>
    <s v="24125 02 C"/>
    <m/>
    <d v="2022-03-31T00:00:00"/>
    <d v="2022-07-22T00:00:00"/>
    <d v="2022-04-04T00:00:00"/>
    <s v="  /  /  "/>
    <n v="0"/>
    <s v="  /  /  "/>
    <n v="0"/>
    <s v="                                        "/>
    <s v="  /  /  "/>
    <s v="sa686"/>
    <d v="2022-04-08T00:00:00"/>
    <s v="Sem rota"/>
    <n v="0"/>
    <m/>
    <n v="0"/>
    <m/>
    <n v="0"/>
    <s v="Logber - Colatina Es"/>
    <s v="CIF"/>
    <n v="23.080000000000002"/>
    <n v="7743.75"/>
    <s v="julho_2022"/>
    <n v="23.080000000000002"/>
  </r>
  <r>
    <n v="15067"/>
    <x v="3"/>
    <n v="90347840000118"/>
    <s v="Tk Elevadores Brasil Ltda"/>
    <s v="Guaiba"/>
    <s v="RS"/>
    <n v="25791"/>
    <s v="PP3"/>
    <s v="V"/>
    <s v="PE"/>
    <s v="Normal"/>
    <s v="28946 01 B"/>
    <m/>
    <d v="2022-03-31T00:00:00"/>
    <d v="2022-07-22T00:00:00"/>
    <d v="2022-04-25T00:00:00"/>
    <s v="  /  /  "/>
    <n v="0"/>
    <s v="  /  /  "/>
    <n v="0"/>
    <s v="                                        "/>
    <s v="  /  /  "/>
    <s v="sa701"/>
    <d v="2022-04-27T00:00:00"/>
    <s v="Sem rota"/>
    <n v="2257"/>
    <s v="40% Conf/30%14ddf/saldo28ddf"/>
    <n v="0"/>
    <m/>
    <n v="0"/>
    <s v="Logber - Colatina Es"/>
    <s v="CIF"/>
    <n v="3742.4300000000007"/>
    <n v="390608.43"/>
    <s v="julho_2022"/>
    <n v="3742.4300000000007"/>
  </r>
  <r>
    <n v="15059"/>
    <x v="20"/>
    <n v="7175725001050"/>
    <s v="Weg Equipamentos Eletricos S/A"/>
    <s v="Jaragua do Sul"/>
    <s v="SC"/>
    <n v="25875"/>
    <s v="PP3"/>
    <s v="V"/>
    <s v="PE"/>
    <s v="Normal"/>
    <s v="27471 03 E"/>
    <n v="4512558893"/>
    <d v="2022-04-07T00:00:00"/>
    <d v="2022-07-22T00:00:00"/>
    <d v="2022-04-07T00:00:00"/>
    <s v="  /  /  "/>
    <n v="0"/>
    <s v="  /  /  "/>
    <n v="0"/>
    <s v="                                        "/>
    <s v="  /  /  "/>
    <s v="sa689"/>
    <d v="2022-04-11T00:00:00"/>
    <s v="Sem rota"/>
    <n v="2000"/>
    <s v="28 DDF S/juros"/>
    <n v="0"/>
    <m/>
    <n v="0"/>
    <s v="Logber - Colatina Es"/>
    <s v="CIF"/>
    <n v="273.04999999999995"/>
    <n v="21145.599999999999"/>
    <s v="julho_2022"/>
    <n v="273.04999999999995"/>
  </r>
  <r>
    <n v="15066"/>
    <x v="18"/>
    <n v="2003402005134"/>
    <s v="A D M do Brasil Ltda"/>
    <s v="Uberlandia"/>
    <s v="MG"/>
    <n v="25310"/>
    <s v="DRI1"/>
    <s v="V"/>
    <s v="PE"/>
    <s v="Normal"/>
    <s v="16452 00 E"/>
    <n v="3952639"/>
    <d v="2022-01-20T00:00:00"/>
    <d v="2022-07-29T00:00:00"/>
    <d v="2022-01-20T00:00:00"/>
    <s v="  /  /  "/>
    <n v="0"/>
    <s v="  /  /  "/>
    <n v="0"/>
    <s v="                                        "/>
    <s v="  /  /  "/>
    <s v="sa634"/>
    <d v="2022-02-11T00:00:00"/>
    <s v="Sem rota"/>
    <n v="44"/>
    <s v="30 DDF S/juros"/>
    <n v="0"/>
    <m/>
    <n v="0"/>
    <s v="Logber - Colatina Es"/>
    <s v="CIF"/>
    <n v="204.49"/>
    <n v="61774.48"/>
    <s v="julho_2022"/>
    <n v="204.49"/>
  </r>
  <r>
    <n v="15066"/>
    <x v="18"/>
    <n v="2003402005134"/>
    <s v="A D M do Brasil Ltda"/>
    <s v="Uberlandia"/>
    <s v="MG"/>
    <n v="25311"/>
    <s v="SERVIÇO"/>
    <s v="V"/>
    <s v="PE"/>
    <s v="Normal"/>
    <s v="16452 00 E"/>
    <n v="3952639"/>
    <d v="2022-01-20T00:00:00"/>
    <d v="2022-07-29T00:00:00"/>
    <d v="2022-01-20T00:00:00"/>
    <s v="  /  /  "/>
    <n v="0"/>
    <s v="  /  /  "/>
    <n v="0"/>
    <s v="                                        "/>
    <s v="  /  /  "/>
    <m/>
    <s v="/  /"/>
    <s v="Sem rota"/>
    <n v="44"/>
    <s v="30 DDF S/juros"/>
    <n v="0"/>
    <m/>
    <n v="0"/>
    <m/>
    <s v="CIF"/>
    <n v="0"/>
    <n v="68250"/>
    <s v="julho_2022"/>
    <n v="0"/>
  </r>
  <r>
    <n v="15064"/>
    <x v="17"/>
    <n v="3887324000181"/>
    <s v="Adimax Industria e Comercio de Alimentos"/>
    <s v="Salto de Pirapora"/>
    <s v="SP"/>
    <n v="26293"/>
    <s v="PP1"/>
    <s v="V"/>
    <s v="PE"/>
    <s v="Normal"/>
    <s v="29910 01 C"/>
    <m/>
    <d v="2022-05-31T00:00:00"/>
    <d v="2022-07-29T00:00:00"/>
    <d v="2022-06-07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42473.57"/>
    <n v="661181.23"/>
    <s v="julho_2022"/>
    <n v="42473.57"/>
  </r>
  <r>
    <n v="15064"/>
    <x v="17"/>
    <n v="3887324000181"/>
    <s v="Adimax Industria e Comercio de Alimentos"/>
    <s v="Salto de Pirapora"/>
    <s v="SP"/>
    <n v="26294"/>
    <s v="DIN1"/>
    <s v="V"/>
    <s v="PE"/>
    <s v="Normal"/>
    <s v="29910 01 C"/>
    <m/>
    <d v="2022-05-31T00:00:00"/>
    <d v="2022-07-29T00:00:00"/>
    <d v="2022-06-07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73130"/>
    <n v="1697521.98"/>
    <s v="julho_2022"/>
    <n v="73130"/>
  </r>
  <r>
    <n v="15073"/>
    <x v="16"/>
    <n v="1154956000534"/>
    <s v="Bela Tintas Ltda"/>
    <s v="Maua"/>
    <s v="SP"/>
    <n v="25970"/>
    <s v="PP1"/>
    <s v="V"/>
    <s v="PE"/>
    <s v="Normal"/>
    <s v="29375 02 B"/>
    <m/>
    <d v="2022-04-25T00:00:00"/>
    <d v="2022-07-29T00:00:00"/>
    <d v="2022-04-29T00:00:00"/>
    <s v="  /  /  "/>
    <n v="0"/>
    <s v="  /  /  "/>
    <n v="0"/>
    <s v="                                        "/>
    <s v="  /  /  "/>
    <s v="sa713"/>
    <d v="2022-05-05T00:00:00"/>
    <s v="Sem rota"/>
    <n v="2257"/>
    <s v="40% Conf/30%14ddf/saldo28ddf"/>
    <n v="0"/>
    <m/>
    <n v="0"/>
    <s v="Logber - Colatina Es"/>
    <s v="CIF"/>
    <n v="892.09"/>
    <n v="34072.5"/>
    <s v="julho_2022"/>
    <n v="892.09"/>
  </r>
  <r>
    <n v="15057"/>
    <x v="0"/>
    <n v="138093000115"/>
    <s v="Box Distribuidor Ltda"/>
    <s v="Santa Cruz do Sul"/>
    <s v="RS"/>
    <n v="26093"/>
    <s v="PP1"/>
    <s v="V"/>
    <s v="PE"/>
    <s v="Normal"/>
    <s v="29679 01 B"/>
    <m/>
    <d v="2022-05-10T00:00:00"/>
    <d v="2022-07-29T00:00:00"/>
    <d v="2022-05-12T00:00:00"/>
    <s v="  /  /  "/>
    <n v="0"/>
    <s v="  /  /  "/>
    <n v="0"/>
    <s v="                                        "/>
    <s v="  /  /  "/>
    <s v="sa726"/>
    <d v="2022-05-13T00:00:00"/>
    <s v="Sem rota"/>
    <n v="2239"/>
    <s v="30%conf. e Saldo 28/56/84 Ddf"/>
    <n v="0"/>
    <m/>
    <n v="0"/>
    <s v="Logber - Colatina Es"/>
    <s v="CIF"/>
    <n v="9837.7200000000012"/>
    <n v="227150"/>
    <s v="julho_2022"/>
    <n v="9837.7200000000012"/>
  </r>
  <r>
    <n v="15080"/>
    <x v="29"/>
    <n v="1377724000111"/>
    <s v="Brasalpla Brasil Ind. de Embalagens Ltda"/>
    <s v="Itapevi"/>
    <s v="SP"/>
    <n v="26231"/>
    <s v="PP1"/>
    <s v="V"/>
    <s v="PE"/>
    <s v="Normal"/>
    <s v="29811 01 B"/>
    <n v="129338"/>
    <d v="2022-05-26T00:00:00"/>
    <d v="2022-07-29T00:00:00"/>
    <d v="2022-05-26T00:00:00"/>
    <s v="  /  /  "/>
    <n v="0"/>
    <s v="  /  /  "/>
    <n v="0"/>
    <s v="                                        "/>
    <s v="  /  /  "/>
    <s v="sa750"/>
    <d v="2022-06-03T00:00:00"/>
    <s v="Sem rota"/>
    <n v="208"/>
    <s v="14 Ddf  S/juros"/>
    <n v="0"/>
    <m/>
    <n v="0"/>
    <s v="Logber - Colatina Es"/>
    <s v="CIF"/>
    <n v="174.82999999999998"/>
    <n v="7909.98"/>
    <s v="julho_2022"/>
    <n v="174.82999999999998"/>
  </r>
  <r>
    <n v="15057"/>
    <x v="0"/>
    <n v="91897876000138"/>
    <s v="Bremil S.A Ind de Prod Alimenticios"/>
    <s v="Arroio do Meio"/>
    <s v="RS"/>
    <n v="26342"/>
    <s v="PP2"/>
    <s v="V"/>
    <s v="PE"/>
    <s v="Normal"/>
    <s v="30056 00 B"/>
    <n v="84504"/>
    <d v="2022-06-09T00:00:00"/>
    <d v="2022-07-29T00:00:00"/>
    <d v="2022-06-09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s v="Logber - Colatina Es"/>
    <s v="CIF"/>
    <n v="22"/>
    <n v="505.93"/>
    <s v="julho_2022"/>
    <n v="22"/>
  </r>
  <r>
    <n v="15057"/>
    <x v="0"/>
    <n v="1838723024816"/>
    <s v="Brf S.A"/>
    <s v="Marau"/>
    <s v="RS"/>
    <n v="25468"/>
    <s v="PSH1"/>
    <s v="V"/>
    <s v="PE"/>
    <s v="Normal"/>
    <s v="23173 02 F"/>
    <n v="104947784"/>
    <d v="2022-02-16T00:00:00"/>
    <d v="2022-07-29T00:00:00"/>
    <d v="2022-06-07T00:00:00"/>
    <s v="  /  /  "/>
    <n v="0"/>
    <s v="  /  /  "/>
    <n v="0"/>
    <s v="                                        "/>
    <s v="  /  /  "/>
    <s v="sa666"/>
    <d v="2022-03-18T00:00:00"/>
    <s v="Sem rota"/>
    <n v="575"/>
    <s v="180 Ddf S/j"/>
    <n v="0"/>
    <m/>
    <n v="0"/>
    <s v="Logber - Colatina Es"/>
    <s v="CIF"/>
    <n v="22403.109999999997"/>
    <n v="1744000"/>
    <s v="julho_2022"/>
    <n v="22403.109999999997"/>
  </r>
  <r>
    <n v="15077"/>
    <x v="30"/>
    <n v="45242914037955"/>
    <s v="C&amp;a Modas S.A"/>
    <s v="Sao Paulo"/>
    <s v="SP"/>
    <n v="26302"/>
    <s v="PP1"/>
    <s v="V"/>
    <s v="PE"/>
    <s v="Normal"/>
    <s v="29459 03 D"/>
    <m/>
    <d v="2022-05-31T00:00:00"/>
    <d v="2022-07-29T00:00:00"/>
    <d v="2022-06-09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s v="Logber - Colatina Es"/>
    <s v="CIF"/>
    <n v="30970"/>
    <n v="535867.5"/>
    <s v="julho_2022"/>
    <n v="30970"/>
  </r>
  <r>
    <n v="15059"/>
    <x v="20"/>
    <n v="82900713000176"/>
    <s v="Copal Alimentos Ltda"/>
    <s v="Sao Jose"/>
    <s v="SC"/>
    <n v="25548"/>
    <s v="PP2"/>
    <s v="V"/>
    <s v="PE"/>
    <s v="Normal"/>
    <s v="28714 02 B"/>
    <m/>
    <d v="2022-02-28T00:00:00"/>
    <d v="2022-07-29T00:00:00"/>
    <d v="2022-03-18T00:00:00"/>
    <s v="  /  /  "/>
    <n v="0"/>
    <s v="  /  /  "/>
    <n v="0"/>
    <s v="                                        "/>
    <s v="  /  /  "/>
    <s v="sa667"/>
    <d v="2022-03-18T00:00:00"/>
    <s v="Sem rota"/>
    <n v="0"/>
    <m/>
    <n v="0"/>
    <m/>
    <n v="0"/>
    <s v="Logber - Colatina Es"/>
    <s v="CIF"/>
    <n v="20130.57"/>
    <n v="688333.34"/>
    <s v="julho_2022"/>
    <n v="20130.57"/>
  </r>
  <r>
    <n v="15059"/>
    <x v="20"/>
    <n v="82900713000176"/>
    <s v="Copal Alimentos Ltda"/>
    <s v="Sao Jose"/>
    <s v="SC"/>
    <n v="26310"/>
    <s v="PP1"/>
    <s v="V"/>
    <s v="PE"/>
    <s v="Normal"/>
    <s v="30135 00 A"/>
    <m/>
    <d v="2022-06-03T00:00:00"/>
    <d v="2022-07-29T00:00:00"/>
    <d v="2022-06-03T00:00:00"/>
    <s v="  /  /  "/>
    <n v="0"/>
    <s v="  /  /  "/>
    <n v="0"/>
    <s v="                                        "/>
    <s v="  /  /  "/>
    <m/>
    <s v="/  /"/>
    <s v="Sem rota"/>
    <n v="2096"/>
    <s v="25/56/84 Ddf"/>
    <n v="0"/>
    <m/>
    <n v="0"/>
    <s v="Logber - Colatina Es"/>
    <s v="CIF"/>
    <n v="303"/>
    <n v="6401.5"/>
    <s v="julho_2022"/>
    <n v="303"/>
  </r>
  <r>
    <n v="15057"/>
    <x v="0"/>
    <n v="89677595000128"/>
    <s v="Coop Triticola de Espumoso Ltda Cotriel"/>
    <s v="Espumoso"/>
    <s v="RS"/>
    <n v="25999"/>
    <s v="PP2"/>
    <s v="V"/>
    <s v="PE"/>
    <s v="Normal"/>
    <s v="29214 00 B"/>
    <m/>
    <d v="2022-04-27T00:00:00"/>
    <d v="2022-07-29T00:00:00"/>
    <d v="2022-04-27T00:00:00"/>
    <s v="  /  /  "/>
    <n v="0"/>
    <s v="  /  /  "/>
    <n v="0"/>
    <s v="                                        "/>
    <s v="  /  /  "/>
    <s v="sa715"/>
    <d v="2022-05-09T00:00:00"/>
    <s v="Sem rota"/>
    <n v="2000"/>
    <s v="28 DDF S/juros"/>
    <n v="0"/>
    <m/>
    <n v="0"/>
    <s v="Logber - Colatina Es"/>
    <s v="CIF"/>
    <n v="0.28000000000000003"/>
    <n v="2467.6799999999998"/>
    <s v="julho_2022"/>
    <n v="0.28000000000000003"/>
  </r>
  <r>
    <n v="15059"/>
    <x v="20"/>
    <n v="84430149000109"/>
    <s v="Duas Rodas Industrial Ltda"/>
    <s v="Jaragua do Sul"/>
    <s v="SC"/>
    <n v="25997"/>
    <s v="PP2"/>
    <s v="V"/>
    <s v="PE"/>
    <s v="Normal"/>
    <s v="29506 01 A"/>
    <n v="4500286781"/>
    <d v="2022-04-27T00:00:00"/>
    <d v="2022-07-29T00:00:00"/>
    <d v="2022-05-04T00:00:00"/>
    <s v="  /  /  "/>
    <n v="0"/>
    <s v="  /  /  "/>
    <n v="0"/>
    <s v="                                        "/>
    <s v="  /  /  "/>
    <s v="sa713"/>
    <d v="2022-05-05T00:00:00"/>
    <s v="Sem rota"/>
    <n v="2257"/>
    <s v="40% Conf/30%14ddf/saldo28ddf"/>
    <n v="0"/>
    <m/>
    <n v="0"/>
    <s v="Logber - Colatina Es"/>
    <s v="CIF"/>
    <n v="554.59999999999991"/>
    <n v="36991.379999999997"/>
    <s v="julho_2022"/>
    <n v="554.59999999999991"/>
  </r>
  <r>
    <n v="15059"/>
    <x v="20"/>
    <n v="84430149000109"/>
    <s v="Duas Rodas Industrial Ltda"/>
    <s v="Jaragua do Sul"/>
    <s v="SC"/>
    <n v="25998"/>
    <s v="PP2"/>
    <s v="V"/>
    <s v="PE"/>
    <s v="Normal"/>
    <s v="29507 01 B"/>
    <n v="4500286781"/>
    <d v="2022-04-27T00:00:00"/>
    <d v="2022-07-29T00:00:00"/>
    <d v="2022-05-04T00:00:00"/>
    <s v="  /  /  "/>
    <n v="0"/>
    <s v="  /  /  "/>
    <n v="0"/>
    <s v="                                        "/>
    <s v="  /  /  "/>
    <s v="sa715"/>
    <d v="2022-05-09T00:00:00"/>
    <s v="Sem rota"/>
    <n v="2257"/>
    <s v="40% Conf/30%14ddf/saldo28ddf"/>
    <n v="0"/>
    <m/>
    <n v="0"/>
    <s v="Logber - Colatina Es"/>
    <s v="CIF"/>
    <n v="365.49"/>
    <n v="11357.5"/>
    <s v="julho_2022"/>
    <n v="365.49"/>
  </r>
  <r>
    <n v="15059"/>
    <x v="20"/>
    <n v="84430149000109"/>
    <s v="Duas Rodas Industrial Ltda"/>
    <s v="Jaragua do Sul"/>
    <s v="SC"/>
    <n v="26011"/>
    <s v="PP2"/>
    <s v="V"/>
    <s v="PE"/>
    <s v="Normal"/>
    <s v="29641 01 A"/>
    <n v="4500286481"/>
    <d v="2022-04-28T00:00:00"/>
    <d v="2022-07-29T00:00:00"/>
    <d v="2022-05-04T00:00:00"/>
    <s v="  /  /  "/>
    <n v="0"/>
    <s v="  /  /  "/>
    <n v="0"/>
    <s v="                                        "/>
    <s v="  /  /  "/>
    <s v="sa715"/>
    <d v="2022-05-09T00:00:00"/>
    <s v="Sem rota"/>
    <n v="2257"/>
    <s v="40% Conf/30%14ddf/saldo28ddf"/>
    <n v="0"/>
    <m/>
    <n v="0"/>
    <s v="Logber - Colatina Es"/>
    <s v="CIF"/>
    <n v="555.34"/>
    <n v="31191.83"/>
    <s v="julho_2022"/>
    <n v="555.34"/>
  </r>
  <r>
    <n v="15909"/>
    <x v="15"/>
    <n v="10970887003209"/>
    <s v="Fedex do Brasil Logistica e Transporte"/>
    <s v="Serra"/>
    <s v="ES"/>
    <n v="25555"/>
    <s v="PP3"/>
    <s v="V"/>
    <s v="PE"/>
    <s v="Normal"/>
    <s v="28610 10 F"/>
    <m/>
    <d v="2022-02-28T00:00:00"/>
    <d v="2022-07-29T00:00:00"/>
    <d v="2022-04-06T00:00:00"/>
    <s v="  /  /  "/>
    <n v="0"/>
    <s v="  /  /  "/>
    <n v="0"/>
    <s v="                                        "/>
    <s v="  /  /  "/>
    <s v="sa692"/>
    <d v="2022-04-13T00:00:00"/>
    <s v="Sem rota"/>
    <n v="0"/>
    <m/>
    <n v="0"/>
    <m/>
    <n v="0"/>
    <s v="Logber - Colatina Es"/>
    <s v="CIF"/>
    <n v="89364.969999999987"/>
    <n v="2397325.52"/>
    <s v="julho_2022"/>
    <n v="89364.969999999987"/>
  </r>
  <r>
    <n v="15909"/>
    <x v="15"/>
    <n v="10970887003209"/>
    <s v="Fedex do Brasil Logistica e Transporte"/>
    <s v="Serra"/>
    <s v="ES"/>
    <n v="25787"/>
    <s v="PP3"/>
    <s v="V"/>
    <s v="PE"/>
    <s v="Normal"/>
    <s v="28610 10 F"/>
    <m/>
    <d v="2022-02-28T00:00:00"/>
    <d v="2022-07-29T00:00:00"/>
    <d v="2022-04-11T00:00:00"/>
    <s v="  /  /  "/>
    <n v="0"/>
    <s v="  /  /  "/>
    <n v="0"/>
    <s v="                                        "/>
    <s v="  /  /  "/>
    <s v="sa692"/>
    <d v="2022-04-13T00:00:00"/>
    <s v="Sem rota"/>
    <n v="0"/>
    <m/>
    <n v="0"/>
    <m/>
    <n v="0"/>
    <s v="Logber - Colatina Es"/>
    <s v="CIF"/>
    <n v="75179.210000000006"/>
    <n v="2397325.52"/>
    <s v="julho_2022"/>
    <n v="75179.210000000006"/>
  </r>
  <r>
    <n v="15067"/>
    <x v="3"/>
    <n v="92695691000103"/>
    <s v="Kley Hertz Farmaceutica S.A"/>
    <s v="Porto Alegre"/>
    <s v="RS"/>
    <n v="26308"/>
    <s v="PP1"/>
    <s v="V"/>
    <s v="PE"/>
    <s v="Normal"/>
    <s v="24368 02 F"/>
    <n v="4500078535"/>
    <d v="2022-06-03T00:00:00"/>
    <d v="2022-07-29T00:00:00"/>
    <d v="2022-06-03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2495"/>
    <n v="57010"/>
    <s v="julho_2022"/>
    <n v="2495"/>
  </r>
  <r>
    <n v="15067"/>
    <x v="3"/>
    <n v="92695691000103"/>
    <s v="Kley Hertz Farmaceutica S.A"/>
    <s v="Porto Alegre"/>
    <s v="RS"/>
    <n v="26309"/>
    <s v="SERVIÇO"/>
    <s v="V"/>
    <s v="PE"/>
    <s v="Normal"/>
    <s v="24368 02 F"/>
    <n v="4500078535"/>
    <d v="2022-06-03T00:00:00"/>
    <d v="2022-07-29T00:00:00"/>
    <d v="2022-06-03T00:00:00"/>
    <s v="  /  /  "/>
    <n v="0"/>
    <s v="  /  /  "/>
    <n v="0"/>
    <s v="                                        "/>
    <s v="  /  /  "/>
    <m/>
    <s v="/  /"/>
    <s v="Sem rota"/>
    <n v="2203"/>
    <s v="50% Conf e 50% 14ddf"/>
    <n v="0"/>
    <m/>
    <n v="0"/>
    <s v="Rasador"/>
    <m/>
    <n v="0"/>
    <n v="7690"/>
    <s v="julho_2022"/>
    <n v="0"/>
  </r>
  <r>
    <n v="15067"/>
    <x v="3"/>
    <n v="2118988000113"/>
    <s v="Lm Grafica e Editora Eireli"/>
    <s v="Porto Alegre"/>
    <s v="RS"/>
    <n v="25968"/>
    <s v="PP2"/>
    <s v="V"/>
    <s v="PE"/>
    <s v="Normal"/>
    <s v="29483 01 A"/>
    <m/>
    <d v="2022-04-25T00:00:00"/>
    <d v="2022-07-29T00:00:00"/>
    <d v="2022-04-25T00:00:00"/>
    <s v="  /  /  "/>
    <n v="0"/>
    <s v="  /  /  "/>
    <n v="0"/>
    <s v="                                        "/>
    <s v="  /  /  "/>
    <s v="sa715"/>
    <d v="2022-05-09T00:00:00"/>
    <s v="Sem rota"/>
    <n v="0"/>
    <m/>
    <n v="0"/>
    <m/>
    <n v="0"/>
    <s v="Logber - Colatina Es"/>
    <s v="CIF"/>
    <n v="45.550000000000004"/>
    <n v="15922.89"/>
    <s v="julho_2022"/>
    <n v="45.550000000000004"/>
  </r>
  <r>
    <n v="15067"/>
    <x v="3"/>
    <n v="89776991000102"/>
    <s v="Moinho Estrela Ltda"/>
    <s v="Canoas"/>
    <s v="RS"/>
    <n v="25988"/>
    <s v="PP1"/>
    <s v="V"/>
    <s v="PE"/>
    <s v="Normal"/>
    <s v="29437 00 B"/>
    <n v="27621"/>
    <d v="2022-04-27T00:00:00"/>
    <d v="2022-07-29T00:00:00"/>
    <d v="2022-04-27T00:00:00"/>
    <s v="  /  /  "/>
    <n v="0"/>
    <s v="  /  /  "/>
    <n v="0"/>
    <s v="                                        "/>
    <s v="  /  /  "/>
    <s v="sa715"/>
    <d v="2022-05-09T00:00:00"/>
    <s v="Sem rota"/>
    <n v="2000"/>
    <s v="28 DDF S/juros"/>
    <n v="0"/>
    <m/>
    <n v="0"/>
    <s v="Logber - Colatina Es"/>
    <s v="CIF"/>
    <n v="22.66"/>
    <n v="2345.84"/>
    <s v="julho_2022"/>
    <n v="22.66"/>
  </r>
  <r>
    <n v="15057"/>
    <x v="0"/>
    <n v="42155311000170"/>
    <s v="Plastsul Industria de Embalagens Plastic"/>
    <s v="Getulio Vargas"/>
    <s v="RS"/>
    <n v="26095"/>
    <s v="PP2"/>
    <s v="V"/>
    <s v="PE"/>
    <s v="Normal"/>
    <s v="29610 01 B"/>
    <m/>
    <d v="2022-05-10T00:00:00"/>
    <d v="2022-07-29T00:00:00"/>
    <d v="2022-05-12T00:00:00"/>
    <s v="  /  /  "/>
    <n v="0"/>
    <s v="  /  /  "/>
    <n v="0"/>
    <s v="                                        "/>
    <s v="  /  /  "/>
    <s v="sa726"/>
    <d v="2022-05-13T00:00:00"/>
    <s v="Sem rota"/>
    <n v="2257"/>
    <s v="40% Conf/30%14ddf/saldo28ddf"/>
    <n v="0"/>
    <m/>
    <n v="0"/>
    <s v="Logber - Colatina Es"/>
    <s v="CIF"/>
    <n v="213.11"/>
    <n v="11246.76"/>
    <s v="julho_2022"/>
    <n v="213.11"/>
  </r>
  <r>
    <n v="15063"/>
    <x v="23"/>
    <n v="61150751003102"/>
    <s v="Prysmian Cabos e Sistemas do Brasil S.A"/>
    <s v="Cariacica"/>
    <s v="ES"/>
    <n v="25899"/>
    <s v="PP3"/>
    <s v="V"/>
    <s v="PE"/>
    <s v="Normal"/>
    <s v="28411 03 D"/>
    <n v="4500107763"/>
    <d v="2022-04-12T00:00:00"/>
    <d v="2022-07-29T00:00:00"/>
    <d v="2022-04-12T00:00:00"/>
    <s v="  /  /  "/>
    <n v="0"/>
    <s v="  /  /  "/>
    <n v="0"/>
    <s v="                                        "/>
    <s v="  /  /  "/>
    <s v="sa699"/>
    <d v="2022-04-20T00:00:00"/>
    <s v="Sem rota"/>
    <n v="44"/>
    <s v="30 DDF S/juros"/>
    <n v="0"/>
    <m/>
    <n v="0"/>
    <s v="Logber - Colatina Es"/>
    <s v="CIF"/>
    <n v="1583.81"/>
    <n v="53586.75"/>
    <s v="julho_2022"/>
    <n v="1583.81"/>
  </r>
  <r>
    <n v="15067"/>
    <x v="3"/>
    <n v="89729867000358"/>
    <s v="Sulbras Moldes e Plasticos Ltda"/>
    <s v="Salto"/>
    <s v="SP"/>
    <n v="26334"/>
    <s v="PP1"/>
    <s v="V"/>
    <s v="PE"/>
    <s v="Normal"/>
    <s v="30108 01 A"/>
    <m/>
    <d v="2022-06-08T00:00:00"/>
    <d v="2022-07-29T00:00:00"/>
    <d v="2022-06-08T00:00:00"/>
    <s v="  /  /  "/>
    <n v="0"/>
    <s v="  /  /  "/>
    <n v="0"/>
    <s v="                                        "/>
    <s v="  /  /  "/>
    <m/>
    <s v="/  /"/>
    <s v="Sem rota"/>
    <n v="2230"/>
    <s v="30%conf e Saldo 30/60/90 Ddf"/>
    <n v="0"/>
    <m/>
    <n v="0"/>
    <s v="Logber - Colatina Es"/>
    <s v="CIF"/>
    <n v="5118"/>
    <n v="89548.73"/>
    <s v="julho_2022"/>
    <n v="5118"/>
  </r>
  <r>
    <n v="15051"/>
    <x v="13"/>
    <n v="56548472000138"/>
    <s v="Textil Tecnicor Ltda"/>
    <s v="Guarulhos"/>
    <s v="SP"/>
    <n v="26337"/>
    <s v="PP3"/>
    <s v="V"/>
    <s v="PE"/>
    <s v="Normal"/>
    <s v="29973 00 C"/>
    <n v="10218947"/>
    <d v="2022-06-08T00:00:00"/>
    <d v="2022-07-29T00:00:00"/>
    <d v="2022-06-09T00:00:00"/>
    <s v="  /  /  "/>
    <n v="0"/>
    <s v="  /  /  "/>
    <n v="0"/>
    <s v="                                        "/>
    <s v="  /  /  "/>
    <m/>
    <s v="/  /"/>
    <s v="Sem rota"/>
    <n v="1091"/>
    <s v="28/56 DDF S/juros"/>
    <n v="0"/>
    <m/>
    <n v="0"/>
    <s v="Logber - Colatina Es"/>
    <s v="CIF"/>
    <n v="1239"/>
    <n v="32007.5"/>
    <s v="julho_2022"/>
    <n v="1239"/>
  </r>
  <r>
    <n v="15064"/>
    <x v="17"/>
    <n v="18928807000154"/>
    <s v="Uniar Com de Eletro-eletronicos e Servic"/>
    <s v="Extrema"/>
    <s v="MG"/>
    <n v="26189"/>
    <s v="PP1"/>
    <s v="V"/>
    <s v="PE"/>
    <s v="Normal"/>
    <s v="29918 01 A"/>
    <m/>
    <d v="2022-05-23T00:00:00"/>
    <d v="2022-07-29T00:00:00"/>
    <d v="2022-05-24T00:00:00"/>
    <s v="  /  /  "/>
    <n v="0"/>
    <s v="  /  /  "/>
    <n v="0"/>
    <s v="                                        "/>
    <s v="  /  /  "/>
    <s v="sa740"/>
    <d v="2022-05-26T00:00:00"/>
    <s v="Sem rota"/>
    <n v="2257"/>
    <s v="40% Conf/30%14ddf/saldo28ddf"/>
    <n v="0"/>
    <m/>
    <n v="0"/>
    <s v="Logber - Colatina Es"/>
    <s v="CIF"/>
    <n v="1135.74"/>
    <n v="42126"/>
    <s v="julho_2022"/>
    <n v="1135.74"/>
  </r>
  <r>
    <n v="15059"/>
    <x v="20"/>
    <n v="514179000103"/>
    <s v="Villa Germania Alimentos S/A"/>
    <s v="Indaial"/>
    <s v="SC"/>
    <n v="26320"/>
    <s v="DRI2"/>
    <s v="V"/>
    <s v="PE"/>
    <s v="Normal"/>
    <s v="28674 00 B"/>
    <n v="14150"/>
    <d v="2022-06-07T00:00:00"/>
    <d v="2022-07-29T00:00:00"/>
    <d v="2022-06-07T00:00:00"/>
    <s v="  /  /  "/>
    <n v="0"/>
    <s v="  /  /  "/>
    <n v="0"/>
    <s v="                                        "/>
    <s v="  /  /  "/>
    <m/>
    <s v="/  /"/>
    <s v="Sem rota"/>
    <n v="2000"/>
    <s v="28 DDF S/juros"/>
    <n v="0"/>
    <m/>
    <n v="0"/>
    <s v="Logber - Colatina Es"/>
    <s v="CIF"/>
    <n v="184"/>
    <n v="4731.04"/>
    <s v="julho_2022"/>
    <n v="184"/>
  </r>
  <r>
    <n v="15057"/>
    <x v="0"/>
    <n v="89831788000191"/>
    <s v="Vinicola Geisse Ltda"/>
    <s v="Pinto Bandeira"/>
    <s v="RS"/>
    <n v="26051"/>
    <s v="PP3"/>
    <s v="V"/>
    <s v="PE"/>
    <s v="Normal"/>
    <s v="29213 02 C"/>
    <m/>
    <d v="2022-05-03T00:00:00"/>
    <d v="2022-07-29T00:00:00"/>
    <d v="2022-05-05T00:00:00"/>
    <s v="  /  /  "/>
    <n v="0"/>
    <s v="  /  /  "/>
    <n v="0"/>
    <s v="                                        "/>
    <s v="  /  /  "/>
    <s v="sa721"/>
    <d v="2022-05-10T00:00:00"/>
    <s v="Sem rota"/>
    <n v="0"/>
    <m/>
    <n v="0"/>
    <m/>
    <n v="0"/>
    <s v="Logber - Colatina Es"/>
    <s v="CIF"/>
    <n v="5296.04"/>
    <n v="109693.79"/>
    <s v="julho_2022"/>
    <n v="5296.04"/>
  </r>
  <r>
    <n v="15059"/>
    <x v="20"/>
    <n v="502654000113"/>
    <s v="Vitalin Alimentos Ltda"/>
    <s v="Jaragua do Sul"/>
    <s v="SC"/>
    <n v="26242"/>
    <s v="PP1"/>
    <s v="V"/>
    <s v="PE"/>
    <s v="Normal"/>
    <s v="29724 03 D"/>
    <m/>
    <d v="2022-05-27T00:00:00"/>
    <d v="2022-07-29T00:00:00"/>
    <d v="2022-06-01T00:00:00"/>
    <s v="  /  /  "/>
    <n v="0"/>
    <s v="  /  /  "/>
    <n v="0"/>
    <s v="                                        "/>
    <s v="  /  /  "/>
    <s v="sa750"/>
    <d v="2022-06-03T00:00:00"/>
    <s v="Sem rota"/>
    <n v="2257"/>
    <s v="40% Conf/30%14ddf/saldo28ddf"/>
    <n v="0"/>
    <m/>
    <n v="0"/>
    <s v="Logber - Colatina Es"/>
    <s v="CIF"/>
    <n v="1536.58"/>
    <n v="62698.559999999998"/>
    <s v="julho_2022"/>
    <n v="1536.58"/>
  </r>
  <r>
    <n v="15910"/>
    <x v="11"/>
    <n v="8146691000148"/>
    <s v="Viton 44 Ind Com e Exp de Alimentos Ltda"/>
    <s v="Rio de Janeiro"/>
    <s v="RJ"/>
    <n v="26291"/>
    <s v="DRI1"/>
    <s v="V"/>
    <s v="PE"/>
    <s v="Normal"/>
    <s v="29730 01 B"/>
    <m/>
    <d v="2022-05-31T00:00:00"/>
    <d v="2022-07-29T00:00:00"/>
    <d v="2022-06-03T00:00:00"/>
    <s v="  /  /  "/>
    <n v="0"/>
    <s v="  /  /  "/>
    <n v="0"/>
    <s v="                                        "/>
    <s v="  /  /  "/>
    <m/>
    <s v="/  /"/>
    <s v="Sem rota"/>
    <n v="3012"/>
    <s v="40% Cofirmação / Saldo 30/60"/>
    <n v="0"/>
    <m/>
    <n v="0"/>
    <s v="Logber - Colatina Es"/>
    <s v="CIF"/>
    <n v="1380"/>
    <n v="31976.53"/>
    <s v="julho_2022"/>
    <n v="1380"/>
  </r>
  <r>
    <n v="15057"/>
    <x v="0"/>
    <n v="90070384000101"/>
    <s v="Wolfle e Schwalm Ltda"/>
    <s v="Cerro Grande do Sul"/>
    <s v="RS"/>
    <n v="26341"/>
    <s v="PP1"/>
    <s v="V"/>
    <s v="PE"/>
    <s v="Normal"/>
    <s v="29916 00 D"/>
    <m/>
    <d v="2022-06-09T00:00:00"/>
    <d v="2022-07-29T00:00:00"/>
    <d v="2022-06-09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533"/>
    <n v="12881.47"/>
    <s v="julho_2022"/>
    <n v="533"/>
  </r>
  <r>
    <n v="15057"/>
    <x v="0"/>
    <n v="74072513001035"/>
    <s v="Agro-comercial Afubra Ltda"/>
    <s v="Imbituva"/>
    <s v="PR"/>
    <n v="26174"/>
    <s v="PP1"/>
    <s v="V"/>
    <s v="PE"/>
    <s v="Normal"/>
    <s v="29871 01 B"/>
    <m/>
    <d v="2022-05-19T00:00:00"/>
    <d v="2022-08-05T00:00:00"/>
    <d v="2022-05-24T00:00:00"/>
    <s v="  /  /  "/>
    <n v="0"/>
    <s v="  /  /  "/>
    <n v="0"/>
    <s v="                                        "/>
    <s v="  /  /  "/>
    <s v="sa739"/>
    <d v="2022-05-25T00:00:00"/>
    <s v="Sem rota"/>
    <n v="0"/>
    <m/>
    <n v="0"/>
    <m/>
    <n v="0"/>
    <s v="Logber - Colatina Es"/>
    <s v="CIF"/>
    <n v="2639.43"/>
    <n v="78470"/>
    <s v="agosto_2022"/>
    <n v="2639.43"/>
  </r>
  <r>
    <n v="15073"/>
    <x v="16"/>
    <n v="17469701004326"/>
    <s v="Arcelormittal Brasil S/A"/>
    <s v="Sao Paulo"/>
    <s v="SP"/>
    <n v="26243"/>
    <s v="PP1"/>
    <s v="V"/>
    <s v="PE"/>
    <s v="Normal"/>
    <s v="29809 00 B"/>
    <n v="4400544788"/>
    <d v="2022-05-27T00:00:00"/>
    <d v="2022-08-05T00:00:00"/>
    <d v="2022-05-27T00:00:00"/>
    <s v="  /  /  "/>
    <n v="0"/>
    <s v="  /  /  "/>
    <n v="0"/>
    <s v="                                        "/>
    <s v="  /  /  "/>
    <s v="sa756"/>
    <d v="2022-06-07T00:00:00"/>
    <s v="Sem rota"/>
    <n v="13"/>
    <s v="45 Ddf S/j"/>
    <n v="0"/>
    <m/>
    <n v="0"/>
    <s v="Logber - Colatina Es"/>
    <s v="CIF"/>
    <n v="403.37"/>
    <n v="27051.5"/>
    <s v="agosto_2022"/>
    <n v="403.37"/>
  </r>
  <r>
    <n v="15077"/>
    <x v="30"/>
    <n v="6346545000130"/>
    <s v="Comercial Exp. Imp. Dist. Marc 4 Ltda"/>
    <s v="Sao Paulo"/>
    <s v="SP"/>
    <n v="26281"/>
    <s v="PP1"/>
    <s v="V"/>
    <s v="PE"/>
    <s v="Normal"/>
    <s v="29559 02 C"/>
    <m/>
    <d v="2022-05-31T00:00:00"/>
    <d v="2022-08-05T00:00:00"/>
    <d v="2022-05-31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474.60199999999998"/>
    <n v="16726.5"/>
    <s v="agosto_2022"/>
    <n v="474.60199999999998"/>
  </r>
  <r>
    <n v="15052"/>
    <x v="25"/>
    <n v="43270628000110"/>
    <s v="Confeccoes Kacyumara Ltda"/>
    <s v="Americana"/>
    <s v="SP"/>
    <n v="26287"/>
    <s v="PP2"/>
    <s v="V"/>
    <s v="PE"/>
    <s v="Normal"/>
    <s v="29769 02 E"/>
    <m/>
    <d v="2022-05-31T00:00:00"/>
    <d v="2022-08-05T00:00:00"/>
    <d v="2022-06-03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m/>
    <s v="CIF"/>
    <n v="32882"/>
    <n v="569886.31000000006"/>
    <s v="agosto_2022"/>
    <n v="32882"/>
  </r>
  <r>
    <n v="15075"/>
    <x v="5"/>
    <n v="2675611000750"/>
    <s v="Coopershoes Coop de Trab e Ind de Calc J"/>
    <s v="Morada Nova"/>
    <s v="CE"/>
    <n v="26253"/>
    <s v="PP1"/>
    <s v="V"/>
    <s v="PE"/>
    <s v="Normal"/>
    <s v="28377 10 H"/>
    <n v="182678"/>
    <d v="2022-05-30T00:00:00"/>
    <d v="2022-08-05T00:00:00"/>
    <d v="2022-06-06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20182"/>
    <n v="459934.35"/>
    <s v="agosto_2022"/>
    <n v="20182"/>
  </r>
  <r>
    <n v="15057"/>
    <x v="0"/>
    <n v="87678132000821"/>
    <s v="Cooperativa Triticola Cacapavana Ltda"/>
    <s v="Piratini"/>
    <s v="RS"/>
    <n v="26283"/>
    <s v="PP1"/>
    <s v="V"/>
    <s v="PE"/>
    <s v="Normal"/>
    <s v="30058 01 B"/>
    <m/>
    <d v="2022-05-31T00:00:00"/>
    <d v="2022-08-05T00:00:00"/>
    <d v="2022-06-03T00:00:00"/>
    <s v="  /  /  "/>
    <n v="0"/>
    <s v="  /  /  "/>
    <n v="0"/>
    <s v="                                        "/>
    <s v="  /  /  "/>
    <s v="sa756"/>
    <d v="2022-06-07T00:00:00"/>
    <s v="Sem rota"/>
    <n v="2257"/>
    <s v="40% Conf/30%14ddf/saldo28ddf"/>
    <n v="0"/>
    <m/>
    <n v="0"/>
    <s v="Logber - Colatina Es"/>
    <s v="CIF"/>
    <n v="297.2"/>
    <n v="15836.74"/>
    <s v="agosto_2022"/>
    <n v="297.2"/>
  </r>
  <r>
    <n v="15059"/>
    <x v="20"/>
    <n v="12403693000223"/>
    <s v="Forte Distribuição e Logística do Brasil"/>
    <s v="Itajai"/>
    <s v="SC"/>
    <n v="26282"/>
    <s v="PP1"/>
    <s v="V"/>
    <s v="PE"/>
    <s v="Normal"/>
    <s v="29858 02 D"/>
    <m/>
    <d v="2022-05-31T00:00:00"/>
    <d v="2022-08-05T00:00:00"/>
    <d v="2022-06-03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18934"/>
    <n v="346827.08"/>
    <s v="agosto_2022"/>
    <n v="18934"/>
  </r>
  <r>
    <n v="15057"/>
    <x v="0"/>
    <n v="93976017000160"/>
    <s v="Mig Plus Agroindustrial Ltda"/>
    <s v="Casca"/>
    <s v="RS"/>
    <n v="26058"/>
    <s v="PP2"/>
    <s v="V"/>
    <s v="PE"/>
    <s v="Normal"/>
    <s v="29594 00 B"/>
    <n v="47230"/>
    <d v="2022-05-04T00:00:00"/>
    <d v="2022-08-05T00:00:00"/>
    <d v="2022-05-04T00:00:00"/>
    <s v="  /  /  "/>
    <n v="0"/>
    <s v="  /  /  "/>
    <n v="0"/>
    <s v="                                        "/>
    <s v="  /  /  "/>
    <s v="sa721"/>
    <d v="2022-05-10T00:00:00"/>
    <s v="Sem rota"/>
    <n v="2000"/>
    <s v="28 DDF S/juros"/>
    <n v="0"/>
    <m/>
    <n v="0"/>
    <s v="Logber - Colatina Es"/>
    <s v="CIF"/>
    <n v="136.04999999999998"/>
    <n v="4033.56"/>
    <s v="agosto_2022"/>
    <n v="136.04999999999998"/>
  </r>
  <r>
    <n v="15907"/>
    <x v="8"/>
    <n v="64858525013980"/>
    <s v="Monsanto do Brasil Ltda"/>
    <s v="Camacari"/>
    <s v="BA"/>
    <n v="26076"/>
    <s v="PP1"/>
    <s v="V"/>
    <s v="PE"/>
    <s v="Normal"/>
    <s v="29042 00 B"/>
    <n v="6500514503"/>
    <d v="2022-05-06T00:00:00"/>
    <d v="2022-08-05T00:00:00"/>
    <d v="2022-05-06T00:00:00"/>
    <s v="  /  /  "/>
    <n v="0"/>
    <s v="  /  /  "/>
    <n v="0"/>
    <s v="                                        "/>
    <s v="  /  /  "/>
    <s v="sa721"/>
    <d v="2022-05-10T00:00:00"/>
    <s v="Sem rota"/>
    <n v="44"/>
    <s v="30 DDF S/juros"/>
    <n v="0"/>
    <m/>
    <n v="0"/>
    <s v="Logber - Colatina Es"/>
    <s v="CIF"/>
    <n v="1.0900000000000001"/>
    <n v="6711.25"/>
    <s v="agosto_2022"/>
    <n v="1.0900000000000001"/>
  </r>
  <r>
    <n v="15069"/>
    <x v="6"/>
    <n v="60945169000570"/>
    <s v="Nissin Foods do Brasil Ltda"/>
    <s v="Gloria do Goita"/>
    <s v="PE"/>
    <n v="26271"/>
    <s v="PP2"/>
    <s v="V"/>
    <s v="PE"/>
    <s v="Normal"/>
    <s v="28385 01 E"/>
    <m/>
    <d v="2022-05-31T00:00:00"/>
    <d v="2022-08-05T00:00:00"/>
    <d v="2022-05-31T00:00:00"/>
    <s v="  /  /  "/>
    <n v="0"/>
    <s v="  /  /  "/>
    <n v="0"/>
    <s v="                                        "/>
    <s v="  /  /  "/>
    <s v="sa750"/>
    <d v="2022-06-03T00:00:00"/>
    <s v="Sem rota"/>
    <n v="0"/>
    <m/>
    <n v="0"/>
    <m/>
    <n v="0"/>
    <s v="Logber - Colatina Es"/>
    <s v="CIF"/>
    <n v="237.53"/>
    <n v="93888.77"/>
    <s v="agosto_2022"/>
    <n v="237.53"/>
  </r>
  <r>
    <n v="15069"/>
    <x v="6"/>
    <n v="60945169000570"/>
    <s v="Nissin Foods do Brasil Ltda"/>
    <s v="Gloria do Goita"/>
    <s v="PE"/>
    <n v="26273"/>
    <s v="PP2"/>
    <s v="V"/>
    <s v="PE"/>
    <s v="Normal"/>
    <s v="29953 01 B"/>
    <m/>
    <d v="2022-05-31T00:00:00"/>
    <d v="2022-08-05T00:00:00"/>
    <d v="2022-05-31T00:00:00"/>
    <s v="  /  /  "/>
    <n v="0"/>
    <s v="  /  /  "/>
    <n v="0"/>
    <s v="                                        "/>
    <s v="  /  /  "/>
    <s v="sa756"/>
    <d v="2022-06-07T00:00:00"/>
    <s v="Sem rota"/>
    <n v="0"/>
    <m/>
    <n v="0"/>
    <m/>
    <n v="0"/>
    <s v="Logber - Colatina Es"/>
    <s v="CIF"/>
    <n v="225.16"/>
    <n v="44285.87"/>
    <s v="agosto_2022"/>
    <n v="225.16"/>
  </r>
  <r>
    <n v="15063"/>
    <x v="23"/>
    <n v="46044053004607"/>
    <s v="Nortel Suprimentos Industriais Ltda"/>
    <s v="Serra"/>
    <s v="ES"/>
    <n v="26075"/>
    <s v="PP1"/>
    <s v="V"/>
    <s v="PE"/>
    <s v="Normal"/>
    <s v="28163 01 B"/>
    <n v="27499"/>
    <d v="2022-05-06T00:00:00"/>
    <d v="2022-08-05T00:00:00"/>
    <d v="2022-05-06T00:00:00"/>
    <s v="  /  /  "/>
    <n v="0"/>
    <s v="  /  /  "/>
    <n v="0"/>
    <s v="                                        "/>
    <s v="  /  /  "/>
    <s v="sa721"/>
    <d v="2022-05-10T00:00:00"/>
    <s v="Sem rota"/>
    <n v="0"/>
    <m/>
    <n v="0"/>
    <m/>
    <n v="0"/>
    <s v="Logber - Colatina Es"/>
    <s v="CIF"/>
    <n v="5501.21"/>
    <n v="202370"/>
    <s v="agosto_2022"/>
    <n v="5501.21"/>
  </r>
  <r>
    <n v="15057"/>
    <x v="0"/>
    <n v="24230368000104"/>
    <s v="Ortomobil Industria e Comercio Ltda"/>
    <s v="Sao Pedro da Serra"/>
    <s v="RS"/>
    <n v="26300"/>
    <s v="PP1"/>
    <s v="V"/>
    <s v="PE"/>
    <s v="Normal"/>
    <s v="29832 03 C"/>
    <n v="3180"/>
    <d v="2022-05-31T00:00:00"/>
    <d v="2022-08-05T00:00:00"/>
    <d v="2022-06-06T00:00:00"/>
    <s v="  /  /  "/>
    <n v="0"/>
    <s v="  /  /  "/>
    <n v="0"/>
    <s v="                                        "/>
    <s v="  /  /  "/>
    <s v="sa756"/>
    <d v="2022-06-07T00:00:00"/>
    <s v="Sem rota"/>
    <n v="2257"/>
    <s v="40% Conf/30%14ddf/saldo28ddf"/>
    <n v="0"/>
    <m/>
    <n v="0"/>
    <s v="Logber - Colatina Es"/>
    <s v="CIF"/>
    <n v="254.25"/>
    <n v="10584.16"/>
    <s v="agosto_2022"/>
    <n v="254.25"/>
  </r>
  <r>
    <n v="15064"/>
    <x v="17"/>
    <n v="29397307000150"/>
    <s v="Servicos Avancados de Proc de Solidos"/>
    <s v="Nazare Paulista"/>
    <s v="SP"/>
    <n v="26019"/>
    <s v="PP2"/>
    <s v="V"/>
    <s v="PE"/>
    <s v="Normal"/>
    <s v="28239 04 E"/>
    <n v="46160"/>
    <d v="2022-04-29T00:00:00"/>
    <d v="2022-08-05T00:00:00"/>
    <d v="2022-05-03T00:00:00"/>
    <s v="  /  /  "/>
    <n v="0"/>
    <s v="  /  /  "/>
    <n v="0"/>
    <s v="                                        "/>
    <s v="  /  /  "/>
    <s v="sa718"/>
    <d v="2022-05-09T00:00:00"/>
    <s v="Sem rota"/>
    <n v="0"/>
    <m/>
    <n v="0"/>
    <m/>
    <n v="0"/>
    <s v="Logber - Colatina Es"/>
    <s v="CIF"/>
    <n v="3625.63"/>
    <n v="139387.5"/>
    <s v="agosto_2022"/>
    <n v="3625.63"/>
  </r>
  <r>
    <n v="15059"/>
    <x v="20"/>
    <n v="1333984000276"/>
    <s v="Segala's Alimentos Ltda"/>
    <s v="Gaspar"/>
    <s v="SC"/>
    <n v="25336"/>
    <s v="PP2"/>
    <s v="V"/>
    <s v="PE"/>
    <s v="Normal"/>
    <s v="27664 00 D"/>
    <m/>
    <d v="2022-01-25T00:00:00"/>
    <d v="2022-08-05T00:00:00"/>
    <d v="2022-01-27T00:00:00"/>
    <s v="  /  /  "/>
    <n v="0"/>
    <s v="  /  /  "/>
    <n v="0"/>
    <s v="                                        "/>
    <s v="  /  /  "/>
    <s v="sa639"/>
    <d v="2022-02-16T00:00:00"/>
    <s v="Sem rota"/>
    <n v="2257"/>
    <s v="40% Conf/30%14ddf/saldo28ddf"/>
    <n v="0"/>
    <m/>
    <n v="0"/>
    <s v="Logber - Colatina Es"/>
    <s v="CIF"/>
    <n v="170.22"/>
    <n v="20945.3"/>
    <s v="agosto_2022"/>
    <n v="170.22"/>
  </r>
  <r>
    <n v="15059"/>
    <x v="20"/>
    <n v="1333984000276"/>
    <s v="Segala's Alimentos Ltda"/>
    <s v="Gaspar"/>
    <s v="SC"/>
    <n v="25337"/>
    <m/>
    <s v="V"/>
    <s v="PE"/>
    <s v="Normal"/>
    <s v="27664 00 D"/>
    <m/>
    <d v="2022-01-25T00:00:00"/>
    <d v="2022-08-05T00:00:00"/>
    <d v="2022-03-15T00:00:00"/>
    <s v="  /  /  "/>
    <n v="0"/>
    <s v="  /  /  "/>
    <n v="0"/>
    <s v="                                        "/>
    <s v="  /  /  "/>
    <s v="SA642"/>
    <d v="2022-02-18T00:00:00"/>
    <s v="Sem rota"/>
    <n v="2257"/>
    <s v="40% Conf/30%14ddf/saldo28ddf"/>
    <n v="0"/>
    <m/>
    <n v="0"/>
    <s v="Logber - Colatina Es"/>
    <s v="CIF"/>
    <n v="192.28"/>
    <n v="38166"/>
    <s v="agosto_2022"/>
    <n v="192.28"/>
  </r>
  <r>
    <n v="15080"/>
    <x v="29"/>
    <n v="1236358000180"/>
    <s v="Sicar Ind e Com de Prod para Piscinas"/>
    <s v="Jardinopolis"/>
    <s v="SP"/>
    <n v="26331"/>
    <s v="PP2"/>
    <s v="V"/>
    <s v="PE"/>
    <s v="Normal"/>
    <s v="29676 02 D"/>
    <m/>
    <d v="2022-06-08T00:00:00"/>
    <d v="2022-08-05T00:00:00"/>
    <d v="2022-06-08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12935"/>
    <n v="207000"/>
    <s v="agosto_2022"/>
    <n v="12935"/>
  </r>
  <r>
    <n v="15059"/>
    <x v="20"/>
    <n v="83259945000150"/>
    <s v="Supermercado Silveira Ltda"/>
    <s v="Garopaba"/>
    <s v="SC"/>
    <n v="26257"/>
    <s v="PP2"/>
    <s v="V"/>
    <s v="PE"/>
    <s v="Normal"/>
    <s v="29896 02 B"/>
    <m/>
    <d v="2022-05-30T00:00:00"/>
    <d v="2022-08-05T00:00:00"/>
    <d v="2022-06-09T00:00:00"/>
    <s v="  /  /  "/>
    <n v="0"/>
    <s v="  /  /  "/>
    <n v="0"/>
    <s v="                                        "/>
    <s v="  /  /  "/>
    <m/>
    <s v="/  /"/>
    <s v="Sem rota"/>
    <n v="2189"/>
    <s v="30%conf./saldo 14/28/56 Ddf"/>
    <n v="0"/>
    <m/>
    <n v="0"/>
    <s v="Logber - Colatina Es"/>
    <s v="CIF"/>
    <n v="452.38299999999998"/>
    <n v="10505.69"/>
    <s v="agosto_2022"/>
    <n v="452.38299999999998"/>
  </r>
  <r>
    <n v="15074"/>
    <x v="21"/>
    <n v="1808103000226"/>
    <s v="Ticona Polymers Ltda"/>
    <s v="Suzano"/>
    <s v="SP"/>
    <n v="26285"/>
    <s v="PP1"/>
    <s v="V"/>
    <s v="PE"/>
    <s v="Normal"/>
    <s v="30134 00 B"/>
    <n v="4502456012"/>
    <d v="2022-05-31T00:00:00"/>
    <d v="2022-08-05T00:00:00"/>
    <d v="2022-06-01T00:00:00"/>
    <s v="  /  /  "/>
    <n v="0"/>
    <s v="  /  /  "/>
    <n v="0"/>
    <s v="                                        "/>
    <s v="  /  /  "/>
    <s v="sa756"/>
    <d v="2022-06-07T00:00:00"/>
    <s v="Sem rota"/>
    <n v="44"/>
    <s v="30 DDF S/juros"/>
    <n v="0"/>
    <m/>
    <n v="0"/>
    <m/>
    <s v="CIF"/>
    <n v="51.44"/>
    <n v="7743.75"/>
    <s v="agosto_2022"/>
    <n v="51.44"/>
  </r>
  <r>
    <n v="15020"/>
    <x v="7"/>
    <n v="0"/>
    <s v="Tiendas Industiales Asociadas Tia S.a."/>
    <s v="Guayaquil"/>
    <s v="EX"/>
    <n v="26268"/>
    <s v="PP2"/>
    <s v="V"/>
    <s v="PE"/>
    <s v="Normal"/>
    <s v="29805 00 C"/>
    <n v="231926"/>
    <d v="2022-05-31T00:00:00"/>
    <d v="2022-08-05T00:00:00"/>
    <d v="2022-06-01T00:00:00"/>
    <s v="  /  /  "/>
    <n v="0"/>
    <s v="  /  /  "/>
    <n v="0"/>
    <s v="                                        "/>
    <s v="  /  /  "/>
    <s v="sa755"/>
    <d v="2022-06-07T00:00:00"/>
    <s v="Sem rota"/>
    <n v="0"/>
    <m/>
    <n v="0"/>
    <m/>
    <n v="0"/>
    <m/>
    <s v="FOB"/>
    <n v="13705.93"/>
    <n v="273137.93"/>
    <s v="agosto_2022"/>
    <n v="13705.93"/>
  </r>
  <r>
    <n v="15073"/>
    <x v="16"/>
    <n v="6053214000102"/>
    <s v="Toyota Mat Hald Merc Ind e Com de Equip"/>
    <s v="Sao Bernardo do Campo"/>
    <s v="SP"/>
    <n v="25949"/>
    <s v="PP3"/>
    <s v="V"/>
    <s v="PE"/>
    <s v="Normal"/>
    <s v="29050 01 B"/>
    <n v="456204"/>
    <d v="2022-04-20T00:00:00"/>
    <d v="2022-08-05T00:00:00"/>
    <d v="2022-04-20T00:00:00"/>
    <s v="  /  /  "/>
    <n v="0"/>
    <s v="  /  /  "/>
    <n v="0"/>
    <s v="                                        "/>
    <s v="  /  /  "/>
    <s v="sa718"/>
    <d v="2022-05-09T00:00:00"/>
    <s v="Sem rota"/>
    <n v="44"/>
    <s v="30 DDF S/juros"/>
    <n v="0"/>
    <m/>
    <n v="0"/>
    <s v="Logber - Colatina Es"/>
    <s v="CIF"/>
    <n v="4071.5099999999998"/>
    <n v="198240"/>
    <s v="agosto_2022"/>
    <n v="4071.5099999999998"/>
  </r>
  <r>
    <n v="15059"/>
    <x v="20"/>
    <n v="10885321000174"/>
    <s v="Weg Linhares Equipamentos Eletricos S.A"/>
    <s v="Linhares"/>
    <s v="ES"/>
    <n v="26052"/>
    <s v="PP1"/>
    <s v="V"/>
    <s v="PE"/>
    <s v="Normal"/>
    <s v="29402 00 B"/>
    <n v="4512804245"/>
    <d v="2022-05-03T00:00:00"/>
    <d v="2022-08-05T00:00:00"/>
    <d v="2022-05-03T00:00:00"/>
    <s v="  /  /  "/>
    <n v="0"/>
    <s v="  /  /  "/>
    <n v="0"/>
    <s v="                                        "/>
    <s v="  /  /  "/>
    <s v="sa718"/>
    <d v="2022-05-09T00:00:00"/>
    <s v="Sem rota"/>
    <n v="44"/>
    <s v="30 DDF S/juros"/>
    <n v="0"/>
    <m/>
    <n v="0"/>
    <s v="Logber - Colatina Es"/>
    <s v="CIF"/>
    <n v="60.48"/>
    <n v="1858.5"/>
    <s v="agosto_2022"/>
    <n v="60.48"/>
  </r>
  <r>
    <n v="15910"/>
    <x v="11"/>
    <n v="1438784006995"/>
    <s v="Leroy Merlin Cmp Brasileira de Bricolage"/>
    <s v="Cajamar"/>
    <s v="SP"/>
    <n v="25063"/>
    <s v="TRANSELEVADOR"/>
    <s v="V"/>
    <s v="FP"/>
    <s v="Normal"/>
    <s v="26376 02 F"/>
    <m/>
    <d v="2021-09-22T00:00:00"/>
    <d v="2022-08-10T00:00:00"/>
    <d v="2022-05-28T00:00:00"/>
    <d v="2022-05-28T00:00:00"/>
    <n v="6933"/>
    <d v="2022-05-28T00:00:00"/>
    <n v="6944"/>
    <s v="                                        "/>
    <s v="  /  /  "/>
    <s v="sa609"/>
    <d v="2022-02-02T00:00:00"/>
    <s v="Sem rota"/>
    <n v="0"/>
    <m/>
    <n v="0"/>
    <m/>
    <n v="0"/>
    <s v="Logber - Colatina Es"/>
    <s v="CIF"/>
    <n v="139910.66999999998"/>
    <n v="3176115.61"/>
    <s v="agosto_2022"/>
    <n v="139910.66999999998"/>
  </r>
  <r>
    <n v="15910"/>
    <x v="11"/>
    <n v="1438784006995"/>
    <s v="Leroy Merlin Cmp Brasileira de Bricolage"/>
    <s v="Cajamar"/>
    <s v="SP"/>
    <n v="25064"/>
    <s v="TRANSELEVADOR"/>
    <s v="V"/>
    <s v="FP"/>
    <s v="Normal"/>
    <s v="26376 02 F"/>
    <m/>
    <d v="2021-09-22T00:00:00"/>
    <d v="2022-08-10T00:00:00"/>
    <d v="2022-05-28T00:00:00"/>
    <d v="2022-05-28T00:00:00"/>
    <n v="6945"/>
    <d v="2022-05-28T00:00:00"/>
    <n v="6945"/>
    <s v="                                        "/>
    <s v="  /  /  "/>
    <s v="sa610"/>
    <d v="2022-02-02T00:00:00"/>
    <s v="Sem rota"/>
    <n v="0"/>
    <m/>
    <n v="0"/>
    <m/>
    <n v="0"/>
    <s v="Logber - Colatina Es"/>
    <s v="CIF"/>
    <n v="120960.59"/>
    <n v="3167665.97"/>
    <s v="agosto_2022"/>
    <n v="120960.59"/>
  </r>
  <r>
    <n v="15073"/>
    <x v="16"/>
    <n v="1998069000119"/>
    <s v="Actos Comercio Importacao e Exportacao"/>
    <s v="Santo Andre"/>
    <s v="SP"/>
    <n v="26010"/>
    <s v="PP3"/>
    <s v="V"/>
    <s v="PE"/>
    <s v="Normal"/>
    <s v="29521 01 B"/>
    <m/>
    <d v="2022-04-28T00:00:00"/>
    <d v="2022-08-12T00:00:00"/>
    <d v="2022-05-02T00:00:00"/>
    <s v="  /  /  "/>
    <n v="0"/>
    <s v="  /  /  "/>
    <n v="0"/>
    <s v="                                        "/>
    <s v="  /  /  "/>
    <s v="sa718"/>
    <d v="2022-05-09T00:00:00"/>
    <s v="Sem rota"/>
    <n v="2257"/>
    <s v="40% Conf/30%14ddf/saldo28ddf"/>
    <n v="0"/>
    <m/>
    <n v="0"/>
    <s v="Logber - Colatina Es"/>
    <s v="CIF"/>
    <n v="1777.4299999999998"/>
    <n v="35621.25"/>
    <s v="agosto_2022"/>
    <n v="1777.4299999999998"/>
  </r>
  <r>
    <n v="15067"/>
    <x v="3"/>
    <n v="2873606000167"/>
    <s v="Alminhana Com. e Representacoes Ltda"/>
    <s v="Porto Alegre"/>
    <s v="RS"/>
    <n v="26108"/>
    <s v="PP3"/>
    <s v="V"/>
    <s v="PE"/>
    <s v="Normal"/>
    <s v="29491 00 B"/>
    <m/>
    <d v="2022-05-11T00:00:00"/>
    <d v="2022-08-12T00:00:00"/>
    <d v="2022-05-11T00:00:00"/>
    <s v="  /  /  "/>
    <n v="0"/>
    <s v="  /  /  "/>
    <n v="0"/>
    <s v="                                        "/>
    <s v="  /  /  "/>
    <s v="sa728"/>
    <d v="2022-05-17T00:00:00"/>
    <s v="Sem rota"/>
    <n v="2001"/>
    <s v="14/28 DDF S/juros"/>
    <n v="0"/>
    <m/>
    <n v="0"/>
    <s v="Logber - Colatina Es"/>
    <s v="CIF"/>
    <n v="445.75"/>
    <n v="17273.73"/>
    <s v="agosto_2022"/>
    <n v="445.75"/>
  </r>
  <r>
    <n v="15020"/>
    <x v="7"/>
    <n v="140"/>
    <s v="Granja Avicola Integral Sofia Ltda"/>
    <s v="Santa Cruz de La Siera"/>
    <s v="EX"/>
    <n v="25379"/>
    <s v="DIN1"/>
    <s v="V"/>
    <s v="PE"/>
    <s v="Normal"/>
    <s v="27753 00 C"/>
    <m/>
    <d v="2022-01-31T00:00:00"/>
    <d v="2022-08-12T00:00:00"/>
    <d v="2022-02-02T00:00:00"/>
    <s v="  /  /  "/>
    <n v="0"/>
    <s v="  /  /  "/>
    <n v="0"/>
    <s v="                                        "/>
    <s v="  /  /  "/>
    <s v="sa642"/>
    <d v="2022-02-18T00:00:00"/>
    <s v="Nit 1028779020"/>
    <n v="0"/>
    <m/>
    <n v="0"/>
    <m/>
    <n v="0"/>
    <m/>
    <s v="FCA"/>
    <n v="84.18"/>
    <n v="235389.7"/>
    <s v="agosto_2022"/>
    <n v="84.18"/>
  </r>
  <r>
    <n v="15057"/>
    <x v="0"/>
    <n v="92341312001159"/>
    <s v="Basso &amp; Pancotte Ltda"/>
    <s v="Sumare"/>
    <s v="SP"/>
    <n v="25971"/>
    <s v="PP3"/>
    <s v="V"/>
    <s v="PE"/>
    <s v="Normal"/>
    <s v="28996 06 F"/>
    <m/>
    <d v="2022-04-25T00:00:00"/>
    <d v="2022-08-12T00:00:00"/>
    <d v="2022-04-25T00:00:00"/>
    <s v="  /  /  "/>
    <n v="0"/>
    <s v="  /  /  "/>
    <n v="0"/>
    <s v="                                        "/>
    <s v="  /  /  "/>
    <s v="sa732"/>
    <d v="2022-05-19T00:00:00"/>
    <s v="(nova Veneza)"/>
    <n v="3012"/>
    <s v="40% Cofirmação / Saldo 30/60"/>
    <n v="0"/>
    <m/>
    <n v="0"/>
    <m/>
    <s v="CIF"/>
    <n v="29636.729999999996"/>
    <n v="945084.42"/>
    <s v="agosto_2022"/>
    <n v="29636.729999999996"/>
  </r>
  <r>
    <n v="15057"/>
    <x v="0"/>
    <n v="92341312001159"/>
    <s v="Basso &amp; Pancotte Ltda"/>
    <s v="Sumare"/>
    <s v="SP"/>
    <n v="25972"/>
    <s v="FLR1"/>
    <s v="V"/>
    <s v="PE"/>
    <s v="Normal"/>
    <s v="28996 06 F"/>
    <m/>
    <d v="2022-04-25T00:00:00"/>
    <d v="2022-08-12T00:00:00"/>
    <d v="2022-04-25T00:00:00"/>
    <s v="  /  /  "/>
    <n v="0"/>
    <s v="  /  /  "/>
    <n v="0"/>
    <s v="                                        "/>
    <s v="  /  /  "/>
    <m/>
    <s v="/  /"/>
    <s v="(nova Veneza)"/>
    <n v="3012"/>
    <s v="40% Cofirmação / Saldo 30/60"/>
    <n v="0"/>
    <m/>
    <n v="0"/>
    <s v="Logber - Colatina Es"/>
    <s v="CIF"/>
    <n v="18539"/>
    <n v="674985"/>
    <s v="agosto_2022"/>
    <n v="18539"/>
  </r>
  <r>
    <n v="15057"/>
    <x v="0"/>
    <n v="92341312001159"/>
    <s v="Basso &amp; Pancotte Ltda"/>
    <s v="Sumare"/>
    <s v="SP"/>
    <n v="25973"/>
    <s v="PSL1"/>
    <s v="V"/>
    <s v="PE"/>
    <s v="Normal"/>
    <s v="28996 06 F"/>
    <m/>
    <d v="2022-04-25T00:00:00"/>
    <d v="2022-08-12T00:00:00"/>
    <d v="2022-04-25T00:00:00"/>
    <s v="  /  /  "/>
    <n v="0"/>
    <s v="  /  /  "/>
    <n v="0"/>
    <s v="                                        "/>
    <s v="  /  /  "/>
    <m/>
    <s v="/  /"/>
    <s v="(nova Veneza)"/>
    <n v="3012"/>
    <s v="40% Cofirmação / Saldo 30/60"/>
    <n v="0"/>
    <m/>
    <n v="0"/>
    <s v="Logber - Colatina Es"/>
    <s v="CIF"/>
    <n v="9268"/>
    <n v="346906.58"/>
    <s v="agosto_2022"/>
    <n v="9268"/>
  </r>
  <r>
    <n v="15057"/>
    <x v="0"/>
    <n v="92341312001159"/>
    <s v="Basso &amp; Pancotte Ltda"/>
    <s v="Sumare"/>
    <s v="SP"/>
    <n v="25974"/>
    <s v="MEZ1"/>
    <s v="V"/>
    <s v="PE"/>
    <s v="Normal"/>
    <s v="28996 06 F"/>
    <m/>
    <d v="2022-04-25T00:00:00"/>
    <d v="2022-08-12T00:00:00"/>
    <d v="2022-04-25T00:00:00"/>
    <s v="  /  /  "/>
    <n v="0"/>
    <s v="  /  /  "/>
    <n v="0"/>
    <s v="                                        "/>
    <s v="  /  /  "/>
    <m/>
    <s v="/  /"/>
    <s v="(nova Veneza)"/>
    <n v="3012"/>
    <s v="40% Cofirmação / Saldo 30/60"/>
    <n v="0"/>
    <m/>
    <n v="0"/>
    <s v="Logber - Colatina Es"/>
    <s v="CIF"/>
    <n v="3898"/>
    <n v="442624.49"/>
    <s v="agosto_2022"/>
    <n v="3898"/>
  </r>
  <r>
    <n v="15057"/>
    <x v="0"/>
    <n v="92341312001159"/>
    <s v="Basso &amp; Pancotte Ltda"/>
    <s v="Sumare"/>
    <s v="SP"/>
    <n v="25975"/>
    <s v="AUT1"/>
    <s v="V"/>
    <s v="PE"/>
    <s v="Normal"/>
    <s v="28996 06 F"/>
    <m/>
    <d v="2022-04-25T00:00:00"/>
    <d v="2022-08-12T00:00:00"/>
    <d v="2022-04-25T00:00:00"/>
    <s v="  /  /  "/>
    <n v="0"/>
    <s v="  /  /  "/>
    <n v="0"/>
    <s v="                                        "/>
    <s v="  /  /  "/>
    <s v="sa724"/>
    <d v="2022-05-11T00:00:00"/>
    <s v="(nova Veneza)"/>
    <n v="3012"/>
    <s v="40% Cofirmação / Saldo 30/60"/>
    <n v="0"/>
    <m/>
    <n v="0"/>
    <s v="Logber - Colatina Es"/>
    <s v="CIF"/>
    <n v="1863.4800000000005"/>
    <n v="715435"/>
    <s v="agosto_2022"/>
    <n v="1863.4800000000005"/>
  </r>
  <r>
    <n v="15075"/>
    <x v="5"/>
    <n v="31546266000753"/>
    <s v="Casajoli Comercio de Bebidas Ltda"/>
    <s v="Canela"/>
    <s v="RS"/>
    <n v="26021"/>
    <s v="PP1"/>
    <s v="V"/>
    <s v="PE"/>
    <s v="Normal"/>
    <s v="27182 02 B"/>
    <m/>
    <d v="2022-04-29T00:00:00"/>
    <d v="2022-08-12T00:00:00"/>
    <d v="2022-05-02T00:00:00"/>
    <s v="  /  /  "/>
    <n v="0"/>
    <s v="  /  /  "/>
    <n v="0"/>
    <s v="                                        "/>
    <s v="  /  /  "/>
    <s v="sa718"/>
    <d v="2022-05-09T00:00:00"/>
    <s v="Sem rota"/>
    <n v="0"/>
    <m/>
    <n v="0"/>
    <m/>
    <n v="0"/>
    <s v="Logber - Colatina Es"/>
    <s v="CIF"/>
    <n v="5026.74"/>
    <n v="151777.5"/>
    <s v="agosto_2022"/>
    <n v="5026.74"/>
  </r>
  <r>
    <n v="15059"/>
    <x v="20"/>
    <n v="84709955001699"/>
    <s v="Cia Industrial H. Carlos Schneider"/>
    <s v="Araquari"/>
    <s v="SC"/>
    <n v="25740"/>
    <s v="PP3"/>
    <s v="V"/>
    <s v="PE"/>
    <s v="Normal"/>
    <s v="28539 04 C"/>
    <m/>
    <d v="2022-03-25T00:00:00"/>
    <d v="2022-08-12T00:00:00"/>
    <d v="2022-05-16T00:00:00"/>
    <s v="  /  /  "/>
    <n v="0"/>
    <s v="  /  /  "/>
    <n v="0"/>
    <s v="                                        "/>
    <s v="  /  /  "/>
    <s v="sa696"/>
    <d v="2022-04-14T00:00:00"/>
    <s v="Sem rota"/>
    <n v="0"/>
    <m/>
    <n v="0"/>
    <m/>
    <n v="0"/>
    <s v="Logber - Colatina Es"/>
    <s v="CIF"/>
    <n v="74682.23"/>
    <n v="1863973.49"/>
    <s v="agosto_2022"/>
    <n v="74682.23"/>
  </r>
  <r>
    <n v="15063"/>
    <x v="23"/>
    <n v="10923336000180"/>
    <s v="Comercial Delpupo Ltda"/>
    <s v="Afonso Claudio"/>
    <s v="ES"/>
    <n v="26102"/>
    <s v="PP2"/>
    <s v="V"/>
    <s v="PE"/>
    <s v="Normal"/>
    <s v="29774 01 B"/>
    <m/>
    <d v="2022-05-11T00:00:00"/>
    <d v="2022-08-12T00:00:00"/>
    <d v="2022-05-18T00:00:00"/>
    <s v="  /  /  "/>
    <n v="0"/>
    <s v="  /  /  "/>
    <n v="0"/>
    <s v="                                        "/>
    <s v="  /  /  "/>
    <s v="sa732"/>
    <d v="2022-05-19T00:00:00"/>
    <s v="Sem rota"/>
    <n v="2257"/>
    <s v="40% Conf/30%14ddf/saldo28ddf"/>
    <n v="0"/>
    <m/>
    <n v="0"/>
    <s v="Logber - Colatina Es"/>
    <s v="CIF"/>
    <n v="547.04999999999995"/>
    <n v="33040"/>
    <s v="agosto_2022"/>
    <n v="547.04999999999995"/>
  </r>
  <r>
    <n v="15059"/>
    <x v="20"/>
    <n v="82900713000176"/>
    <s v="Copal Alimentos Ltda"/>
    <s v="Sao Jose"/>
    <s v="SC"/>
    <n v="26183"/>
    <s v="PP1"/>
    <s v="V"/>
    <s v="PE"/>
    <s v="Normal"/>
    <s v="29881 00 B"/>
    <m/>
    <d v="2022-05-20T00:00:00"/>
    <d v="2022-08-12T00:00:00"/>
    <d v="2022-05-20T00:00:00"/>
    <s v="  /  /  "/>
    <n v="0"/>
    <s v="  /  /  "/>
    <n v="0"/>
    <s v="                                        "/>
    <s v="  /  /  "/>
    <s v="sa747"/>
    <d v="2022-05-27T00:00:00"/>
    <s v="Sem rota"/>
    <n v="119"/>
    <s v="28/56/84 Ddf S/juros"/>
    <n v="0"/>
    <m/>
    <n v="0"/>
    <s v="Logber - Colatina Es"/>
    <s v="CIF"/>
    <n v="300.88"/>
    <n v="6401.5"/>
    <s v="agosto_2022"/>
    <n v="300.88"/>
  </r>
  <r>
    <n v="15069"/>
    <x v="6"/>
    <n v="97837181003910"/>
    <s v="Dexco S.A"/>
    <s v="Joao Pessoa"/>
    <s v="PB"/>
    <n v="26177"/>
    <s v="PP2"/>
    <s v="V"/>
    <s v="PE"/>
    <s v="Normal"/>
    <s v="26593 01 C"/>
    <n v="4508801296"/>
    <d v="2022-05-20T00:00:00"/>
    <d v="2022-08-12T00:00:00"/>
    <d v="2022-05-20T00:00:00"/>
    <s v="  /  /  "/>
    <n v="0"/>
    <s v="  /  /  "/>
    <n v="0"/>
    <s v="                                        "/>
    <s v="  /  /  "/>
    <s v="sa739"/>
    <d v="2022-05-25T00:00:00"/>
    <s v="Sem rota"/>
    <n v="944"/>
    <s v="90 DDF Sem Juros"/>
    <n v="0"/>
    <m/>
    <n v="0"/>
    <s v="Logber - Colatina Es"/>
    <s v="CIF"/>
    <n v="1635.5100000000002"/>
    <n v="64015"/>
    <s v="agosto_2022"/>
    <n v="1635.5100000000002"/>
  </r>
  <r>
    <n v="15069"/>
    <x v="6"/>
    <n v="97837181003910"/>
    <s v="Dexco S.A"/>
    <s v="Joao Pessoa"/>
    <s v="PB"/>
    <n v="26178"/>
    <s v="PP1"/>
    <s v="V"/>
    <s v="PE"/>
    <s v="Normal"/>
    <s v="29904 01 A"/>
    <n v="4508801296"/>
    <d v="2022-05-20T00:00:00"/>
    <d v="2022-08-12T00:00:00"/>
    <d v="2022-05-20T00:00:00"/>
    <s v="  /  /  "/>
    <n v="0"/>
    <s v="  /  /  "/>
    <n v="0"/>
    <s v="                                        "/>
    <s v="  /  /  "/>
    <s v="sa747"/>
    <d v="2022-05-27T00:00:00"/>
    <s v="Sem rota"/>
    <n v="944"/>
    <s v="90 DDF Sem Juros"/>
    <n v="0"/>
    <m/>
    <n v="0"/>
    <s v="Logber - Colatina Es"/>
    <s v="CIF"/>
    <n v="606.96"/>
    <n v="28910"/>
    <s v="agosto_2022"/>
    <n v="606.96"/>
  </r>
  <r>
    <n v="15081"/>
    <x v="28"/>
    <n v="23577851000105"/>
    <s v="Donizete Distribuidora de Alimentos Ltda"/>
    <s v="Eusebio"/>
    <s v="CE"/>
    <n v="26105"/>
    <s v="PP1"/>
    <s v="V"/>
    <s v="PE"/>
    <s v="Normal"/>
    <s v="29545 00 D"/>
    <m/>
    <d v="2022-05-11T00:00:00"/>
    <d v="2022-08-12T00:00:00"/>
    <d v="2022-05-23T00:00:00"/>
    <s v="  /  /  "/>
    <n v="0"/>
    <s v="  /  /  "/>
    <n v="0"/>
    <s v="                                        "/>
    <s v="  /  /  "/>
    <s v="sa738"/>
    <d v="2022-05-24T00:00:00"/>
    <s v="Sem rota"/>
    <n v="0"/>
    <m/>
    <n v="0"/>
    <m/>
    <n v="0"/>
    <s v="Logber - Colatina Es"/>
    <s v="CIF"/>
    <n v="13736.619999999997"/>
    <n v="258125"/>
    <s v="agosto_2022"/>
    <n v="13736.619999999997"/>
  </r>
  <r>
    <n v="15057"/>
    <x v="0"/>
    <n v="87546636000111"/>
    <s v="Farina S/A Componentes Automotivos"/>
    <s v="Bento Goncalves"/>
    <s v="RS"/>
    <n v="26227"/>
    <s v="PP2"/>
    <s v="V"/>
    <s v="PE"/>
    <s v="Normal"/>
    <s v="29330 03 D"/>
    <n v="4147"/>
    <d v="2022-05-26T00:00:00"/>
    <d v="2022-08-12T00:00:00"/>
    <d v="2022-05-28T00:00:00"/>
    <s v="  /  /  "/>
    <n v="0"/>
    <s v="  /  /  "/>
    <n v="0"/>
    <s v="                                        "/>
    <s v="  /  /  "/>
    <s v="sa756"/>
    <d v="2022-06-07T00:00:00"/>
    <s v="Sem rota"/>
    <n v="2257"/>
    <s v="40% Conf/30%14ddf/saldo28ddf"/>
    <n v="0"/>
    <m/>
    <n v="0"/>
    <s v="Logber - Colatina Es"/>
    <s v="CIF"/>
    <n v="0.49"/>
    <n v="9092.2000000000007"/>
    <s v="agosto_2022"/>
    <n v="0.49"/>
  </r>
  <r>
    <n v="15059"/>
    <x v="20"/>
    <n v="9072082000235"/>
    <s v="Focalle - Engenharia Viaria Ltda"/>
    <s v="Florianopolis"/>
    <s v="SC"/>
    <n v="26103"/>
    <s v="SERVIÇO"/>
    <s v="V"/>
    <s v="PE"/>
    <s v="Normal"/>
    <s v="29276 03 D"/>
    <n v="97058"/>
    <d v="2022-05-11T00:00:00"/>
    <d v="2022-08-12T00:00:00"/>
    <d v="2022-05-16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m/>
    <s v="CIF"/>
    <n v="0"/>
    <n v="3920"/>
    <s v="agosto_2022"/>
    <n v="0"/>
  </r>
  <r>
    <n v="15059"/>
    <x v="20"/>
    <n v="9072082000235"/>
    <s v="Focalle - Engenharia Viaria Ltda"/>
    <s v="Florianopolis"/>
    <s v="SC"/>
    <n v="26104"/>
    <s v="PP2"/>
    <s v="V"/>
    <s v="PE"/>
    <s v="Normal"/>
    <s v="29276 03 D"/>
    <n v="97056"/>
    <d v="2022-05-11T00:00:00"/>
    <d v="2022-08-12T00:00:00"/>
    <d v="2022-05-16T00:00:00"/>
    <s v="  /  /  "/>
    <n v="0"/>
    <s v="  /  /  "/>
    <n v="0"/>
    <s v="                                        "/>
    <s v="  /  /  "/>
    <s v="sa728"/>
    <d v="2022-05-17T00:00:00"/>
    <s v="Sem rota"/>
    <n v="2257"/>
    <s v="40% Conf/30%14ddf/saldo28ddf"/>
    <n v="0"/>
    <m/>
    <n v="0"/>
    <s v="Logber - Colatina Es"/>
    <s v="CIF"/>
    <n v="168.02"/>
    <n v="5100.55"/>
    <s v="agosto_2022"/>
    <n v="168.02"/>
  </r>
  <r>
    <n v="15074"/>
    <x v="21"/>
    <n v="3157268000120"/>
    <s v="Gr Ind e Com de Produtos Quimicos S.A"/>
    <s v="Cruzeiro"/>
    <s v="SP"/>
    <n v="26175"/>
    <s v="PP2"/>
    <s v="V"/>
    <s v="PE"/>
    <s v="Normal"/>
    <s v="29508 01 B"/>
    <m/>
    <d v="2022-05-20T00:00:00"/>
    <d v="2022-08-12T00:00:00"/>
    <d v="2022-05-20T00:00:00"/>
    <s v="  /  /  "/>
    <n v="0"/>
    <s v="  /  /  "/>
    <n v="0"/>
    <s v="                                        "/>
    <s v="  /  /  "/>
    <s v="sa739"/>
    <d v="2022-05-25T00:00:00"/>
    <s v="Sem rota"/>
    <n v="0"/>
    <m/>
    <n v="0"/>
    <m/>
    <n v="0"/>
    <s v="Logber - Colatina Es"/>
    <s v="CIF"/>
    <n v="6184.98"/>
    <n v="134225.01"/>
    <s v="agosto_2022"/>
    <n v="6184.98"/>
  </r>
  <r>
    <n v="15067"/>
    <x v="3"/>
    <n v="92080035000104"/>
    <s v="Perto S/A  Perifericos para Automacao"/>
    <s v="Gravatai"/>
    <s v="RS"/>
    <n v="26339"/>
    <s v="PP2"/>
    <s v="V"/>
    <s v="PE"/>
    <s v="Normal"/>
    <s v="29355 01 B"/>
    <n v="214827"/>
    <d v="2022-06-09T00:00:00"/>
    <d v="2022-08-12T00:00:00"/>
    <d v="2022-06-09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744"/>
    <n v="8337.44"/>
    <s v="agosto_2022"/>
    <n v="744"/>
  </r>
  <r>
    <n v="15067"/>
    <x v="3"/>
    <n v="87727277000107"/>
    <s v="Instituto Pasteur de Cosmiatria Ltda"/>
    <s v="Porto Alegre"/>
    <s v="RS"/>
    <n v="26113"/>
    <s v="PP2"/>
    <s v="V"/>
    <s v="PE"/>
    <s v="Normal"/>
    <s v="29202 02 C"/>
    <n v="19152"/>
    <d v="2022-05-12T00:00:00"/>
    <d v="2022-08-12T00:00:00"/>
    <d v="2022-05-16T00:00:00"/>
    <s v="  /  /  "/>
    <n v="0"/>
    <s v="  /  /  "/>
    <n v="0"/>
    <s v="                                        "/>
    <s v="  /  /  "/>
    <s v="sa728"/>
    <d v="2022-05-17T00:00:00"/>
    <s v="Sem rota"/>
    <n v="0"/>
    <m/>
    <n v="0"/>
    <m/>
    <n v="0"/>
    <s v="Logber - Colatina Es"/>
    <s v="CIF"/>
    <n v="967.65000000000009"/>
    <n v="31520.16"/>
    <s v="agosto_2022"/>
    <n v="967.65000000000009"/>
  </r>
  <r>
    <n v="15057"/>
    <x v="0"/>
    <n v="1639071000100"/>
    <s v="Mts Comercio e Representacoes Eireli"/>
    <s v="Chapeco"/>
    <s v="SC"/>
    <n v="26228"/>
    <s v="PP2"/>
    <s v="V"/>
    <s v="PE"/>
    <s v="Normal"/>
    <s v="22748 04 D"/>
    <m/>
    <d v="2022-05-26T00:00:00"/>
    <d v="2022-08-12T00:00:00"/>
    <d v="2022-05-27T00:00:00"/>
    <s v="  /  /  "/>
    <n v="0"/>
    <s v="  /  /  "/>
    <n v="0"/>
    <s v="                                        "/>
    <s v="  /  /  "/>
    <s v="sa756"/>
    <d v="2022-06-07T00:00:00"/>
    <s v="Sem rota"/>
    <n v="2235"/>
    <s v="50% Conf e Saldo 28ddf"/>
    <n v="0"/>
    <m/>
    <n v="0"/>
    <s v="Logber - Colatina Es"/>
    <s v="CIF"/>
    <n v="90.429999999999993"/>
    <n v="20826.04"/>
    <s v="agosto_2022"/>
    <n v="90.429999999999993"/>
  </r>
  <r>
    <n v="15059"/>
    <x v="20"/>
    <n v="86375912000163"/>
    <s v="Mueller Eletrodomesticos Ltda"/>
    <s v="Timbo"/>
    <s v="SC"/>
    <n v="26118"/>
    <s v="PP3"/>
    <s v="V"/>
    <s v="PE"/>
    <s v="Normal"/>
    <s v="29575 02 B"/>
    <n v="4500034278"/>
    <d v="2022-05-12T00:00:00"/>
    <d v="2022-08-12T00:00:00"/>
    <d v="2022-06-03T00:00:00"/>
    <s v="  /  /  "/>
    <n v="0"/>
    <s v="  /  /  "/>
    <n v="0"/>
    <s v="                                        "/>
    <s v="  /  /  "/>
    <s v="sa738"/>
    <d v="2022-05-24T00:00:00"/>
    <s v="Sem rota"/>
    <n v="0"/>
    <m/>
    <n v="0"/>
    <m/>
    <n v="0"/>
    <s v="Logber - Colatina Es"/>
    <s v="CIF"/>
    <n v="1860.0700000000002"/>
    <n v="62703.73"/>
    <s v="agosto_2022"/>
    <n v="1860.0700000000002"/>
  </r>
  <r>
    <n v="15057"/>
    <x v="0"/>
    <n v="8683268000187"/>
    <s v="Pescados do Porto Com de Peixes Ltda"/>
    <s v="Carlos Barbosa"/>
    <s v="RS"/>
    <n v="25140"/>
    <s v="DRI1"/>
    <s v="V"/>
    <s v="PE"/>
    <s v="Normal"/>
    <s v="28015 02 C"/>
    <m/>
    <d v="2021-12-15T00:00:00"/>
    <d v="2022-08-12T00:00:00"/>
    <d v="2022-05-04T00:00:00"/>
    <s v="  /  /  "/>
    <n v="0"/>
    <s v="  /  /  "/>
    <n v="0"/>
    <s v="                                        "/>
    <s v="  /  /  "/>
    <s v="sa633"/>
    <d v="2022-02-11T00:00:00"/>
    <s v="Sem rota"/>
    <n v="0"/>
    <m/>
    <n v="0"/>
    <m/>
    <n v="0"/>
    <s v="Logber - Colatina Es"/>
    <s v="CIF"/>
    <n v="2952.78"/>
    <n v="1425833.33"/>
    <s v="agosto_2022"/>
    <n v="2952.78"/>
  </r>
  <r>
    <n v="15075"/>
    <x v="5"/>
    <n v="89188973000100"/>
    <s v="Plasticos Suzuki Ltda"/>
    <s v="Estancia Velha"/>
    <s v="RS"/>
    <n v="26121"/>
    <s v="PP3"/>
    <s v="V"/>
    <s v="PE"/>
    <s v="Normal"/>
    <s v="29691 02 B"/>
    <n v="28880"/>
    <d v="2022-05-12T00:00:00"/>
    <d v="2022-08-12T00:00:00"/>
    <d v="2022-05-16T00:00:00"/>
    <s v="  /  /  "/>
    <n v="0"/>
    <s v="  /  /  "/>
    <n v="0"/>
    <s v="                                        "/>
    <s v="  /  /  "/>
    <s v="sa732"/>
    <d v="2022-05-19T00:00:00"/>
    <s v="Sem rota"/>
    <n v="2257"/>
    <s v="40% Conf/30%14ddf/saldo28ddf"/>
    <n v="0"/>
    <m/>
    <n v="0"/>
    <s v="Logber - Colatina Es"/>
    <s v="CIF"/>
    <n v="249.73"/>
    <n v="7791.25"/>
    <s v="agosto_2022"/>
    <n v="249.73"/>
  </r>
  <r>
    <n v="15070"/>
    <x v="14"/>
    <n v="19471981000183"/>
    <s v="Prime Agro Produtos Agricolas Ltda"/>
    <s v="Toledo"/>
    <s v="PR"/>
    <n v="26008"/>
    <s v="PP2"/>
    <s v="V"/>
    <s v="PE"/>
    <s v="Normal"/>
    <s v="29428 03 C"/>
    <m/>
    <d v="2022-04-28T00:00:00"/>
    <d v="2022-08-12T00:00:00"/>
    <d v="2022-05-02T00:00:00"/>
    <s v="  /  /  "/>
    <n v="0"/>
    <s v="  /  /  "/>
    <n v="0"/>
    <s v="                                        "/>
    <s v="  /  /  "/>
    <s v="sa718"/>
    <d v="2022-05-09T00:00:00"/>
    <s v="Sem rota"/>
    <n v="0"/>
    <m/>
    <n v="0"/>
    <m/>
    <n v="0"/>
    <s v="Logber - Colatina Es"/>
    <s v="CIF"/>
    <n v="20270.78"/>
    <n v="709327.5"/>
    <s v="agosto_2022"/>
    <n v="20270.78"/>
  </r>
  <r>
    <n v="15909"/>
    <x v="15"/>
    <n v="61585865288660"/>
    <s v="Raia Drogasil S.A"/>
    <s v="Cuiaba"/>
    <s v="MT"/>
    <n v="25992"/>
    <s v="PP3"/>
    <s v="V"/>
    <s v="PE"/>
    <s v="Normal"/>
    <s v="28747 05 F"/>
    <n v="4504521519"/>
    <d v="2022-04-27T00:00:00"/>
    <d v="2022-08-12T00:00:00"/>
    <d v="2022-04-27T00:00:00"/>
    <s v="  /  /  "/>
    <n v="0"/>
    <s v="  /  /  "/>
    <n v="0"/>
    <s v="                                        "/>
    <s v="  /  /  "/>
    <s v="sa731"/>
    <d v="2022-05-18T00:00:00"/>
    <s v="Sem rota"/>
    <n v="13"/>
    <s v="45 Ddf S/j"/>
    <n v="0"/>
    <m/>
    <n v="0"/>
    <s v="Logber - Colatina Es"/>
    <s v="CIF"/>
    <n v="172341.33000000002"/>
    <n v="3059399.28"/>
    <s v="agosto_2022"/>
    <n v="172341.33000000002"/>
  </r>
  <r>
    <n v="15909"/>
    <x v="15"/>
    <n v="61585865288660"/>
    <s v="Raia Drogasil S.A"/>
    <s v="Cuiaba"/>
    <s v="MT"/>
    <n v="25993"/>
    <s v="PP3"/>
    <s v="V"/>
    <s v="PE"/>
    <s v="Normal"/>
    <s v="28747 05 F"/>
    <n v="4504521519"/>
    <d v="2022-04-27T00:00:00"/>
    <d v="2022-08-12T00:00:00"/>
    <d v="2022-04-27T00:00:00"/>
    <s v="  /  /  "/>
    <n v="0"/>
    <s v="  /  /  "/>
    <n v="0"/>
    <s v="                                        "/>
    <s v="  /  /  "/>
    <s v="sa730"/>
    <d v="2022-05-18T00:00:00"/>
    <s v="Sem rota"/>
    <n v="13"/>
    <s v="45 Ddf S/j"/>
    <n v="0"/>
    <m/>
    <n v="0"/>
    <s v="Logber - Colatina Es"/>
    <s v="CIF"/>
    <n v="96595.249999999985"/>
    <n v="1790867.87"/>
    <s v="agosto_2022"/>
    <n v="96595.249999999985"/>
  </r>
  <r>
    <n v="15909"/>
    <x v="15"/>
    <n v="61585865288660"/>
    <s v="Raia Drogasil S.A"/>
    <s v="Cuiaba"/>
    <s v="MT"/>
    <n v="25994"/>
    <s v="PP3"/>
    <s v="V"/>
    <s v="PE"/>
    <s v="Normal"/>
    <s v="28747 05 F"/>
    <n v="4504521519"/>
    <d v="2022-04-27T00:00:00"/>
    <d v="2022-08-12T00:00:00"/>
    <d v="2022-04-27T00:00:00"/>
    <s v="  /  /  "/>
    <n v="0"/>
    <s v="  /  /  "/>
    <n v="0"/>
    <s v="                                        "/>
    <s v="  /  /  "/>
    <s v="sa733"/>
    <d v="2022-05-19T00:00:00"/>
    <s v="Sem rota"/>
    <n v="13"/>
    <s v="45 Ddf S/j"/>
    <n v="0"/>
    <m/>
    <n v="0"/>
    <s v="Logber - Colatina Es"/>
    <s v="CIF"/>
    <n v="114622.73000000001"/>
    <n v="2163965.35"/>
    <s v="agosto_2022"/>
    <n v="114622.73000000001"/>
  </r>
  <r>
    <n v="15909"/>
    <x v="15"/>
    <n v="61585865288660"/>
    <s v="Raia Drogasil S.A"/>
    <s v="Cuiaba"/>
    <s v="MT"/>
    <n v="25995"/>
    <s v="PP3"/>
    <s v="V"/>
    <s v="PE"/>
    <s v="Normal"/>
    <s v="28747 05 F"/>
    <n v="4504521519"/>
    <d v="2022-04-27T00:00:00"/>
    <d v="2022-08-12T00:00:00"/>
    <d v="2022-04-27T00:00:00"/>
    <s v="  /  /  "/>
    <n v="0"/>
    <s v="  /  /  "/>
    <n v="0"/>
    <s v="                                        "/>
    <s v="  /  /  "/>
    <s v="sa736"/>
    <d v="2022-05-23T00:00:00"/>
    <s v="Sem rota"/>
    <n v="13"/>
    <s v="45 Ddf S/j"/>
    <n v="0"/>
    <m/>
    <n v="0"/>
    <s v="Logber - Colatina Es"/>
    <s v="CIF"/>
    <n v="88755.550000000017"/>
    <n v="1790867.87"/>
    <s v="agosto_2022"/>
    <n v="88755.550000000017"/>
  </r>
  <r>
    <n v="15909"/>
    <x v="15"/>
    <n v="61585865288660"/>
    <s v="Raia Drogasil S.A"/>
    <s v="Cuiaba"/>
    <s v="MT"/>
    <n v="25996"/>
    <s v="FLR1"/>
    <s v="V"/>
    <s v="PE"/>
    <s v="Normal"/>
    <s v="28747 05 F"/>
    <n v="4504521519"/>
    <d v="2022-04-27T00:00:00"/>
    <d v="2022-08-12T00:00:00"/>
    <d v="2022-04-27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s v="Logber - Colatina Es"/>
    <s v="CIF"/>
    <n v="24319"/>
    <n v="2211510"/>
    <s v="agosto_2022"/>
    <n v="24319"/>
  </r>
  <r>
    <n v="15074"/>
    <x v="21"/>
    <n v="1631626000169"/>
    <s v="Sun Chemical do Brasil Ltda"/>
    <s v="Guarulhos"/>
    <s v="SP"/>
    <n v="26122"/>
    <s v="PP3"/>
    <s v="V"/>
    <s v="PE"/>
    <s v="Normal"/>
    <s v="29516 01 B"/>
    <m/>
    <d v="2022-05-13T00:00:00"/>
    <d v="2022-08-12T00:00:00"/>
    <d v="2022-05-27T00:00:00"/>
    <s v="  /  /  "/>
    <n v="0"/>
    <s v="  /  /  "/>
    <n v="0"/>
    <s v="                                        "/>
    <s v="  /  /  "/>
    <s v="sa748"/>
    <d v="2022-05-30T00:00:00"/>
    <s v="Sem rota"/>
    <n v="2051"/>
    <s v="40% na Conf. e Saldo 28ddf"/>
    <n v="0"/>
    <m/>
    <n v="0"/>
    <s v="Logber - Colatina Es"/>
    <s v="CIF"/>
    <n v="127.2"/>
    <n v="6195"/>
    <s v="agosto_2022"/>
    <n v="127.2"/>
  </r>
  <r>
    <n v="15077"/>
    <x v="30"/>
    <n v="72801954000104"/>
    <s v="Thk Brasil Industria e Comercio Ltda"/>
    <s v="Sao Paulo"/>
    <s v="SP"/>
    <n v="26120"/>
    <s v="PP2"/>
    <s v="V"/>
    <s v="PE"/>
    <s v="Normal"/>
    <s v="29308 01 B"/>
    <s v="3748/2022"/>
    <d v="2022-05-12T00:00:00"/>
    <d v="2022-08-12T00:00:00"/>
    <d v="2022-05-17T00:00:00"/>
    <s v="  /  /  "/>
    <n v="0"/>
    <s v="  /  /  "/>
    <n v="0"/>
    <s v="                                        "/>
    <s v="  /  /  "/>
    <s v="sa732"/>
    <d v="2022-05-19T00:00:00"/>
    <s v="Sem rota"/>
    <n v="2257"/>
    <s v="40% Conf/30%14ddf/saldo28ddf"/>
    <n v="0"/>
    <m/>
    <n v="0"/>
    <s v="Logber - Colatina Es"/>
    <s v="CIF"/>
    <n v="711.65"/>
    <n v="20650"/>
    <s v="agosto_2022"/>
    <n v="711.65"/>
  </r>
  <r>
    <n v="15907"/>
    <x v="8"/>
    <n v="15205628000109"/>
    <s v="Tramontina Nordeste S/A"/>
    <s v="Simoes Filho"/>
    <s v="BA"/>
    <n v="26119"/>
    <s v="PP3"/>
    <s v="V"/>
    <s v="PE"/>
    <s v="Normal"/>
    <s v="29826 00 A"/>
    <n v="1347"/>
    <d v="2022-05-12T00:00:00"/>
    <d v="2022-08-12T00:00:00"/>
    <d v="2022-05-16T00:00:00"/>
    <s v="  /  /  "/>
    <n v="0"/>
    <s v="  /  /  "/>
    <n v="0"/>
    <s v="                                        "/>
    <s v="  /  /  "/>
    <s v="sa728"/>
    <d v="2022-05-17T00:00:00"/>
    <s v="Sem rota"/>
    <n v="2257"/>
    <s v="40% Conf/30%14ddf/saldo28ddf"/>
    <n v="0"/>
    <m/>
    <n v="0"/>
    <s v="Logber - Colatina Es"/>
    <s v="CIF"/>
    <n v="2690.87"/>
    <n v="76363.7"/>
    <s v="agosto_2022"/>
    <n v="2690.87"/>
  </r>
  <r>
    <n v="15067"/>
    <x v="3"/>
    <n v="2899104000105"/>
    <s v="Zobele do Brasil Ltda"/>
    <s v="Cachoeirinha"/>
    <s v="RS"/>
    <n v="26181"/>
    <s v="PP2"/>
    <s v="V"/>
    <s v="PE"/>
    <s v="Normal"/>
    <s v="29636 00 B"/>
    <n v="4500447358"/>
    <d v="2022-05-20T00:00:00"/>
    <d v="2022-08-12T00:00:00"/>
    <d v="2022-05-23T00:00:00"/>
    <s v="  /  /  "/>
    <n v="0"/>
    <s v="  /  /  "/>
    <n v="0"/>
    <s v="                                        "/>
    <s v="  /  /  "/>
    <s v="sa747"/>
    <d v="2022-05-27T00:00:00"/>
    <s v="Sem rota"/>
    <n v="2257"/>
    <s v="40% Conf/30%14ddf/saldo28ddf"/>
    <n v="0"/>
    <m/>
    <n v="0"/>
    <s v="Logber - Colatina Es"/>
    <s v="CIF"/>
    <n v="116.54"/>
    <n v="8776.25"/>
    <s v="agosto_2022"/>
    <n v="116.54"/>
  </r>
  <r>
    <n v="15075"/>
    <x v="5"/>
    <n v="33971859000105"/>
    <s v="A L Sul Com de Comp para Calcados Ltda"/>
    <s v="Igrejinha"/>
    <s v="RS"/>
    <n v="26205"/>
    <s v="PP1"/>
    <s v="V"/>
    <s v="PE"/>
    <s v="Normal"/>
    <s v="29751 01 B"/>
    <m/>
    <d v="2022-05-24T00:00:00"/>
    <d v="2022-08-19T00:00:00"/>
    <d v="2022-05-27T00:00:00"/>
    <s v="  /  /  "/>
    <n v="0"/>
    <s v="  /  /  "/>
    <n v="0"/>
    <s v="                                        "/>
    <s v="  /  /  "/>
    <s v="sa748"/>
    <d v="2022-05-30T00:00:00"/>
    <s v="Sem rota"/>
    <n v="0"/>
    <m/>
    <n v="0"/>
    <m/>
    <n v="0"/>
    <s v="Logber - Colatina Es"/>
    <s v="CIF"/>
    <n v="99.72999999999999"/>
    <n v="7227.5"/>
    <s v="agosto_2022"/>
    <n v="99.72999999999999"/>
  </r>
  <r>
    <n v="15069"/>
    <x v="6"/>
    <n v="1838723034617"/>
    <s v="Brf S.A"/>
    <s v="Vitoria de Santo Antao"/>
    <s v="PE"/>
    <n v="25421"/>
    <s v="DRI1"/>
    <s v="V"/>
    <s v="PE"/>
    <s v="Normal"/>
    <s v="24622 03 E"/>
    <n v="104678065"/>
    <d v="2022-02-09T00:00:00"/>
    <d v="2022-08-19T00:00:00"/>
    <d v="2022-02-09T00:00:00"/>
    <s v="  /  /  "/>
    <n v="0"/>
    <s v="  /  /  "/>
    <n v="0"/>
    <s v="                                        "/>
    <s v="  /  /  "/>
    <s v="sa648"/>
    <d v="2022-03-01T00:00:00"/>
    <s v="Sem rota"/>
    <n v="482"/>
    <s v="150 DDF S/juros"/>
    <n v="0"/>
    <m/>
    <n v="0"/>
    <s v="Logber - Colatina Es"/>
    <s v="CIF"/>
    <n v="2225.19"/>
    <n v="406913.54"/>
    <s v="agosto_2022"/>
    <n v="2225.19"/>
  </r>
  <r>
    <n v="15069"/>
    <x v="6"/>
    <n v="1838723034617"/>
    <s v="Brf S.A"/>
    <s v="Vitoria de Santo Antao"/>
    <s v="PE"/>
    <n v="25422"/>
    <s v="SERVIÇO"/>
    <s v="V"/>
    <s v="PE"/>
    <s v="Normal"/>
    <s v="24622 03 E"/>
    <n v="104678065"/>
    <d v="2022-02-09T00:00:00"/>
    <d v="2022-08-19T00:00:00"/>
    <d v="2022-02-09T00:00:00"/>
    <s v="  /  /  "/>
    <n v="0"/>
    <s v="  /  /  "/>
    <n v="0"/>
    <s v="                                        "/>
    <s v="  /  /  "/>
    <m/>
    <s v="/  /"/>
    <s v="Sem rota"/>
    <n v="482"/>
    <s v="150 DDF S/juros"/>
    <n v="0"/>
    <m/>
    <n v="0"/>
    <m/>
    <s v="CIF"/>
    <n v="0"/>
    <n v="29000"/>
    <s v="agosto_2022"/>
    <n v="0"/>
  </r>
  <r>
    <n v="15057"/>
    <x v="0"/>
    <n v="1838723033998"/>
    <s v="Brf S.A"/>
    <s v="Chapeco"/>
    <s v="SC"/>
    <n v="26164"/>
    <s v="PP1"/>
    <s v="V"/>
    <s v="PE"/>
    <s v="Normal"/>
    <s v="29324 00 A"/>
    <n v="105534970"/>
    <d v="2022-05-19T00:00:00"/>
    <d v="2022-08-19T00:00:00"/>
    <d v="2022-05-19T00:00:00"/>
    <s v="  /  /  "/>
    <n v="0"/>
    <s v="  /  /  "/>
    <n v="0"/>
    <s v="                                        "/>
    <s v="  /  /  "/>
    <s v="sa756"/>
    <d v="2022-06-07T00:00:00"/>
    <s v="Sem rota"/>
    <n v="575"/>
    <s v="180 Ddf S/j"/>
    <n v="0"/>
    <m/>
    <n v="0"/>
    <s v="Logber - Colatina Es"/>
    <s v="CIF"/>
    <n v="0"/>
    <n v="44600"/>
    <s v="agosto_2022"/>
    <n v="0"/>
  </r>
  <r>
    <n v="15063"/>
    <x v="23"/>
    <n v="45135215000158"/>
    <s v="Consorcio Cloges"/>
    <s v="Cariacica"/>
    <s v="ES"/>
    <n v="25767"/>
    <s v="PP1"/>
    <s v="V"/>
    <s v="PE"/>
    <s v="Normal"/>
    <s v="29091 03 C"/>
    <m/>
    <d v="2022-03-29T00:00:00"/>
    <d v="2022-08-19T00:00:00"/>
    <d v="2022-04-19T00:00:00"/>
    <s v="  /  /  "/>
    <n v="0"/>
    <s v="  /  /  "/>
    <n v="0"/>
    <s v="                                        "/>
    <s v="  /  /  "/>
    <s v="sa717"/>
    <d v="2022-05-09T00:00:00"/>
    <s v="Sem rota"/>
    <n v="0"/>
    <m/>
    <n v="0"/>
    <m/>
    <n v="0"/>
    <s v="Logber - Colatina Es"/>
    <s v="CIF"/>
    <n v="144488.44"/>
    <n v="2234349.41"/>
    <s v="agosto_2022"/>
    <n v="144488.44"/>
  </r>
  <r>
    <n v="15063"/>
    <x v="23"/>
    <n v="45135215000158"/>
    <s v="Consorcio Cloges"/>
    <s v="Cariacica"/>
    <s v="ES"/>
    <n v="25768"/>
    <s v="PP1"/>
    <s v="V"/>
    <s v="PE"/>
    <s v="Normal"/>
    <s v="29091 03 C"/>
    <m/>
    <d v="2022-03-29T00:00:00"/>
    <d v="2022-08-19T00:00:00"/>
    <d v="2022-04-19T00:00:00"/>
    <s v="  /  /  "/>
    <n v="0"/>
    <s v="  /  /  "/>
    <n v="0"/>
    <s v="                                        "/>
    <s v="  /  /  "/>
    <s v="sa716"/>
    <d v="2022-05-09T00:00:00"/>
    <s v="Sem rota"/>
    <n v="0"/>
    <m/>
    <n v="0"/>
    <m/>
    <n v="0"/>
    <s v="Logber - Colatina Es"/>
    <s v="CIF"/>
    <n v="152542.54"/>
    <n v="2234349.41"/>
    <s v="agosto_2022"/>
    <n v="152542.54"/>
  </r>
  <r>
    <n v="15057"/>
    <x v="0"/>
    <n v="17606425000141"/>
    <s v="Cuias Fracari Industria e Comercio Ltda"/>
    <s v="Santa Maria"/>
    <s v="RS"/>
    <n v="26277"/>
    <s v="PP3"/>
    <s v="V"/>
    <s v="PE"/>
    <s v="Normal"/>
    <s v="30055 01 B"/>
    <m/>
    <d v="2022-05-31T00:00:00"/>
    <d v="2022-08-19T00:00:00"/>
    <d v="2022-06-02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125"/>
    <n v="3817.15"/>
    <s v="agosto_2022"/>
    <n v="125"/>
  </r>
  <r>
    <n v="15051"/>
    <x v="13"/>
    <n v="1287588000411"/>
    <s v="Dass Nordeste Cal e Art Esportivos S.A"/>
    <s v="Vitoria da Conquista"/>
    <s v="BA"/>
    <n v="26311"/>
    <s v="PP2"/>
    <s v="V"/>
    <s v="PE"/>
    <s v="Normal"/>
    <s v="28394 01 D"/>
    <n v="10184920"/>
    <d v="2022-06-03T00:00:00"/>
    <d v="2022-08-19T00:00:00"/>
    <d v="2022-06-03T00:00:00"/>
    <s v="  /  /  "/>
    <n v="0"/>
    <s v="  /  /  "/>
    <n v="0"/>
    <s v="                                        "/>
    <s v="  /  /  "/>
    <m/>
    <s v="/  /"/>
    <s v="Sem rota"/>
    <n v="2003"/>
    <s v="14/28/56 DDF S/juros"/>
    <n v="0"/>
    <m/>
    <n v="0"/>
    <m/>
    <s v="FOB"/>
    <n v="1496"/>
    <n v="27877.5"/>
    <s v="agosto_2022"/>
    <n v="1496"/>
  </r>
  <r>
    <n v="15076"/>
    <x v="31"/>
    <n v="878013000168"/>
    <s v="E M K Comercial Ltda"/>
    <s v="Manaus"/>
    <s v="AM"/>
    <n v="26070"/>
    <s v="PP3"/>
    <s v="V"/>
    <s v="PE"/>
    <s v="Normal"/>
    <s v="29304 00 B"/>
    <m/>
    <d v="2022-05-05T00:00:00"/>
    <d v="2022-08-19T00:00:00"/>
    <d v="2022-05-16T00:00:00"/>
    <s v="  /  /  "/>
    <n v="0"/>
    <s v="  /  /  "/>
    <n v="0"/>
    <s v="                                        "/>
    <s v="  /  /  "/>
    <s v="sa738"/>
    <d v="2022-05-24T00:00:00"/>
    <s v="Sem rota"/>
    <n v="0"/>
    <m/>
    <n v="0"/>
    <m/>
    <n v="0"/>
    <s v="Logber - Colatina Es"/>
    <s v="CIF"/>
    <n v="3155.61"/>
    <n v="73507.5"/>
    <s v="agosto_2022"/>
    <n v="3155.61"/>
  </r>
  <r>
    <n v="15074"/>
    <x v="21"/>
    <n v="61156113000175"/>
    <s v="Iochpe Maxion S/A"/>
    <s v="Cruzeiro"/>
    <s v="SP"/>
    <n v="26074"/>
    <s v="APT1"/>
    <s v="V"/>
    <s v="PE"/>
    <s v="Normal"/>
    <s v="27363 00 E"/>
    <n v="4500132982"/>
    <d v="2022-05-05T00:00:00"/>
    <d v="2022-08-19T00:00:00"/>
    <d v="2022-05-19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448"/>
    <n v="19583"/>
    <s v="agosto_2022"/>
    <n v="448"/>
  </r>
  <r>
    <n v="15052"/>
    <x v="25"/>
    <n v="2916265036512"/>
    <s v="Jbs S.A"/>
    <s v="Guaicara"/>
    <s v="SP"/>
    <n v="26038"/>
    <s v="PP3"/>
    <s v="V"/>
    <s v="PE"/>
    <s v="Normal"/>
    <s v="27989 02 D"/>
    <s v="JBS-46667195"/>
    <d v="2022-04-29T00:00:00"/>
    <d v="2022-08-19T00:00:00"/>
    <d v="2022-05-02T00:00:00"/>
    <s v="  /  /  "/>
    <n v="0"/>
    <s v="  /  /  "/>
    <n v="0"/>
    <s v="                                        "/>
    <s v="  /  /  "/>
    <s v="sa725"/>
    <d v="2022-05-11T00:00:00"/>
    <s v="Sem rota"/>
    <n v="575"/>
    <s v="180 Ddf S/j"/>
    <n v="0"/>
    <m/>
    <n v="0"/>
    <m/>
    <s v="CIF"/>
    <n v="1114.7499999999998"/>
    <n v="99016.75"/>
    <s v="agosto_2022"/>
    <n v="1114.7499999999998"/>
  </r>
  <r>
    <n v="15907"/>
    <x v="8"/>
    <n v="11907140000164"/>
    <s v="Krona Tubos e Conexoes do Nordeste Ltda"/>
    <s v="Marechal Deodoro"/>
    <s v="AL"/>
    <n v="26034"/>
    <s v="PP3"/>
    <s v="V"/>
    <s v="PE"/>
    <s v="Normal"/>
    <s v="24990 01 D"/>
    <n v="48061"/>
    <d v="2022-04-29T00:00:00"/>
    <d v="2022-08-19T00:00:00"/>
    <d v="2022-05-10T00:00:00"/>
    <s v="  /  /  "/>
    <n v="0"/>
    <s v="  /  /  "/>
    <n v="0"/>
    <s v="                                        "/>
    <s v="  /  /  "/>
    <s v="sa721"/>
    <d v="2022-05-10T00:00:00"/>
    <s v="Sem rota"/>
    <n v="2257"/>
    <s v="40% Conf/30%14ddf/saldo28ddf"/>
    <n v="0"/>
    <m/>
    <n v="0"/>
    <s v="Logber - Colatina Es"/>
    <s v="CIF"/>
    <n v="3276.9500000000003"/>
    <n v="149144.63"/>
    <s v="agosto_2022"/>
    <n v="3276.9500000000003"/>
  </r>
  <r>
    <n v="15907"/>
    <x v="8"/>
    <n v="11907140000164"/>
    <s v="Krona Tubos e Conexoes do Nordeste Ltda"/>
    <s v="Marechal Deodoro"/>
    <s v="AL"/>
    <n v="26035"/>
    <s v="PSL1"/>
    <s v="V"/>
    <s v="PE"/>
    <s v="Normal"/>
    <s v="24990 01 D"/>
    <n v="48061"/>
    <d v="2022-04-29T00:00:00"/>
    <d v="2022-08-19T00:00:00"/>
    <d v="2022-05-10T00:00:00"/>
    <s v="  /  /  "/>
    <n v="0"/>
    <s v="  /  /  "/>
    <n v="0"/>
    <s v="                                        "/>
    <s v="  /  /  "/>
    <s v="sa734"/>
    <d v="2022-05-23T00:00:00"/>
    <s v="Sem rota"/>
    <n v="0"/>
    <m/>
    <n v="0"/>
    <m/>
    <n v="0"/>
    <m/>
    <s v="CIF"/>
    <n v="1177.2099999999998"/>
    <n v="41537.480000000003"/>
    <s v="agosto_2022"/>
    <n v="1177.2099999999998"/>
  </r>
  <r>
    <n v="15910"/>
    <x v="11"/>
    <n v="33069212000184"/>
    <s v="Merck S.A"/>
    <s v="Rio de Janeiro"/>
    <s v="RJ"/>
    <n v="26167"/>
    <s v="PP1"/>
    <s v="V"/>
    <s v="PE"/>
    <s v="Normal"/>
    <s v="29157 00 A"/>
    <n v="5010011798"/>
    <d v="2022-05-19T00:00:00"/>
    <d v="2022-08-19T00:00:00"/>
    <d v="2022-05-19T00:00:00"/>
    <s v="  /  /  "/>
    <n v="0"/>
    <s v="  /  /  "/>
    <n v="0"/>
    <s v="                                        "/>
    <s v="  /  /  "/>
    <s v="sa738"/>
    <d v="2022-05-24T00:00:00"/>
    <s v="Sem rota"/>
    <n v="879"/>
    <s v="60 Ddf S/j"/>
    <n v="0"/>
    <m/>
    <n v="0"/>
    <s v="Logber - Colatina Es"/>
    <s v="CIF"/>
    <n v="127.21000000000001"/>
    <n v="14568.58"/>
    <s v="agosto_2022"/>
    <n v="127.21000000000001"/>
  </r>
  <r>
    <n v="15066"/>
    <x v="18"/>
    <n v="60409075004905"/>
    <s v="Nestle Brasil Ltda"/>
    <s v="Ituiutaba"/>
    <s v="MG"/>
    <n v="26059"/>
    <s v="PP2"/>
    <s v="V"/>
    <s v="PE"/>
    <s v="Normal"/>
    <s v="26825 04 H"/>
    <n v="4569435584"/>
    <d v="2022-05-04T00:00:00"/>
    <d v="2022-08-19T00:00:00"/>
    <d v="2022-05-04T00:00:00"/>
    <s v="  /  /  "/>
    <n v="0"/>
    <s v="  /  /  "/>
    <n v="0"/>
    <s v="                                        "/>
    <s v="  /  /  "/>
    <s v="sa721"/>
    <d v="2022-05-10T00:00:00"/>
    <s v="Sem rota"/>
    <n v="944"/>
    <s v="90 DDF Sem Juros"/>
    <n v="0"/>
    <m/>
    <n v="0"/>
    <s v="Logber - Colatina Es"/>
    <s v="CIF"/>
    <n v="1253.6299999999999"/>
    <n v="47180.09"/>
    <s v="agosto_2022"/>
    <n v="1253.6299999999999"/>
  </r>
  <r>
    <n v="15066"/>
    <x v="18"/>
    <n v="60409075004905"/>
    <s v="Nestle Brasil Ltda"/>
    <s v="Ituiutaba"/>
    <s v="MG"/>
    <n v="26060"/>
    <s v="CST1"/>
    <s v="V"/>
    <s v="PE"/>
    <s v="Normal"/>
    <s v="26825 04 H"/>
    <n v="4569435584"/>
    <d v="2022-05-04T00:00:00"/>
    <d v="2022-08-19T00:00:00"/>
    <d v="2022-05-04T00:00:00"/>
    <s v="  /  /  "/>
    <n v="0"/>
    <s v="  /  /  "/>
    <n v="0"/>
    <s v="                                        "/>
    <s v="  /  /  "/>
    <s v="sa742"/>
    <d v="2022-05-26T00:00:00"/>
    <s v="Sem rota"/>
    <n v="944"/>
    <s v="90 DDF Sem Juros"/>
    <n v="0"/>
    <m/>
    <n v="0"/>
    <s v="Logber - Colatina Es"/>
    <s v="CIF"/>
    <n v="34576.300000000003"/>
    <n v="788938"/>
    <s v="agosto_2022"/>
    <n v="34576.300000000003"/>
  </r>
  <r>
    <n v="15076"/>
    <x v="31"/>
    <n v="74557471000301"/>
    <s v="New Horizon Comercial Ltda"/>
    <s v="Manaus"/>
    <s v="AM"/>
    <n v="26165"/>
    <s v="PP1"/>
    <s v="V"/>
    <s v="PE"/>
    <s v="Normal"/>
    <s v="29700 00 B"/>
    <m/>
    <d v="2022-05-19T00:00:00"/>
    <d v="2022-08-19T00:00:00"/>
    <d v="2022-05-19T00:00:00"/>
    <s v="  /  /  "/>
    <n v="0"/>
    <s v="  /  /  "/>
    <n v="0"/>
    <s v="                                        "/>
    <s v="  /  /  "/>
    <s v="sa738"/>
    <d v="2022-05-24T00:00:00"/>
    <s v="Sem rota"/>
    <n v="2257"/>
    <s v="40% Conf/30%14ddf/saldo28ddf"/>
    <n v="0"/>
    <m/>
    <n v="0"/>
    <s v="Logber - Colatina Es"/>
    <s v="CIF"/>
    <n v="278.45"/>
    <n v="7370.83"/>
    <s v="agosto_2022"/>
    <n v="278.45"/>
  </r>
  <r>
    <n v="15063"/>
    <x v="23"/>
    <n v="27485069000109"/>
    <s v="Empresa Luz e Força Santa Maria S/A"/>
    <s v="Colatina"/>
    <s v="ES"/>
    <n v="26124"/>
    <s v="PP3"/>
    <s v="V"/>
    <s v="PE"/>
    <s v="Normal"/>
    <s v="28651 01 B"/>
    <s v="84594/1"/>
    <d v="2022-05-13T00:00:00"/>
    <d v="2022-08-19T00:00:00"/>
    <d v="2022-05-26T00:00:00"/>
    <s v="  /  /  "/>
    <n v="0"/>
    <s v="  /  /  "/>
    <n v="0"/>
    <s v="                                        "/>
    <s v="  /  /  "/>
    <s v="sa748"/>
    <d v="2022-05-30T00:00:00"/>
    <s v="Sem rota"/>
    <n v="2257"/>
    <s v="40% Conf/30%14ddf/saldo28ddf"/>
    <n v="0"/>
    <m/>
    <n v="0"/>
    <s v="Logber - Colatina Es"/>
    <s v="CIF"/>
    <n v="3203.35"/>
    <n v="95506.25"/>
    <s v="agosto_2022"/>
    <n v="3203.35"/>
  </r>
  <r>
    <n v="15057"/>
    <x v="0"/>
    <n v="90049792000181"/>
    <s v="Tramontina Garibaldi S/A Ind Met"/>
    <s v="Garibaldi"/>
    <s v="RS"/>
    <n v="26126"/>
    <s v="PP1"/>
    <s v="V"/>
    <s v="PE"/>
    <s v="Normal"/>
    <s v="29766 01 A"/>
    <n v="211414"/>
    <d v="2022-05-13T00:00:00"/>
    <d v="2022-08-19T00:00:00"/>
    <d v="2022-05-16T00:00:00"/>
    <s v="  /  /  "/>
    <n v="0"/>
    <s v="  /  /  "/>
    <n v="0"/>
    <s v="                                        "/>
    <s v="  /  /  "/>
    <s v="sa738"/>
    <d v="2022-05-24T00:00:00"/>
    <s v="Sem rota"/>
    <n v="2000"/>
    <s v="28 DDF S/juros"/>
    <n v="0"/>
    <m/>
    <n v="0"/>
    <s v="Logber - Colatina Es"/>
    <s v="CIF"/>
    <n v="411.31000000000006"/>
    <n v="8920.7999999999993"/>
    <s v="agosto_2022"/>
    <n v="411.31000000000006"/>
  </r>
  <r>
    <n v="15064"/>
    <x v="17"/>
    <n v="18928807000154"/>
    <s v="Uniar Com de Eletro-eletronicos e Servic"/>
    <s v="Extrema"/>
    <s v="MG"/>
    <n v="26237"/>
    <s v="PP1"/>
    <s v="V"/>
    <s v="PE"/>
    <s v="Normal"/>
    <s v="30020 01 A"/>
    <m/>
    <d v="2022-05-27T00:00:00"/>
    <d v="2022-08-19T00:00:00"/>
    <d v="2022-06-01T00:00:00"/>
    <s v="  /  /  "/>
    <n v="0"/>
    <s v="  /  /  "/>
    <n v="0"/>
    <s v="                                        "/>
    <s v="  /  /  "/>
    <s v="sa756"/>
    <d v="2022-06-07T00:00:00"/>
    <s v="Sem rota"/>
    <n v="2257"/>
    <s v="40% Conf/30%14ddf/saldo28ddf"/>
    <n v="0"/>
    <m/>
    <n v="0"/>
    <s v="Logber - Colatina Es"/>
    <s v="CIF"/>
    <n v="3341.25"/>
    <n v="103250"/>
    <s v="agosto_2022"/>
    <n v="3341.25"/>
  </r>
  <r>
    <n v="15054"/>
    <x v="2"/>
    <n v="24544420000105"/>
    <s v="Aviz Alimentos Ltda"/>
    <s v="Goiania"/>
    <s v="GO"/>
    <n v="26085"/>
    <s v="PP3"/>
    <s v="V"/>
    <s v="PE"/>
    <s v="Normal"/>
    <s v="29389 01 C"/>
    <m/>
    <d v="2022-05-09T00:00:00"/>
    <d v="2022-08-26T00:00:00"/>
    <d v="2022-05-11T00:00:00"/>
    <s v="  /  /  "/>
    <n v="0"/>
    <s v="  /  /  "/>
    <n v="0"/>
    <s v="                                        "/>
    <s v="  /  /  "/>
    <s v="sa725"/>
    <d v="2022-05-11T00:00:00"/>
    <s v="Sem rota"/>
    <n v="2081"/>
    <s v="30%conf 30%14ddf Saldo28/56ddf"/>
    <n v="0"/>
    <m/>
    <n v="0"/>
    <s v="Logber - Colatina Es"/>
    <s v="CIF"/>
    <n v="1667.88"/>
    <n v="60965"/>
    <s v="agosto_2022"/>
    <n v="1667.88"/>
  </r>
  <r>
    <n v="15059"/>
    <x v="20"/>
    <n v="11281641000269"/>
    <s v="Biofhitus Laboratorio Nutraceutico Ltda"/>
    <s v="Icara"/>
    <s v="SC"/>
    <n v="26208"/>
    <s v="PP1"/>
    <s v="V"/>
    <s v="PE"/>
    <s v="Normal"/>
    <s v="29816 00 C"/>
    <m/>
    <d v="2022-05-25T00:00:00"/>
    <d v="2022-08-26T00:00:00"/>
    <d v="2022-06-09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252.89599999999999"/>
    <n v="5074.74"/>
    <s v="agosto_2022"/>
    <n v="252.89599999999999"/>
  </r>
  <r>
    <n v="15059"/>
    <x v="20"/>
    <n v="11281641000269"/>
    <s v="Biofhitus Laboratorio Nutraceutico Ltda"/>
    <s v="Icara"/>
    <s v="SC"/>
    <n v="26210"/>
    <s v="PP1"/>
    <s v="V"/>
    <s v="PE"/>
    <s v="Normal"/>
    <s v="29970 00 C"/>
    <m/>
    <d v="2022-05-25T00:00:00"/>
    <d v="2022-08-26T00:00:00"/>
    <d v="2022-06-09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432"/>
    <n v="8523.2900000000009"/>
    <s v="agosto_2022"/>
    <n v="432"/>
  </r>
  <r>
    <n v="15067"/>
    <x v="3"/>
    <n v="88059118000136"/>
    <s v="Bristol Ind de Maq Comercio, Imp e Exp"/>
    <s v="Sao Jeronimo"/>
    <s v="RS"/>
    <n v="26186"/>
    <s v="PP3"/>
    <s v="V"/>
    <s v="PE"/>
    <s v="Normal"/>
    <s v="29353 02 C"/>
    <n v="24177"/>
    <d v="2022-05-23T00:00:00"/>
    <d v="2022-08-26T00:00:00"/>
    <d v="2022-05-24T00:00:00"/>
    <s v="  /  /  "/>
    <n v="0"/>
    <s v="  /  /  "/>
    <n v="0"/>
    <s v="                                        "/>
    <s v="  /  /  "/>
    <s v="sa747"/>
    <d v="2022-05-27T00:00:00"/>
    <s v="Sem rota"/>
    <n v="0"/>
    <m/>
    <n v="0"/>
    <m/>
    <n v="0"/>
    <s v="Logber - Colatina Es"/>
    <s v="CIF"/>
    <n v="670.54"/>
    <n v="22890.53"/>
    <s v="agosto_2022"/>
    <n v="670.54"/>
  </r>
  <r>
    <n v="15910"/>
    <x v="11"/>
    <n v="84046101057977"/>
    <s v="Bunge Alimentos S/A"/>
    <s v="Duque de Caxias"/>
    <s v="RJ"/>
    <n v="26169"/>
    <s v="PP2"/>
    <s v="V"/>
    <s v="PE"/>
    <s v="Normal"/>
    <s v="29599 00 A"/>
    <n v="4102790866"/>
    <d v="2022-05-19T00:00:00"/>
    <d v="2022-08-26T00:00:00"/>
    <d v="2022-05-24T00:00:00"/>
    <s v="  /  /  "/>
    <n v="0"/>
    <s v="  /  /  "/>
    <n v="0"/>
    <s v="                                        "/>
    <s v="  /  /  "/>
    <s v="sa739"/>
    <d v="2022-05-25T00:00:00"/>
    <s v="Sem rota"/>
    <n v="44"/>
    <s v="30 DDF S/juros"/>
    <n v="0"/>
    <m/>
    <n v="0"/>
    <s v="Logber - Colatina Es"/>
    <s v="CIF"/>
    <n v="11.75"/>
    <n v="5387.24"/>
    <s v="agosto_2022"/>
    <n v="11.75"/>
  </r>
  <r>
    <n v="15910"/>
    <x v="11"/>
    <n v="84046101057977"/>
    <s v="Bunge Alimentos S/A"/>
    <s v="Duque de Caxias"/>
    <s v="RJ"/>
    <n v="26170"/>
    <s v="DIN1"/>
    <s v="V"/>
    <s v="PE"/>
    <s v="Normal"/>
    <s v="29599 00 A"/>
    <n v="4102779382"/>
    <d v="2022-05-19T00:00:00"/>
    <d v="2022-08-26T00:00:00"/>
    <d v="2022-05-24T00:00:00"/>
    <s v="  /  /  "/>
    <n v="0"/>
    <s v="  /  /  "/>
    <n v="0"/>
    <s v="                                        "/>
    <s v="  /  /  "/>
    <s v="sa741"/>
    <d v="2022-05-26T00:00:00"/>
    <s v="Sem rota"/>
    <n v="44"/>
    <s v="30 DDF S/juros"/>
    <n v="0"/>
    <m/>
    <n v="0"/>
    <s v="Logber - Colatina Es"/>
    <s v="CIF"/>
    <n v="851.66000000000008"/>
    <n v="79520.91"/>
    <s v="agosto_2022"/>
    <n v="851.66000000000008"/>
  </r>
  <r>
    <n v="15057"/>
    <x v="0"/>
    <n v="61064929003275"/>
    <s v="Corteva Agriscience do Brasil Ltda"/>
    <s v="Itumbiara"/>
    <s v="GO"/>
    <n v="24948"/>
    <s v="DIN2"/>
    <s v="V"/>
    <s v="PE"/>
    <s v="Normal"/>
    <s v="24252 01 D"/>
    <n v="4300336075"/>
    <d v="2021-11-19T00:00:00"/>
    <d v="2022-08-26T00:00:00"/>
    <d v="2021-12-09T00:00:00"/>
    <s v="  /  /  "/>
    <n v="0"/>
    <s v="  /  /  "/>
    <n v="0"/>
    <s v="                                        "/>
    <s v="  /  /  "/>
    <s v="sa635"/>
    <d v="2022-02-11T00:00:00"/>
    <s v="Sem rota"/>
    <n v="944"/>
    <s v="90 DDF Sem Juros"/>
    <n v="0"/>
    <m/>
    <n v="0"/>
    <s v="Logber - Colatina Es"/>
    <s v="CIF"/>
    <n v="138.04"/>
    <n v="60000"/>
    <s v="agosto_2022"/>
    <n v="138.04"/>
  </r>
  <r>
    <n v="15051"/>
    <x v="13"/>
    <n v="1287588000500"/>
    <s v="Dass Nordeste Calcados e Art Esportivos"/>
    <s v="Itaberaba"/>
    <s v="BA"/>
    <n v="26187"/>
    <s v="PP2"/>
    <s v="V"/>
    <s v="PE"/>
    <s v="Normal"/>
    <s v="29094 00 D"/>
    <n v="10143385"/>
    <d v="2022-05-23T00:00:00"/>
    <d v="2022-08-26T00:00:00"/>
    <d v="2022-05-23T00:00:00"/>
    <s v="  /  /  "/>
    <n v="0"/>
    <s v="  /  /  "/>
    <n v="0"/>
    <s v="                                        "/>
    <s v="  /  /  "/>
    <s v="sa747"/>
    <d v="2022-05-27T00:00:00"/>
    <s v="Sem rota"/>
    <n v="1223"/>
    <s v="14/28/56/84ddf"/>
    <n v="0"/>
    <m/>
    <n v="0"/>
    <m/>
    <s v="FOB"/>
    <n v="990.59"/>
    <n v="42542.1"/>
    <s v="agosto_2022"/>
    <n v="990.59"/>
  </r>
  <r>
    <n v="15073"/>
    <x v="16"/>
    <n v="57506115000170"/>
    <s v="Ferkoda S/A Artefatos de Metais"/>
    <s v="Maua"/>
    <s v="SP"/>
    <n v="26188"/>
    <s v="PP1"/>
    <s v="V"/>
    <s v="PE"/>
    <s v="Normal"/>
    <s v="26976 02 D"/>
    <n v="52737"/>
    <d v="2022-05-23T00:00:00"/>
    <d v="2022-08-26T00:00:00"/>
    <d v="2022-06-06T00:00:00"/>
    <s v="  /  /  "/>
    <n v="0"/>
    <s v="  /  /  "/>
    <n v="0"/>
    <s v="                                        "/>
    <s v="  /  /  "/>
    <s v="sa756"/>
    <d v="2022-06-07T00:00:00"/>
    <s v="Sem rota"/>
    <n v="0"/>
    <m/>
    <n v="0"/>
    <m/>
    <n v="0"/>
    <s v="Logber - Colatina Es"/>
    <s v="CIF"/>
    <n v="651.41999999999996"/>
    <n v="26937.93"/>
    <s v="agosto_2022"/>
    <n v="651.41999999999996"/>
  </r>
  <r>
    <n v="15068"/>
    <x v="24"/>
    <n v="2377798000110"/>
    <s v="Iccap Implementos Rodoviarios Ltda"/>
    <s v="Campo Grande"/>
    <s v="MS"/>
    <n v="25483"/>
    <s v="PP3"/>
    <s v="V"/>
    <s v="PE"/>
    <s v="Normal"/>
    <s v="23535 05 F"/>
    <m/>
    <d v="2022-02-18T00:00:00"/>
    <d v="2022-08-26T00:00:00"/>
    <d v="2022-02-22T00:00:00"/>
    <s v="  /  /  "/>
    <n v="0"/>
    <s v="  /  /  "/>
    <n v="0"/>
    <s v="                                        "/>
    <s v="  /  /  "/>
    <s v="sa650"/>
    <d v="2022-03-01T00:00:00"/>
    <s v="Sem rota"/>
    <n v="0"/>
    <m/>
    <n v="0"/>
    <m/>
    <n v="0"/>
    <s v="Logber - Colatina Es"/>
    <s v="CIF"/>
    <n v="2035.67"/>
    <n v="108053.19"/>
    <s v="agosto_2022"/>
    <n v="2035.67"/>
  </r>
  <r>
    <n v="15068"/>
    <x v="24"/>
    <n v="2377798000110"/>
    <s v="Iccap Implementos Rodoviarios Ltda"/>
    <s v="Campo Grande"/>
    <s v="MS"/>
    <n v="25484"/>
    <s v="PSL1"/>
    <s v="V"/>
    <s v="PE"/>
    <s v="Normal"/>
    <s v="23535 05 F"/>
    <m/>
    <d v="2022-02-18T00:00:00"/>
    <d v="2022-08-26T00:00:00"/>
    <d v="2022-02-22T00:00:00"/>
    <s v="  /  /  "/>
    <n v="0"/>
    <s v="  /  /  "/>
    <n v="0"/>
    <s v="                                        "/>
    <s v="  /  /  "/>
    <s v="sa664"/>
    <d v="2022-03-17T00:00:00"/>
    <s v="Sem rota"/>
    <n v="0"/>
    <m/>
    <n v="0"/>
    <m/>
    <n v="0"/>
    <s v="Logber - Colatina Es"/>
    <s v="CIF"/>
    <n v="1874.0500000000002"/>
    <n v="91394.84"/>
    <s v="agosto_2022"/>
    <n v="1874.0500000000002"/>
  </r>
  <r>
    <n v="15057"/>
    <x v="0"/>
    <n v="1605234000125"/>
    <s v="Kemin Nutrisurance Nutricao Animal Ltda"/>
    <s v="Vargeao"/>
    <s v="SC"/>
    <n v="26236"/>
    <s v="PP2"/>
    <s v="V"/>
    <s v="PE"/>
    <s v="Normal"/>
    <s v="28829 05 F"/>
    <n v="1466661"/>
    <d v="2022-05-26T00:00:00"/>
    <d v="2022-08-26T00:00:00"/>
    <d v="2022-05-31T00:00:00"/>
    <s v="  /  /  "/>
    <n v="0"/>
    <s v="  /  /  "/>
    <n v="0"/>
    <s v="                                        "/>
    <s v="  /  /  "/>
    <s v="sa750"/>
    <d v="2022-06-03T00:00:00"/>
    <s v="Sem rota"/>
    <n v="0"/>
    <m/>
    <n v="0"/>
    <m/>
    <n v="0"/>
    <s v="Logber - Colatina Es"/>
    <s v="CIF"/>
    <n v="1130.1500000000001"/>
    <n v="413000"/>
    <s v="agosto_2022"/>
    <n v="1130.1500000000001"/>
  </r>
  <r>
    <n v="15059"/>
    <x v="20"/>
    <n v="84229624000175"/>
    <s v="Metalurgica Fey Ltda"/>
    <s v="Indaial"/>
    <s v="SC"/>
    <n v="24951"/>
    <s v="CTL1"/>
    <s v="V"/>
    <s v="PE"/>
    <s v="Normal"/>
    <s v="21535 03HG"/>
    <n v="4500011944"/>
    <d v="2021-11-19T00:00:00"/>
    <d v="2022-08-26T00:00:00"/>
    <d v="2022-01-25T00:00:00"/>
    <s v="  /  /  "/>
    <n v="0"/>
    <s v="  /  /  "/>
    <n v="0"/>
    <s v="                                        "/>
    <s v="  /  /  "/>
    <s v="sa635"/>
    <d v="2022-02-11T00:00:00"/>
    <s v="Sem rota"/>
    <n v="2257"/>
    <s v="40% Conf/30%14ddf/saldo28ddf"/>
    <n v="0"/>
    <m/>
    <n v="0"/>
    <s v="Logber - Colatina Es"/>
    <s v="CIF"/>
    <n v="0"/>
    <n v="104282.5"/>
    <s v="agosto_2022"/>
    <n v="0"/>
  </r>
  <r>
    <n v="15057"/>
    <x v="0"/>
    <n v="95422218000906"/>
    <s v="Metalurgica Mor S.A"/>
    <s v="Sao Lourenco da Mata"/>
    <s v="PE"/>
    <n v="25498"/>
    <s v="DRI1"/>
    <s v="V"/>
    <s v="PE"/>
    <s v="Normal"/>
    <s v="27595 02 C"/>
    <n v="236450"/>
    <d v="2022-02-22T00:00:00"/>
    <d v="2022-08-26T00:00:00"/>
    <d v="2022-02-23T00:00:00"/>
    <s v="  /  /  "/>
    <n v="0"/>
    <s v="  /  /  "/>
    <n v="0"/>
    <s v="                                        "/>
    <s v="  /  /  "/>
    <s v="sa649"/>
    <d v="2022-03-01T00:00:00"/>
    <s v="Sem rota"/>
    <n v="2235"/>
    <s v="50% Conf e Saldo 28ddf"/>
    <n v="0"/>
    <m/>
    <n v="0"/>
    <s v="Logber - Colatina Es"/>
    <s v="CIF"/>
    <n v="293.14"/>
    <n v="139387.5"/>
    <s v="agosto_2022"/>
    <n v="293.14"/>
  </r>
  <r>
    <n v="15063"/>
    <x v="23"/>
    <n v="81611931003658"/>
    <s v="Oesa Comercio e Representacoes S.A"/>
    <s v="Linhares"/>
    <s v="ES"/>
    <n v="26327"/>
    <s v="PP3"/>
    <s v="V"/>
    <s v="PE"/>
    <s v="Normal"/>
    <s v="30062 00 A"/>
    <m/>
    <d v="2022-06-08T00:00:00"/>
    <d v="2022-08-26T00:00:00"/>
    <d v="2022-06-08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1167"/>
    <n v="29570.799999999999"/>
    <s v="agosto_2022"/>
    <n v="1167"/>
  </r>
  <r>
    <n v="15063"/>
    <x v="23"/>
    <n v="81611931003658"/>
    <s v="Oesa Comercio e Representacoes S.A"/>
    <s v="Linhares"/>
    <s v="ES"/>
    <n v="26328"/>
    <s v="SERVIÇO"/>
    <s v="V"/>
    <s v="PE"/>
    <s v="Normal"/>
    <s v="30062 00 A"/>
    <m/>
    <d v="2022-06-08T00:00:00"/>
    <d v="2022-08-26T00:00:00"/>
    <d v="2022-06-08T00:00:00"/>
    <s v="  /  /  "/>
    <n v="0"/>
    <s v="  /  /  "/>
    <n v="0"/>
    <s v="                                        "/>
    <s v="  /  /  "/>
    <m/>
    <s v="/  /"/>
    <s v="Sem rota"/>
    <n v="2203"/>
    <s v="50% Conf e 50% 14ddf"/>
    <n v="0"/>
    <m/>
    <n v="0"/>
    <m/>
    <s v="CIF"/>
    <n v="0"/>
    <n v="8100"/>
    <s v="agosto_2022"/>
    <n v="0"/>
  </r>
  <r>
    <n v="15063"/>
    <x v="23"/>
    <n v="2431320000393"/>
    <s v="Quality Imoveis e Logistica Ltda"/>
    <s v="Guarapari"/>
    <s v="ES"/>
    <n v="25826"/>
    <s v="PP3"/>
    <s v="V"/>
    <s v="PE"/>
    <s v="Normal"/>
    <s v="29163 08 J"/>
    <m/>
    <d v="2022-03-31T00:00:00"/>
    <d v="2022-08-26T00:00:00"/>
    <d v="2022-04-12T00:00:00"/>
    <s v="  /  /  "/>
    <n v="0"/>
    <s v="  /  /  "/>
    <n v="0"/>
    <s v="                                        "/>
    <s v="  /  /  "/>
    <s v="sa700"/>
    <d v="2022-04-20T00:00:00"/>
    <s v="Sem rota"/>
    <n v="2051"/>
    <s v="40% na Conf. e Saldo 28ddf"/>
    <n v="0"/>
    <m/>
    <n v="0"/>
    <s v="Logber - Colatina Es"/>
    <s v="CIF"/>
    <n v="0"/>
    <n v="1536282.74"/>
    <s v="agosto_2022"/>
    <n v="0"/>
  </r>
  <r>
    <n v="15063"/>
    <x v="23"/>
    <n v="2431320000393"/>
    <s v="Quality Imoveis e Logistica Ltda"/>
    <s v="Guarapari"/>
    <s v="ES"/>
    <n v="26347"/>
    <s v="SERVIÇO"/>
    <s v="V"/>
    <s v="PE"/>
    <s v="Normal"/>
    <s v="29163 08 J"/>
    <m/>
    <d v="2022-06-09T00:00:00"/>
    <d v="2022-08-26T00:00:00"/>
    <d v="2022-06-09T00:00:00"/>
    <s v="  /  /  "/>
    <n v="0"/>
    <s v="  /  /  "/>
    <n v="0"/>
    <s v="                                        "/>
    <s v="  /  /  "/>
    <m/>
    <s v="/  /"/>
    <s v="Sem rota"/>
    <n v="2051"/>
    <s v="40% na Conf. e Saldo 28ddf"/>
    <n v="0"/>
    <m/>
    <n v="0"/>
    <m/>
    <s v="CIF"/>
    <n v="0"/>
    <n v="108247.42"/>
    <s v="agosto_2022"/>
    <n v="0"/>
  </r>
  <r>
    <n v="15054"/>
    <x v="2"/>
    <n v="947027000196"/>
    <s v="Transcol Transportes e Logistica Ltda"/>
    <s v="Rio Verde"/>
    <s v="GO"/>
    <n v="26301"/>
    <s v="PP1"/>
    <s v="V"/>
    <s v="PE"/>
    <s v="Normal"/>
    <s v="29693 03 B"/>
    <m/>
    <d v="2022-05-31T00:00:00"/>
    <d v="2022-08-26T00:00:00"/>
    <d v="2022-06-03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76889"/>
    <n v="1532586.21"/>
    <s v="agosto_2022"/>
    <n v="76889"/>
  </r>
  <r>
    <n v="15052"/>
    <x v="25"/>
    <n v="1511345000172"/>
    <s v="T S Tech do Brasil Ltda"/>
    <s v="Leme"/>
    <s v="SP"/>
    <n v="25574"/>
    <s v="DIN1"/>
    <s v="V"/>
    <s v="PE"/>
    <s v="Normal"/>
    <s v="22658 01 C"/>
    <n v="11804"/>
    <d v="2022-03-04T00:00:00"/>
    <d v="2022-08-26T00:00:00"/>
    <d v="2022-05-16T00:00:00"/>
    <s v="  /  /  "/>
    <n v="0"/>
    <s v="  /  /  "/>
    <n v="0"/>
    <s v="                                        "/>
    <s v="  /  /  "/>
    <s v="sa672"/>
    <d v="2022-03-22T00:00:00"/>
    <s v="Sem rota"/>
    <n v="0"/>
    <m/>
    <n v="0"/>
    <m/>
    <n v="0"/>
    <s v="Logber - Colatina Es"/>
    <s v="CIF"/>
    <n v="260.90000000000003"/>
    <n v="70159.199999999997"/>
    <s v="agosto_2022"/>
    <n v="260.90000000000003"/>
  </r>
  <r>
    <n v="15063"/>
    <x v="23"/>
    <n v="17469701010482"/>
    <s v="Arcelormittal Brasil S.A"/>
    <s v="Serra"/>
    <s v="ES"/>
    <n v="26241"/>
    <s v="PP3"/>
    <s v="V"/>
    <s v="PE"/>
    <s v="Normal"/>
    <s v="29650 01 B"/>
    <n v="4400544548"/>
    <d v="2022-05-27T00:00:00"/>
    <d v="2022-09-02T00:00:00"/>
    <d v="2022-06-01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s v="Logber - Colatina Es"/>
    <s v="CIF"/>
    <n v="1069"/>
    <n v="29570.799999999999"/>
    <s v="setembro_2022"/>
    <n v="1069"/>
  </r>
  <r>
    <n v="15079"/>
    <x v="27"/>
    <n v="26657341000128"/>
    <s v="Arroba Alimentos Ltda"/>
    <s v="Rochedo de Minas"/>
    <s v="MG"/>
    <n v="26239"/>
    <s v="PP1"/>
    <s v="V"/>
    <s v="PE"/>
    <s v="Normal"/>
    <s v="25951 01 B"/>
    <m/>
    <d v="2022-05-27T00:00:00"/>
    <d v="2022-09-02T00:00:00"/>
    <d v="2022-06-02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1699"/>
    <n v="51625"/>
    <s v="setembro_2022"/>
    <n v="1699"/>
  </r>
  <r>
    <n v="15067"/>
    <x v="3"/>
    <n v="13062579000169"/>
    <s v="Cdnl Administracao de Bens S/a."/>
    <s v="Esteio"/>
    <s v="RS"/>
    <n v="25591"/>
    <s v="DRI2"/>
    <s v="V"/>
    <s v="PE"/>
    <s v="Normal"/>
    <s v="28479 04 E"/>
    <n v="4503537785"/>
    <d v="2022-03-08T00:00:00"/>
    <d v="2022-09-02T00:00:00"/>
    <d v="2022-05-05T00:00:00"/>
    <s v="  /  /  "/>
    <n v="0"/>
    <s v="  /  /  "/>
    <n v="0"/>
    <s v="                                        "/>
    <s v="  /  /  "/>
    <s v="sa672"/>
    <d v="2022-03-22T00:00:00"/>
    <s v="Sem rota"/>
    <n v="0"/>
    <m/>
    <n v="0"/>
    <m/>
    <n v="0"/>
    <s v="Logber - Colatina Es"/>
    <s v="CIF"/>
    <n v="2991.4900000000002"/>
    <n v="448970.8"/>
    <s v="setembro_2022"/>
    <n v="2991.4900000000002"/>
  </r>
  <r>
    <n v="15057"/>
    <x v="0"/>
    <n v="83310441006662"/>
    <s v="Cooperativa Central Aurora Alimentos"/>
    <s v="Xaxim"/>
    <s v="SC"/>
    <n v="26179"/>
    <s v="DRI1"/>
    <s v="V"/>
    <s v="PE"/>
    <s v="Normal"/>
    <s v="29125 00 B"/>
    <n v="3212349"/>
    <d v="2022-05-20T00:00:00"/>
    <d v="2022-09-02T00:00:00"/>
    <d v="2022-05-20T00:00:00"/>
    <s v="  /  /  "/>
    <n v="0"/>
    <s v="  /  /  "/>
    <n v="0"/>
    <s v="                                        "/>
    <s v="  /  /  "/>
    <m/>
    <s v="/  /"/>
    <s v="Sem rota"/>
    <n v="44"/>
    <s v="30 DDF S/juros"/>
    <n v="0"/>
    <m/>
    <n v="0"/>
    <s v="Logber - Colatina Es"/>
    <s v="CIF"/>
    <n v="332.2"/>
    <n v="8715.34"/>
    <s v="setembro_2022"/>
    <n v="332.2"/>
  </r>
  <r>
    <n v="15075"/>
    <x v="5"/>
    <n v="2675611000750"/>
    <s v="Coopershoes Coop de Trab e Ind de Calc J"/>
    <s v="Morada Nova"/>
    <s v="CE"/>
    <n v="26254"/>
    <s v="PP3"/>
    <s v="V"/>
    <s v="PE"/>
    <s v="Normal"/>
    <s v="28377 10 H"/>
    <n v="182678"/>
    <d v="2022-05-30T00:00:00"/>
    <d v="2022-09-02T00:00:00"/>
    <d v="2022-06-06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1628"/>
    <n v="134116.59"/>
    <s v="setembro_2022"/>
    <n v="1628"/>
  </r>
  <r>
    <n v="15074"/>
    <x v="21"/>
    <n v="58635830000175"/>
    <s v="Farmarin Industria e Comercio Ltda"/>
    <s v="Guarulhos"/>
    <s v="SP"/>
    <n v="25501"/>
    <s v="PP1"/>
    <s v="V"/>
    <s v="PE"/>
    <s v="Normal"/>
    <s v="27503 04 J"/>
    <n v="11327"/>
    <d v="2022-02-22T00:00:00"/>
    <d v="2022-09-02T00:00:00"/>
    <d v="2022-02-22T00:00:00"/>
    <s v="  /  /  "/>
    <n v="0"/>
    <s v="  /  /  "/>
    <n v="0"/>
    <s v="                                        "/>
    <s v="  /  /  "/>
    <s v="sa649"/>
    <d v="2022-03-01T00:00:00"/>
    <s v="Sem rota"/>
    <n v="0"/>
    <m/>
    <n v="0"/>
    <m/>
    <n v="0"/>
    <s v="Logber - Colatina Es"/>
    <s v="CIF"/>
    <n v="1226.9000000000001"/>
    <n v="46512.68"/>
    <s v="setembro_2022"/>
    <n v="1226.9000000000001"/>
  </r>
  <r>
    <n v="15074"/>
    <x v="21"/>
    <n v="58635830000175"/>
    <s v="Farmarin Industria e Comercio Ltda"/>
    <s v="Guarulhos"/>
    <s v="SP"/>
    <n v="25502"/>
    <s v="CST1"/>
    <s v="V"/>
    <s v="PE"/>
    <s v="Normal"/>
    <s v="27503 04 J"/>
    <n v="11327"/>
    <d v="2022-02-22T00:00:00"/>
    <d v="2022-09-02T00:00:00"/>
    <d v="2022-02-22T00:00:00"/>
    <s v="  /  /  "/>
    <n v="0"/>
    <s v="  /  /  "/>
    <n v="0"/>
    <s v="                                        "/>
    <s v="  /  /  "/>
    <s v="sa672"/>
    <d v="2022-03-22T00:00:00"/>
    <s v="Sem rota"/>
    <n v="0"/>
    <m/>
    <n v="0"/>
    <m/>
    <n v="0"/>
    <s v="Logber - Colatina Es"/>
    <s v="CIF"/>
    <n v="11890.75"/>
    <n v="684413.97"/>
    <s v="setembro_2022"/>
    <n v="11890.75"/>
  </r>
  <r>
    <n v="15063"/>
    <x v="23"/>
    <n v="1066650000100"/>
    <s v="Frigorifico Nordeste Alimentos Ltda"/>
    <s v="Teixeira de Freitas"/>
    <s v="BA"/>
    <n v="26292"/>
    <s v="DRI1"/>
    <s v="V"/>
    <s v="PE"/>
    <s v="Normal"/>
    <s v="29779 03 C"/>
    <n v="57916"/>
    <d v="2022-05-31T00:00:00"/>
    <d v="2022-09-02T00:00:00"/>
    <d v="2022-06-03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3907"/>
    <n v="134225"/>
    <s v="setembro_2022"/>
    <n v="3907"/>
  </r>
  <r>
    <n v="15074"/>
    <x v="21"/>
    <n v="48138812000124"/>
    <s v="Industria de Telas Metalicas Mm"/>
    <s v="Itaquaquecetuba"/>
    <s v="SP"/>
    <n v="26222"/>
    <s v="PP2"/>
    <s v="V"/>
    <s v="PE"/>
    <s v="Normal"/>
    <s v="29245 01 B"/>
    <m/>
    <d v="2022-05-26T00:00:00"/>
    <d v="2022-09-02T00:00:00"/>
    <d v="2022-05-26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29088.868999999999"/>
    <n v="464625"/>
    <s v="setembro_2022"/>
    <n v="29088.868999999999"/>
  </r>
  <r>
    <n v="15020"/>
    <x v="7"/>
    <n v="0"/>
    <s v="Osan S.a."/>
    <s v="Montevideo"/>
    <s v="EX"/>
    <n v="26326"/>
    <s v="FLR1"/>
    <s v="V"/>
    <s v="PE"/>
    <s v="Normal"/>
    <s v="29540 00 B"/>
    <m/>
    <d v="2022-06-08T00:00:00"/>
    <d v="2022-09-02T00:00:00"/>
    <d v="2022-06-08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1138"/>
    <n v="93497.65"/>
    <s v="setembro_2022"/>
    <n v="1138"/>
  </r>
  <r>
    <n v="15069"/>
    <x v="6"/>
    <n v="35874355000275"/>
    <s v="Ventos de Sao Joaquim Energias Renovavei"/>
    <s v="Varzea Nova"/>
    <s v="BA"/>
    <n v="26161"/>
    <s v="PP3"/>
    <s v="V"/>
    <s v="PE"/>
    <s v="Normal"/>
    <s v="29593 01 D"/>
    <n v="4500011730"/>
    <d v="2022-05-18T00:00:00"/>
    <d v="2022-09-02T00:00:00"/>
    <d v="2022-05-28T00:00:00"/>
    <s v="  /  /  "/>
    <n v="0"/>
    <s v="  /  /  "/>
    <n v="0"/>
    <s v="                                        "/>
    <s v="  /  /  "/>
    <s v="sa748"/>
    <d v="2022-05-30T00:00:00"/>
    <s v="Sem rota"/>
    <n v="0"/>
    <m/>
    <n v="0"/>
    <m/>
    <n v="0"/>
    <s v="Logber - Colatina Es"/>
    <s v="CIF"/>
    <n v="1199.8900000000001"/>
    <n v="52755.38"/>
    <s v="setembro_2022"/>
    <n v="1199.8900000000001"/>
  </r>
  <r>
    <n v="15080"/>
    <x v="29"/>
    <n v="1377724000464"/>
    <s v="Brasalpla Brasil Ind de Embalagens Ltda"/>
    <s v="Louveira"/>
    <s v="SP"/>
    <n v="25707"/>
    <s v="DRI1"/>
    <s v="V"/>
    <s v="PE"/>
    <s v="Normal"/>
    <s v="28628 00 C"/>
    <n v="157304"/>
    <d v="2022-03-24T00:00:00"/>
    <d v="2022-09-09T00:00:00"/>
    <d v="2022-03-24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2230"/>
    <n v="61950"/>
    <s v="setembro_2022"/>
    <n v="2230"/>
  </r>
  <r>
    <n v="15080"/>
    <x v="29"/>
    <n v="1377724000464"/>
    <s v="Brasalpla Brasil Ind de Embalagens Ltda"/>
    <s v="Louveira"/>
    <s v="SP"/>
    <n v="25708"/>
    <s v="PP2"/>
    <s v="V"/>
    <s v="PE"/>
    <s v="Normal"/>
    <s v="28558 01 D"/>
    <n v="157304"/>
    <d v="2022-03-24T00:00:00"/>
    <d v="2022-09-09T00:00:00"/>
    <d v="2022-03-24T00:00:00"/>
    <s v="  /  /  "/>
    <n v="0"/>
    <s v="  /  /  "/>
    <n v="0"/>
    <s v="                                        "/>
    <s v="  /  /  "/>
    <s v="sa677"/>
    <d v="2022-03-29T00:00:00"/>
    <s v="Sem rota"/>
    <n v="2257"/>
    <s v="40% Conf/30%14ddf/saldo28ddf"/>
    <n v="0"/>
    <m/>
    <n v="0"/>
    <s v="Logber - Colatina Es"/>
    <s v="CIF"/>
    <n v="412.95000000000005"/>
    <n v="41730.82"/>
    <s v="setembro_2022"/>
    <n v="412.95000000000005"/>
  </r>
  <r>
    <n v="15080"/>
    <x v="29"/>
    <n v="1377724000464"/>
    <s v="Brasalpla Brasil Ind de Embalagens Ltda"/>
    <s v="Louveira"/>
    <s v="SP"/>
    <n v="25709"/>
    <s v="DRI1"/>
    <s v="V"/>
    <s v="PE"/>
    <s v="Normal"/>
    <s v="28558 01 D"/>
    <n v="157304"/>
    <d v="2022-03-24T00:00:00"/>
    <d v="2022-09-09T00:00:00"/>
    <d v="2022-03-24T00:00:00"/>
    <s v="  /  /  "/>
    <n v="0"/>
    <s v="  /  /  "/>
    <n v="0"/>
    <s v="                                        "/>
    <s v="  /  /  "/>
    <s v="sa678"/>
    <d v="2022-03-30T00:00:00"/>
    <s v="Sem rota"/>
    <n v="2257"/>
    <s v="40% Conf/30%14ddf/saldo28ddf"/>
    <n v="0"/>
    <m/>
    <n v="0"/>
    <s v="Logber - Colatina Es"/>
    <s v="CIF"/>
    <n v="3898.2400000000002"/>
    <n v="304156.62"/>
    <s v="setembro_2022"/>
    <n v="3898.2400000000002"/>
  </r>
  <r>
    <n v="15070"/>
    <x v="14"/>
    <n v="1838723010513"/>
    <s v="Brf S.A"/>
    <s v="Londrina"/>
    <s v="PR"/>
    <n v="25527"/>
    <s v="PSH1"/>
    <s v="V"/>
    <s v="PE"/>
    <s v="Normal"/>
    <s v="27473 00 B"/>
    <n v="104978949"/>
    <d v="2022-02-25T00:00:00"/>
    <d v="2022-09-09T00:00:00"/>
    <d v="2022-02-25T00:00:00"/>
    <s v="  /  /  "/>
    <n v="0"/>
    <s v="  /  /  "/>
    <n v="0"/>
    <s v="                                        "/>
    <s v="  /  /  "/>
    <s v="sa661"/>
    <d v="2022-03-14T00:00:00"/>
    <s v="Sem rota"/>
    <n v="575"/>
    <s v="180 Ddf S/j"/>
    <n v="0"/>
    <m/>
    <n v="0"/>
    <s v="Logber - Colatina Es"/>
    <s v="CIF"/>
    <n v="586.80999999999995"/>
    <n v="30000"/>
    <s v="setembro_2022"/>
    <n v="586.80999999999995"/>
  </r>
  <r>
    <n v="15069"/>
    <x v="6"/>
    <n v="60945169000570"/>
    <s v="Nissin Foods do Brasil Ltda"/>
    <s v="Gloria do Goita"/>
    <s v="PE"/>
    <n v="26269"/>
    <s v="DRI1"/>
    <s v="V"/>
    <s v="PE"/>
    <s v="Normal"/>
    <s v="28499 01 C"/>
    <m/>
    <d v="2022-05-31T00:00:00"/>
    <d v="2022-09-09T00:00:00"/>
    <d v="2022-05-31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18737"/>
    <n v="388729.52"/>
    <s v="setembro_2022"/>
    <n v="18737"/>
  </r>
  <r>
    <n v="15069"/>
    <x v="6"/>
    <n v="60945169000570"/>
    <s v="Nissin Foods do Brasil Ltda"/>
    <s v="Gloria do Goita"/>
    <s v="PE"/>
    <n v="26272"/>
    <s v="DRI2"/>
    <s v="V"/>
    <s v="PE"/>
    <s v="Normal"/>
    <s v="28500 03 D"/>
    <m/>
    <d v="2022-05-31T00:00:00"/>
    <d v="2022-09-09T00:00:00"/>
    <d v="2022-05-31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67585"/>
    <n v="1323095.8400000001"/>
    <s v="setembro_2022"/>
    <n v="67585"/>
  </r>
  <r>
    <n v="15055"/>
    <x v="4"/>
    <n v="2036483000614"/>
    <s v="Continental do Brasil Prod. Automotivos"/>
    <s v="Camacari"/>
    <s v="BA"/>
    <n v="25675"/>
    <s v="SERVIÇO"/>
    <s v="V"/>
    <s v="PE"/>
    <s v="Normal"/>
    <s v="24933 00 D"/>
    <n v="4900521035"/>
    <d v="2022-03-18T00:00:00"/>
    <d v="2022-09-14T00:00:00"/>
    <d v="2022-03-21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m/>
    <s v="CIF"/>
    <n v="0"/>
    <n v="30555"/>
    <s v="setembro_2022"/>
    <n v="0"/>
  </r>
  <r>
    <n v="15064"/>
    <x v="17"/>
    <n v="7814284000107"/>
    <s v="Castelo Alimentos S.A"/>
    <s v="Jundiai"/>
    <s v="SP"/>
    <n v="25722"/>
    <s v="DRI2"/>
    <s v="V"/>
    <s v="PE"/>
    <s v="Normal"/>
    <s v="23970 00 D"/>
    <n v="56995"/>
    <d v="2022-03-25T00:00:00"/>
    <d v="2022-09-16T00:00:00"/>
    <d v="2022-03-25T00:00:00"/>
    <s v="  /  /  "/>
    <n v="0"/>
    <s v="  /  /  "/>
    <n v="0"/>
    <s v="                                        "/>
    <s v="  /  /  "/>
    <s v="sa708"/>
    <d v="2022-05-03T00:00:00"/>
    <s v="Sem rota"/>
    <n v="2257"/>
    <s v="40% Conf/30%14ddf/saldo28ddf"/>
    <n v="0"/>
    <m/>
    <n v="0"/>
    <s v="Logber - Colatina Es"/>
    <s v="CIF"/>
    <n v="562.82999999999993"/>
    <n v="54206.25"/>
    <s v="setembro_2022"/>
    <n v="562.82999999999993"/>
  </r>
  <r>
    <n v="15057"/>
    <x v="0"/>
    <n v="61064929003275"/>
    <s v="Corteva Agriscience do Brasil Ltda"/>
    <s v="Itumbiara"/>
    <s v="GO"/>
    <n v="26130"/>
    <s v="DIN2"/>
    <s v="V"/>
    <s v="PE"/>
    <s v="Normal"/>
    <s v="28894 01 B"/>
    <n v="4300352481"/>
    <d v="2022-05-13T00:00:00"/>
    <d v="2022-09-16T00:00:00"/>
    <d v="2022-05-16T00:00:00"/>
    <s v="  /  /  "/>
    <n v="0"/>
    <s v="  /  /  "/>
    <n v="0"/>
    <s v="                                        "/>
    <s v="  /  /  "/>
    <s v="sa735"/>
    <d v="2022-05-23T00:00:00"/>
    <s v="Sem rota"/>
    <n v="944"/>
    <s v="90 DDF Sem Juros"/>
    <n v="0"/>
    <m/>
    <n v="0"/>
    <s v="Logber - Colatina Es"/>
    <s v="CIF"/>
    <n v="319.20000000000005"/>
    <n v="66433.5"/>
    <s v="setembro_2022"/>
    <n v="319.20000000000005"/>
  </r>
  <r>
    <n v="15057"/>
    <x v="0"/>
    <n v="10981304000130"/>
    <s v="Luminescence Ltda"/>
    <s v="Bento Goncalves"/>
    <s v="RS"/>
    <n v="26128"/>
    <s v="CTL1"/>
    <s v="V"/>
    <s v="PE"/>
    <s v="Normal"/>
    <s v="29645 01 B"/>
    <m/>
    <d v="2022-05-13T00:00:00"/>
    <d v="2022-09-16T00:00:00"/>
    <d v="2022-05-16T00:00:00"/>
    <s v="  /  /  "/>
    <n v="0"/>
    <s v="  /  /  "/>
    <n v="0"/>
    <s v="                                        "/>
    <s v="  /  /  "/>
    <m/>
    <s v="/  /"/>
    <s v="Sem rota"/>
    <n v="2235"/>
    <s v="50% Conf e Saldo 28ddf"/>
    <n v="0"/>
    <m/>
    <n v="0"/>
    <s v="Logber - Colatina Es"/>
    <s v="CIF"/>
    <n v="372"/>
    <n v="12390"/>
    <s v="setembro_2022"/>
    <n v="372"/>
  </r>
  <r>
    <n v="15054"/>
    <x v="2"/>
    <n v="81804684001905"/>
    <s v="Transportes e Armazenagem Zilli Ltda"/>
    <s v="Brasilia"/>
    <s v="DF"/>
    <n v="25758"/>
    <s v="PP1"/>
    <s v="V"/>
    <s v="PE"/>
    <s v="Normal"/>
    <s v="29110 01 B"/>
    <m/>
    <d v="2022-03-29T00:00:00"/>
    <d v="2022-09-16T00:00:00"/>
    <d v="2022-03-30T00:00:00"/>
    <s v="  /  /  "/>
    <n v="0"/>
    <s v="  /  /  "/>
    <n v="0"/>
    <s v="                                        "/>
    <s v="  /  /  "/>
    <s v="sa680"/>
    <d v="2022-03-31T00:00:00"/>
    <s v="Sem rota"/>
    <n v="2257"/>
    <s v="40% Conf/30%14ddf/saldo28ddf"/>
    <n v="0"/>
    <m/>
    <n v="0"/>
    <s v="Logber - Colatina Es"/>
    <s v="CIF"/>
    <n v="120026.27000000002"/>
    <n v="2239156.63"/>
    <s v="setembro_2022"/>
    <n v="120026.27000000002"/>
  </r>
  <r>
    <n v="15057"/>
    <x v="0"/>
    <n v="88212113016014"/>
    <s v="Comercio de Medicamentos Brair Ltda"/>
    <s v="Passo Fundo"/>
    <s v="RS"/>
    <n v="24919"/>
    <s v="PP1"/>
    <s v="V"/>
    <s v="PE"/>
    <s v="Normal"/>
    <s v="25559 10 H"/>
    <m/>
    <d v="2021-11-17T00:00:00"/>
    <d v="2022-09-22T00:00:00"/>
    <d v="2022-05-25T00:00:00"/>
    <s v="  /  /  "/>
    <n v="0"/>
    <s v="  /  /  "/>
    <n v="0"/>
    <s v="                                        "/>
    <s v="  /  /  "/>
    <s v="sa602"/>
    <d v="2022-02-01T00:00:00"/>
    <s v="Sem rota"/>
    <n v="0"/>
    <m/>
    <n v="0"/>
    <m/>
    <n v="0"/>
    <s v="Logber - Colatina Es"/>
    <s v="CIF"/>
    <n v="62378.630000000005"/>
    <n v="2453416.67"/>
    <s v="setembro_2022"/>
    <n v="62378.630000000005"/>
  </r>
  <r>
    <n v="15057"/>
    <x v="0"/>
    <n v="88212113016014"/>
    <s v="Comercio de Medicamentos Brair Ltda"/>
    <s v="Passo Fundo"/>
    <s v="RS"/>
    <n v="24920"/>
    <s v="PP1"/>
    <s v="V"/>
    <s v="PE"/>
    <s v="Normal"/>
    <s v="25559 10 H"/>
    <m/>
    <d v="2021-11-17T00:00:00"/>
    <d v="2022-09-22T00:00:00"/>
    <d v="2022-02-02T00:00:00"/>
    <s v="  /  /  "/>
    <n v="0"/>
    <s v="  /  /  "/>
    <n v="0"/>
    <s v="                                        "/>
    <s v="  /  /  "/>
    <s v="sa600"/>
    <d v="2022-01-27T00:00:00"/>
    <s v="Sem rota"/>
    <n v="0"/>
    <m/>
    <n v="0"/>
    <m/>
    <n v="0"/>
    <s v="Logber - Colatina Es"/>
    <s v="CIF"/>
    <n v="125636.95999999999"/>
    <n v="2453416.67"/>
    <s v="setembro_2022"/>
    <n v="125636.95999999999"/>
  </r>
  <r>
    <n v="15057"/>
    <x v="0"/>
    <n v="88212113016014"/>
    <s v="Comercio de Medicamentos Brair Ltda"/>
    <s v="Passo Fundo"/>
    <s v="RS"/>
    <n v="24921"/>
    <s v="PP3"/>
    <s v="V"/>
    <s v="PE"/>
    <s v="Normal"/>
    <s v="25559 10 H"/>
    <m/>
    <d v="2021-11-17T00:00:00"/>
    <d v="2022-09-22T00:00:00"/>
    <d v="2022-02-02T00:00:00"/>
    <s v="  /  /  "/>
    <n v="0"/>
    <s v="  /  /  "/>
    <n v="0"/>
    <s v="                                        "/>
    <s v="  /  /  "/>
    <s v="sa605"/>
    <d v="2022-02-02T00:00:00"/>
    <s v="Sem rota"/>
    <n v="0"/>
    <m/>
    <n v="0"/>
    <m/>
    <n v="0"/>
    <s v="Logber - Colatina Es"/>
    <s v="CIF"/>
    <n v="20717.22"/>
    <n v="778800"/>
    <s v="setembro_2022"/>
    <n v="20717.22"/>
  </r>
  <r>
    <n v="15057"/>
    <x v="0"/>
    <n v="88212113016014"/>
    <s v="Comercio de Medicamentos Brair Ltda"/>
    <s v="Passo Fundo"/>
    <s v="RS"/>
    <n v="24922"/>
    <s v="PP3"/>
    <s v="V"/>
    <s v="PE"/>
    <s v="Normal"/>
    <s v="25559 10 H"/>
    <m/>
    <d v="2021-11-17T00:00:00"/>
    <d v="2022-09-22T00:00:00"/>
    <d v="2022-02-02T00:00:00"/>
    <s v="  /  /  "/>
    <n v="0"/>
    <s v="  /  /  "/>
    <n v="0"/>
    <s v="                                        "/>
    <s v="  /  /  "/>
    <s v="sa605"/>
    <d v="2022-02-02T00:00:00"/>
    <s v="Sem rota"/>
    <n v="0"/>
    <m/>
    <n v="0"/>
    <m/>
    <n v="0"/>
    <s v="Logber - Colatina Es"/>
    <s v="CIF"/>
    <n v="33349.17"/>
    <n v="792566.67"/>
    <s v="setembro_2022"/>
    <n v="33349.17"/>
  </r>
  <r>
    <n v="15057"/>
    <x v="0"/>
    <n v="88212113016014"/>
    <s v="Comercio de Medicamentos Brair Ltda"/>
    <s v="Passo Fundo"/>
    <s v="RS"/>
    <n v="24923"/>
    <s v="FLR1"/>
    <s v="V"/>
    <s v="PE"/>
    <s v="Normal"/>
    <s v="25559 10 H"/>
    <m/>
    <d v="2021-11-17T00:00:00"/>
    <d v="2022-09-22T00:00:00"/>
    <d v="2022-02-02T00:00:00"/>
    <s v="  /  /  "/>
    <n v="0"/>
    <s v="  /  /  "/>
    <n v="0"/>
    <s v="                                        "/>
    <s v="  /  /  "/>
    <s v="sa616"/>
    <d v="2022-02-16T00:00:00"/>
    <s v="Sem rota"/>
    <n v="0"/>
    <m/>
    <n v="0"/>
    <m/>
    <n v="0"/>
    <s v="Logber - Colatina Es"/>
    <s v="CIF"/>
    <n v="16230.510000000002"/>
    <n v="4683000"/>
    <s v="setembro_2022"/>
    <n v="16230.510000000002"/>
  </r>
  <r>
    <n v="15057"/>
    <x v="0"/>
    <n v="88212113016014"/>
    <s v="Comercio de Medicamentos Brair Ltda"/>
    <s v="Passo Fundo"/>
    <s v="RS"/>
    <n v="24924"/>
    <s v="PSL1"/>
    <s v="V"/>
    <s v="PE"/>
    <s v="Normal"/>
    <s v="25559 10 H"/>
    <m/>
    <d v="2021-11-17T00:00:00"/>
    <d v="2022-09-22T00:00:00"/>
    <d v="2022-02-02T00:00:00"/>
    <s v="  /  /  "/>
    <n v="0"/>
    <s v="  /  /  "/>
    <n v="0"/>
    <s v="                                        "/>
    <s v="  /  /  "/>
    <s v="sa641"/>
    <d v="2022-02-17T00:00:00"/>
    <s v="Sem rota"/>
    <n v="0"/>
    <m/>
    <n v="0"/>
    <m/>
    <n v="0"/>
    <s v="Logber - Colatina Es"/>
    <s v="CIF"/>
    <n v="3612.079999999999"/>
    <n v="201583.34"/>
    <s v="setembro_2022"/>
    <n v="3612.079999999999"/>
  </r>
  <r>
    <n v="15057"/>
    <x v="0"/>
    <n v="88212113016014"/>
    <s v="Comercio de Medicamentos Brair Ltda"/>
    <s v="Passo Fundo"/>
    <s v="RS"/>
    <n v="24925"/>
    <s v="MEZ1"/>
    <s v="V"/>
    <s v="PE"/>
    <s v="Normal"/>
    <s v="25559 10 H"/>
    <m/>
    <d v="2021-11-17T00:00:00"/>
    <d v="2022-09-22T00:00:00"/>
    <d v="2022-02-02T00:00:00"/>
    <s v="  /  /  "/>
    <n v="0"/>
    <s v="  /  /  "/>
    <n v="0"/>
    <s v="                                        "/>
    <s v="  /  /  "/>
    <s v="sa643"/>
    <d v="2022-02-21T00:00:00"/>
    <s v="Sem rota"/>
    <n v="0"/>
    <m/>
    <n v="0"/>
    <m/>
    <n v="0"/>
    <s v="Logber - Colatina Es"/>
    <s v="CIF"/>
    <n v="780.58999999999992"/>
    <n v="711933.33"/>
    <s v="setembro_2022"/>
    <n v="780.58999999999992"/>
  </r>
  <r>
    <n v="15079"/>
    <x v="27"/>
    <n v="7150233001191"/>
    <s v="Granja Brasilia Agroindustrial Avicola L"/>
    <s v="Ibirite"/>
    <s v="MG"/>
    <n v="25873"/>
    <s v="SERVIÇO"/>
    <s v="V"/>
    <s v="PE"/>
    <s v="Normal"/>
    <s v="28432 00 C"/>
    <n v="194168"/>
    <d v="2022-03-31T00:00:00"/>
    <d v="2022-09-23T00:00:00"/>
    <d v="2022-04-12T00:00:00"/>
    <s v="  /  /  "/>
    <n v="0"/>
    <s v="  /  /  "/>
    <n v="0"/>
    <s v="                                        "/>
    <s v="  /  /  "/>
    <m/>
    <s v="/  /"/>
    <s v="Sem rota"/>
    <n v="2203"/>
    <s v="50% Conf e 50% 14ddf"/>
    <n v="0"/>
    <m/>
    <n v="0"/>
    <m/>
    <s v="CIF"/>
    <n v="0"/>
    <n v="49535"/>
    <s v="setembro_2022"/>
    <n v="0"/>
  </r>
  <r>
    <n v="15062"/>
    <x v="1"/>
    <n v="10915021000190"/>
    <s v="Top Alto Participacoes e Comercio Ltda"/>
    <s v="Duque de Caxias"/>
    <s v="RJ"/>
    <n v="25807"/>
    <s v="DRI1"/>
    <s v="V"/>
    <s v="PE"/>
    <s v="Normal"/>
    <s v="28450 04 D"/>
    <m/>
    <d v="2022-03-31T00:00:00"/>
    <d v="2022-09-23T00:00:00"/>
    <d v="2022-04-26T00:00:00"/>
    <s v="  /  /  "/>
    <n v="0"/>
    <s v="  /  /  "/>
    <n v="0"/>
    <s v="                                        "/>
    <s v="  /  /  "/>
    <s v="sa707"/>
    <d v="2022-05-03T00:00:00"/>
    <s v="Sem rota"/>
    <n v="0"/>
    <m/>
    <n v="0"/>
    <m/>
    <n v="0"/>
    <m/>
    <s v="CIF"/>
    <n v="6398.7300000000005"/>
    <n v="298554.21999999997"/>
    <s v="setembro_2022"/>
    <n v="6398.7300000000005"/>
  </r>
  <r>
    <n v="15067"/>
    <x v="3"/>
    <n v="212675000366"/>
    <s v="Abt Comercial Eletrica Ltda"/>
    <s v="Porto Alegre"/>
    <s v="RS"/>
    <n v="25765"/>
    <s v="PBB1"/>
    <s v="V"/>
    <s v="PE"/>
    <s v="Normal"/>
    <s v="28084 02 C"/>
    <m/>
    <d v="2022-03-29T00:00:00"/>
    <d v="2022-09-30T00:00:00"/>
    <d v="2022-03-31T00:00:00"/>
    <s v="  /  /  "/>
    <n v="0"/>
    <s v="  /  /  "/>
    <n v="0"/>
    <s v="                                        "/>
    <s v="  /  /  "/>
    <s v="sa709"/>
    <d v="2022-05-03T00:00:00"/>
    <s v="Sem rota"/>
    <n v="0"/>
    <m/>
    <n v="0"/>
    <m/>
    <n v="0"/>
    <s v="Logber - Colatina Es"/>
    <s v="CIF"/>
    <n v="2549.9599999999996"/>
    <n v="91319.46"/>
    <s v="setembro_2022"/>
    <n v="2549.9599999999996"/>
  </r>
  <r>
    <n v="15064"/>
    <x v="17"/>
    <n v="776574002523"/>
    <s v="Americanas S.A"/>
    <s v="Benevides"/>
    <s v="PA"/>
    <n v="26152"/>
    <s v="PP2"/>
    <s v="V"/>
    <s v="PE"/>
    <s v="Normal"/>
    <s v="29830 01 A"/>
    <s v="P2201/2"/>
    <d v="2022-05-18T00:00:00"/>
    <d v="2022-09-30T00:00:00"/>
    <d v="2022-05-18T00:00:00"/>
    <s v="  /  /  "/>
    <n v="0"/>
    <s v="  /  /  "/>
    <n v="0"/>
    <s v="                                        "/>
    <s v="  /  /  "/>
    <s v="sa743"/>
    <d v="2022-05-27T00:00:00"/>
    <s v="Sem rota"/>
    <n v="879"/>
    <s v="60 Ddf S/j"/>
    <n v="0"/>
    <m/>
    <n v="0"/>
    <s v="Logber - Colatina Es"/>
    <s v="CIF"/>
    <n v="308"/>
    <n v="1586142.33"/>
    <s v="setembro_2022"/>
    <n v="308"/>
  </r>
  <r>
    <n v="15064"/>
    <x v="17"/>
    <n v="776574002523"/>
    <s v="Americanas S.A"/>
    <s v="Benevides"/>
    <s v="PA"/>
    <n v="26153"/>
    <s v="PP2"/>
    <s v="V"/>
    <s v="PE"/>
    <s v="Normal"/>
    <s v="29830 01 A"/>
    <s v="P2201/2"/>
    <d v="2022-05-18T00:00:00"/>
    <d v="2022-09-30T00:00:00"/>
    <d v="2022-05-18T00:00:00"/>
    <s v="  /  /  "/>
    <n v="0"/>
    <s v="  /  /  "/>
    <n v="0"/>
    <s v="                                        "/>
    <s v="  /  /  "/>
    <s v="sa744"/>
    <d v="2022-05-27T00:00:00"/>
    <s v="Sem rota"/>
    <n v="879"/>
    <s v="60 Ddf S/j"/>
    <n v="0"/>
    <m/>
    <n v="0"/>
    <s v="Logber - Colatina Es"/>
    <s v="CIF"/>
    <n v="75198.7"/>
    <n v="562824.69999999995"/>
    <s v="setembro_2022"/>
    <n v="75198.7"/>
  </r>
  <r>
    <n v="15064"/>
    <x v="17"/>
    <n v="776574002523"/>
    <s v="Americanas S.A"/>
    <s v="Benevides"/>
    <s v="PA"/>
    <n v="26154"/>
    <s v="PSL1"/>
    <s v="V"/>
    <s v="PE"/>
    <s v="Normal"/>
    <s v="29830 01 A"/>
    <s v="P2201/2"/>
    <d v="2022-05-18T00:00:00"/>
    <d v="2022-09-30T00:00:00"/>
    <d v="2022-05-18T00:00:00"/>
    <s v="  /  /  "/>
    <n v="0"/>
    <s v="  /  /  "/>
    <n v="0"/>
    <s v="                                        "/>
    <s v="  /  /  "/>
    <m/>
    <s v="/  /"/>
    <s v="Sem rota"/>
    <n v="879"/>
    <s v="60 Ddf S/j"/>
    <n v="0"/>
    <m/>
    <n v="0"/>
    <s v="Logber - Colatina Es"/>
    <s v="CIF"/>
    <n v="131145"/>
    <n v="1653400.07"/>
    <s v="setembro_2022"/>
    <n v="131145"/>
  </r>
  <r>
    <n v="15064"/>
    <x v="17"/>
    <n v="776574002523"/>
    <s v="Americanas S.A"/>
    <s v="Benevides"/>
    <s v="PA"/>
    <n v="26155"/>
    <s v="MEZ1"/>
    <s v="V"/>
    <s v="PE"/>
    <s v="Normal"/>
    <s v="29830 01 A"/>
    <s v="P2201"/>
    <d v="2022-05-18T00:00:00"/>
    <d v="2022-09-30T00:00:00"/>
    <d v="2022-05-18T00:00:00"/>
    <s v="  /  /  "/>
    <n v="0"/>
    <s v="  /  /  "/>
    <n v="0"/>
    <s v="                                        "/>
    <s v="  /  /  "/>
    <m/>
    <s v="/  /"/>
    <s v="Sem rota"/>
    <n v="879"/>
    <s v="60 Ddf S/j"/>
    <n v="0"/>
    <m/>
    <n v="0"/>
    <s v="Logber - Colatina Es"/>
    <s v="CIF"/>
    <n v="20990"/>
    <n v="1151650.5"/>
    <s v="setembro_2022"/>
    <n v="20990"/>
  </r>
  <r>
    <n v="15064"/>
    <x v="17"/>
    <n v="776574003171"/>
    <s v="Americanas S.A"/>
    <s v="Simoes Filho"/>
    <s v="BA"/>
    <n v="26157"/>
    <s v="PP2"/>
    <s v="V"/>
    <s v="PE"/>
    <s v="Normal"/>
    <s v="29268 03 C"/>
    <s v="P2202/2"/>
    <d v="2022-05-18T00:00:00"/>
    <d v="2022-09-30T00:00:00"/>
    <d v="2022-05-18T00:00:00"/>
    <s v="  /  /  "/>
    <n v="0"/>
    <s v="  /  /  "/>
    <n v="0"/>
    <s v="                                        "/>
    <s v="  /  /  "/>
    <s v="sa745"/>
    <d v="2022-05-27T00:00:00"/>
    <s v="Sem rota"/>
    <n v="879"/>
    <s v="60 Ddf S/j"/>
    <n v="0"/>
    <m/>
    <n v="0"/>
    <s v="Logber - Colatina Es"/>
    <s v="CIF"/>
    <n v="308"/>
    <n v="1586142.33"/>
    <s v="setembro_2022"/>
    <n v="308"/>
  </r>
  <r>
    <n v="15064"/>
    <x v="17"/>
    <n v="776574003171"/>
    <s v="Americanas S.A"/>
    <s v="Simoes Filho"/>
    <s v="BA"/>
    <n v="26158"/>
    <s v="PP2"/>
    <s v="V"/>
    <s v="PE"/>
    <s v="Normal"/>
    <s v="29268 03 C"/>
    <s v="P2202/2"/>
    <d v="2022-05-18T00:00:00"/>
    <d v="2022-09-30T00:00:00"/>
    <d v="2022-05-18T00:00:00"/>
    <s v="  /  /  "/>
    <n v="0"/>
    <s v="  /  /  "/>
    <n v="0"/>
    <s v="                                        "/>
    <s v="  /  /  "/>
    <s v="sa746"/>
    <d v="2022-05-27T00:00:00"/>
    <s v="Sem rota"/>
    <n v="879"/>
    <s v="60 Ddf S/j"/>
    <n v="0"/>
    <m/>
    <n v="0"/>
    <s v="Logber - Colatina Es"/>
    <s v="CIF"/>
    <n v="75198.7"/>
    <n v="562824.69999999995"/>
    <s v="setembro_2022"/>
    <n v="75198.7"/>
  </r>
  <r>
    <n v="15064"/>
    <x v="17"/>
    <n v="776574003171"/>
    <s v="Americanas S.A"/>
    <s v="Simoes Filho"/>
    <s v="BA"/>
    <n v="26159"/>
    <s v="PSL1"/>
    <s v="V"/>
    <s v="PE"/>
    <s v="Normal"/>
    <s v="29268 03 C"/>
    <s v="P2202/2"/>
    <d v="2022-05-18T00:00:00"/>
    <d v="2022-09-30T00:00:00"/>
    <d v="2022-05-18T00:00:00"/>
    <s v="  /  /  "/>
    <n v="0"/>
    <s v="  /  /  "/>
    <n v="0"/>
    <s v="                                        "/>
    <s v="  /  /  "/>
    <m/>
    <s v="/  /"/>
    <s v="Sem rota"/>
    <n v="879"/>
    <s v="60 Ddf S/j"/>
    <n v="0"/>
    <m/>
    <n v="0"/>
    <s v="Logber - Colatina Es"/>
    <s v="CIF"/>
    <n v="131145"/>
    <n v="1653400.07"/>
    <s v="setembro_2022"/>
    <n v="131145"/>
  </r>
  <r>
    <n v="15064"/>
    <x v="17"/>
    <n v="776574003171"/>
    <s v="Americanas S.A"/>
    <s v="Simoes Filho"/>
    <s v="BA"/>
    <n v="26160"/>
    <s v="MEZ1"/>
    <s v="V"/>
    <s v="PE"/>
    <s v="Normal"/>
    <s v="29268 03 C"/>
    <s v="P2202/2"/>
    <d v="2022-05-18T00:00:00"/>
    <d v="2022-09-30T00:00:00"/>
    <d v="2022-05-18T00:00:00"/>
    <s v="  /  /  "/>
    <n v="0"/>
    <s v="  /  /  "/>
    <n v="0"/>
    <s v="                                        "/>
    <s v="  /  /  "/>
    <m/>
    <s v="/  /"/>
    <s v="Sem rota"/>
    <n v="879"/>
    <s v="60 Ddf S/j"/>
    <n v="0"/>
    <m/>
    <n v="0"/>
    <s v="Logber - Colatina Es"/>
    <s v="CIF"/>
    <n v="20990"/>
    <n v="1151650.5"/>
    <s v="setembro_2022"/>
    <n v="20990"/>
  </r>
  <r>
    <n v="15059"/>
    <x v="20"/>
    <n v="15644558000187"/>
    <s v="Farias Log Eireli"/>
    <s v="Palhoca"/>
    <s v="SC"/>
    <n v="25003"/>
    <s v="DIN2"/>
    <s v="V"/>
    <s v="PE"/>
    <s v="Normal"/>
    <s v="26456 02 B"/>
    <m/>
    <d v="2021-11-26T00:00:00"/>
    <d v="2022-09-30T00:00:00"/>
    <d v="2021-12-21T00:00:00"/>
    <s v="  /  /  "/>
    <n v="0"/>
    <s v="  /  /  "/>
    <n v="0"/>
    <s v="                                        "/>
    <s v="  /  /  "/>
    <s v="sa634"/>
    <d v="2022-02-11T00:00:00"/>
    <s v="Sem rota"/>
    <n v="0"/>
    <m/>
    <n v="0"/>
    <m/>
    <n v="0"/>
    <s v="Logber - Colatina Es"/>
    <s v="CIF"/>
    <n v="548.08000000000004"/>
    <n v="285000"/>
    <s v="setembro_2022"/>
    <n v="548.08000000000004"/>
  </r>
  <r>
    <n v="15057"/>
    <x v="0"/>
    <n v="1257995002268"/>
    <s v="Goiasminas Ind de Laticinios Ltda"/>
    <s v="Passo Fundo"/>
    <s v="RS"/>
    <n v="26256"/>
    <s v="DRI1"/>
    <s v="V"/>
    <s v="PE"/>
    <s v="Normal"/>
    <s v="28014 00 C"/>
    <s v="F50413"/>
    <d v="2022-05-30T00:00:00"/>
    <d v="2022-09-30T00:00:00"/>
    <d v="2022-06-06T00:00:00"/>
    <s v="  /  /  "/>
    <n v="0"/>
    <s v="  /  /  "/>
    <n v="0"/>
    <s v="                                        "/>
    <s v="  /  /  "/>
    <m/>
    <s v="/  /"/>
    <s v="Sem rota"/>
    <n v="2257"/>
    <s v="40% Conf/30%14ddf/saldo28ddf"/>
    <n v="0"/>
    <m/>
    <n v="0"/>
    <s v="Logber - Colatina Es"/>
    <s v="CIF"/>
    <n v="1440"/>
    <n v="52022.42"/>
    <s v="setembro_2022"/>
    <n v="1440"/>
  </r>
  <r>
    <n v="15067"/>
    <x v="3"/>
    <n v="4229761001142"/>
    <s v="Videolar Innova S.A"/>
    <s v="Triunfo"/>
    <s v="RS"/>
    <n v="25935"/>
    <s v="DRI2"/>
    <s v="V"/>
    <s v="PE"/>
    <s v="Normal"/>
    <s v="28220 04 E"/>
    <m/>
    <d v="2022-04-19T00:00:00"/>
    <d v="2022-09-30T00:00:00"/>
    <d v="2022-05-20T00:00:00"/>
    <s v="  /  /  "/>
    <n v="0"/>
    <s v="  /  /  "/>
    <n v="0"/>
    <s v="                                        "/>
    <s v="  /  /  "/>
    <s v="sa719"/>
    <d v="2022-05-09T00:00:00"/>
    <s v="Sem rota"/>
    <n v="2257"/>
    <s v="40% Conf/30%14ddf/saldo28ddf"/>
    <n v="0"/>
    <m/>
    <n v="0"/>
    <s v="Logber - Colatina Es"/>
    <s v="CIF"/>
    <n v="10152.57"/>
    <n v="387025.78"/>
    <s v="setembro_2022"/>
    <n v="10152.57"/>
  </r>
  <r>
    <n v="15057"/>
    <x v="0"/>
    <n v="1838723024816"/>
    <s v="Brf S.A"/>
    <s v="Marau"/>
    <s v="RS"/>
    <n v="25933"/>
    <s v="DRI2"/>
    <s v="V"/>
    <s v="PE"/>
    <s v="Normal"/>
    <s v="28211 00 C"/>
    <n v="105328656"/>
    <d v="2022-04-19T00:00:00"/>
    <d v="2022-10-07T00:00:00"/>
    <d v="2022-04-19T00:00:00"/>
    <s v="  /  /  "/>
    <n v="0"/>
    <s v="  /  /  "/>
    <n v="0"/>
    <s v="                                        "/>
    <s v="  /  /  "/>
    <m/>
    <s v="/  /"/>
    <s v="Sem rota"/>
    <n v="575"/>
    <s v="180 Ddf S/j"/>
    <n v="0"/>
    <m/>
    <n v="0"/>
    <s v="Logber - Colatina Es"/>
    <s v="CIF"/>
    <n v="1355"/>
    <n v="44285.55"/>
    <s v="outubro_2022"/>
    <n v="1355"/>
  </r>
  <r>
    <n v="15074"/>
    <x v="21"/>
    <n v="61156113000175"/>
    <s v="Iochpe Maxion S/A"/>
    <s v="Cruzeiro"/>
    <s v="SP"/>
    <n v="25745"/>
    <s v="APT2"/>
    <s v="V"/>
    <s v="PE"/>
    <s v="Normal"/>
    <s v="23222 00 I"/>
    <n v="4500133681"/>
    <d v="2022-03-28T00:00:00"/>
    <d v="2022-10-07T00:00:00"/>
    <d v="2022-04-07T00:00:00"/>
    <s v="  /  /  "/>
    <n v="0"/>
    <s v="  /  /  "/>
    <n v="0"/>
    <s v="                                        "/>
    <s v="  /  /  "/>
    <s v="sa709"/>
    <d v="2022-05-03T00:00:00"/>
    <s v="Sem rota"/>
    <n v="0"/>
    <m/>
    <n v="0"/>
    <m/>
    <n v="0"/>
    <s v="Logber - Colatina Es"/>
    <s v="CIF"/>
    <n v="274.11"/>
    <n v="92213"/>
    <s v="outubro_2022"/>
    <n v="274.11"/>
  </r>
  <r>
    <n v="15055"/>
    <x v="4"/>
    <n v="2036483000614"/>
    <s v="Continental do Brasil Prod. Automotivos"/>
    <s v="Camacari"/>
    <s v="BA"/>
    <n v="25673"/>
    <s v="DRI2"/>
    <s v="V"/>
    <s v="PE"/>
    <s v="Normal"/>
    <s v="24933 00 D"/>
    <n v="4501528067"/>
    <d v="2022-03-18T00:00:00"/>
    <d v="2022-10-14T00:00:00"/>
    <d v="2022-03-21T00:00:00"/>
    <s v="  /  /  "/>
    <n v="0"/>
    <s v="  /  /  "/>
    <n v="0"/>
    <s v="                                        "/>
    <s v="  /  /  "/>
    <s v="sa680"/>
    <d v="2022-03-31T00:00:00"/>
    <s v="Sem rota"/>
    <n v="13"/>
    <s v="45 Ddf S/j"/>
    <n v="0"/>
    <m/>
    <n v="0"/>
    <s v="Logber - Colatina Es"/>
    <s v="CIF"/>
    <n v="1219.1100000000001"/>
    <n v="78653.789999999994"/>
    <s v="outubro_2022"/>
    <n v="1219.1100000000001"/>
  </r>
  <r>
    <n v="15055"/>
    <x v="4"/>
    <n v="2036483000614"/>
    <s v="Continental do Brasil Prod. Automotivos"/>
    <s v="Camacari"/>
    <s v="BA"/>
    <n v="25674"/>
    <s v="DRI2"/>
    <s v="V"/>
    <s v="PE"/>
    <s v="Normal"/>
    <s v="25496 00 C"/>
    <n v="4501528067"/>
    <d v="2022-03-18T00:00:00"/>
    <d v="2022-10-14T00:00:00"/>
    <d v="2022-03-21T00:00:00"/>
    <s v="  /  /  "/>
    <n v="0"/>
    <s v="  /  /  "/>
    <n v="0"/>
    <s v="                                        "/>
    <s v="  /  /  "/>
    <s v="sa680"/>
    <d v="2022-03-31T00:00:00"/>
    <s v="Sem rota"/>
    <n v="13"/>
    <s v="45 Ddf S/j"/>
    <n v="0"/>
    <m/>
    <n v="0"/>
    <s v="Logber - Colatina Es"/>
    <s v="CIF"/>
    <n v="286.73"/>
    <n v="89471.29"/>
    <s v="outubro_2022"/>
    <n v="286.73"/>
  </r>
  <r>
    <n v="15055"/>
    <x v="4"/>
    <n v="2036483000614"/>
    <s v="Continental do Brasil Prod. Automotivos"/>
    <s v="Camacari"/>
    <s v="BA"/>
    <n v="25676"/>
    <s v="SERVIÇO"/>
    <s v="V"/>
    <s v="PE"/>
    <s v="Normal"/>
    <s v="25496 00 C"/>
    <n v="4900521035"/>
    <d v="2022-03-18T00:00:00"/>
    <d v="2022-10-14T00:00:00"/>
    <d v="2022-03-21T00:00:00"/>
    <s v="  /  /  "/>
    <n v="0"/>
    <s v="  /  /  "/>
    <n v="0"/>
    <s v="                                        "/>
    <s v="  /  /  "/>
    <m/>
    <s v="/  /"/>
    <s v="Sem rota"/>
    <n v="13"/>
    <s v="45 Ddf S/j"/>
    <n v="0"/>
    <m/>
    <n v="0"/>
    <m/>
    <s v="CIF"/>
    <n v="0"/>
    <n v="30555"/>
    <s v="outubro_2022"/>
    <n v="0"/>
  </r>
  <r>
    <n v="15067"/>
    <x v="3"/>
    <n v="92665611000177"/>
    <s v="Dimed S/A Distribuidora de Medicamentos"/>
    <s v="Eldorado do Sul"/>
    <s v="RS"/>
    <n v="25539"/>
    <s v="PP1"/>
    <s v="V"/>
    <s v="PE"/>
    <s v="Normal"/>
    <s v="28029 02 D"/>
    <m/>
    <d v="2022-02-25T00:00:00"/>
    <d v="2022-10-21T00:00:00"/>
    <d v="2022-03-18T00:00:00"/>
    <s v="  /  /  "/>
    <n v="0"/>
    <s v="  /  /  "/>
    <n v="0"/>
    <s v="                                        "/>
    <s v="  /  /  "/>
    <s v="sa671"/>
    <d v="2022-03-22T00:00:00"/>
    <s v="Sem rota"/>
    <n v="0"/>
    <m/>
    <n v="0"/>
    <m/>
    <n v="0"/>
    <s v="Logber - Colatina Es"/>
    <s v="CIF"/>
    <n v="7816.51"/>
    <n v="1910125"/>
    <s v="outubro_2022"/>
    <n v="7816.51"/>
  </r>
  <r>
    <n v="15067"/>
    <x v="3"/>
    <n v="92665611000177"/>
    <s v="Dimed S/A Distribuidora de Medicamentos"/>
    <s v="Eldorado do Sul"/>
    <s v="RS"/>
    <n v="25557"/>
    <s v="PP1"/>
    <s v="V"/>
    <s v="PE"/>
    <s v="Normal"/>
    <s v="28029 02 D"/>
    <m/>
    <d v="2022-02-25T00:00:00"/>
    <d v="2022-10-21T00:00:00"/>
    <d v="2022-03-18T00:00:00"/>
    <s v="  /  /  "/>
    <n v="0"/>
    <s v="  /  /  "/>
    <n v="0"/>
    <s v="                                        "/>
    <s v="  /  /  "/>
    <s v="sa671"/>
    <d v="2022-03-22T00:00:00"/>
    <s v="Sem rota"/>
    <n v="0"/>
    <m/>
    <n v="0"/>
    <m/>
    <n v="0"/>
    <s v="Logber - Colatina Es"/>
    <s v="CIF"/>
    <n v="8407.3799999999992"/>
    <n v="1910125"/>
    <s v="outubro_2022"/>
    <n v="8407.3799999999992"/>
  </r>
  <r>
    <n v="15064"/>
    <x v="17"/>
    <n v="3887324000181"/>
    <s v="Adimax Industria e Comercio de Alimentos"/>
    <s v="Salto de Pirapora"/>
    <s v="SP"/>
    <n v="26295"/>
    <s v="PP1"/>
    <s v="V"/>
    <s v="PE"/>
    <s v="Normal"/>
    <s v="29910 01 C"/>
    <m/>
    <d v="2022-05-31T00:00:00"/>
    <d v="2022-11-04T00:00:00"/>
    <d v="2022-06-07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39842"/>
    <n v="641218.75"/>
    <s v="novembro_2022"/>
    <n v="39842"/>
  </r>
  <r>
    <n v="15064"/>
    <x v="17"/>
    <n v="3887324000181"/>
    <s v="Adimax Industria e Comercio de Alimentos"/>
    <s v="Salto de Pirapora"/>
    <s v="SP"/>
    <n v="26296"/>
    <s v="DIN1"/>
    <s v="V"/>
    <s v="PE"/>
    <s v="Normal"/>
    <s v="29910 01 C"/>
    <m/>
    <d v="2022-05-31T00:00:00"/>
    <d v="2022-11-04T00:00:00"/>
    <d v="2022-06-07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Logber - Colatina Es"/>
    <s v="CIF"/>
    <n v="13003"/>
    <n v="300078.03999999998"/>
    <s v="novembro_2022"/>
    <n v="13003"/>
  </r>
  <r>
    <n v="15907"/>
    <x v="8"/>
    <n v="11507415000253"/>
    <s v="Industrias Reunidas Raymundo da Fonte S."/>
    <s v="Salvador"/>
    <s v="BA"/>
    <n v="26027"/>
    <s v="APT2"/>
    <s v="V"/>
    <s v="PE"/>
    <s v="Normal"/>
    <s v="28052 02 D"/>
    <n v="117239"/>
    <d v="2022-04-29T00:00:00"/>
    <d v="2022-11-04T00:00:00"/>
    <d v="2022-05-10T00:00:00"/>
    <s v="  /  /  "/>
    <n v="0"/>
    <s v="  /  /  "/>
    <n v="0"/>
    <s v="                                        "/>
    <s v="  /  /  "/>
    <s v="sa753"/>
    <d v="2022-06-07T00:00:00"/>
    <s v="Sem rota"/>
    <n v="0"/>
    <m/>
    <n v="0"/>
    <m/>
    <n v="0"/>
    <s v="Logber - Colatina Es"/>
    <s v="CIF"/>
    <n v="0"/>
    <n v="1000000"/>
    <s v="novembro_2022"/>
    <n v="0"/>
  </r>
  <r>
    <n v="15062"/>
    <x v="1"/>
    <n v="24443608001040"/>
    <s v="Gypsum Mineração Industria e Comercio Lt"/>
    <s v="Rio de Janeiro"/>
    <s v="RJ"/>
    <n v="25689"/>
    <s v="PSH1"/>
    <s v="V"/>
    <s v="PE"/>
    <s v="Normal"/>
    <s v="16966 02 H"/>
    <n v="4011843781"/>
    <d v="2022-03-22T00:00:00"/>
    <d v="2022-11-18T00:00:00"/>
    <d v="2022-03-22T00:00:00"/>
    <s v="  /  /  "/>
    <n v="0"/>
    <s v="  /  /  "/>
    <n v="0"/>
    <s v="                                        "/>
    <s v="  /  /  "/>
    <s v="sa709"/>
    <d v="2022-05-03T00:00:00"/>
    <s v="Sem rota"/>
    <n v="44"/>
    <s v="30 DDF S/juros"/>
    <n v="0"/>
    <m/>
    <n v="0"/>
    <s v="Logber - Colatina Es"/>
    <s v="CIF"/>
    <n v="0"/>
    <n v="117000"/>
    <s v="novembro_2022"/>
    <n v="0"/>
  </r>
  <r>
    <n v="15917"/>
    <x v="22"/>
    <n v="87556650001682"/>
    <s v="Bertolini S.A"/>
    <s v="Colatina"/>
    <s v="ES"/>
    <n v="302"/>
    <m/>
    <s v="O"/>
    <s v="MI"/>
    <s v="Normal"/>
    <m/>
    <s v="KANBAN BSA"/>
    <d v="2020-09-11T00:00:00"/>
    <d v="2021-03-10T00:00:00"/>
    <d v="2022-01-27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281.64299999999997"/>
    <n v="111.24"/>
    <s v="março_2021"/>
    <n v="281.64299999999997"/>
  </r>
  <r>
    <n v="15066"/>
    <x v="18"/>
    <n v="1838723043870"/>
    <s v="Brf S.A"/>
    <s v="Uberlandia"/>
    <s v="MG"/>
    <n v="20094"/>
    <m/>
    <s v="V"/>
    <s v="PE"/>
    <s v="Normal"/>
    <s v="14697 00 C"/>
    <n v="102594305"/>
    <d v="2020-11-06T00:00:00"/>
    <d v="2021-05-05T00:00:00"/>
    <d v="2020-11-06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m/>
    <s v="CIF"/>
    <n v="0"/>
    <n v="36800"/>
    <s v="maio_2021"/>
    <n v="0"/>
  </r>
  <r>
    <n v="15000"/>
    <x v="26"/>
    <n v="92754738038305"/>
    <s v="Lojas Renner S.A"/>
    <s v="Aruja"/>
    <s v="SP"/>
    <n v="800599"/>
    <s v="PP3"/>
    <s v="V"/>
    <s v="PE"/>
    <s v="Normal"/>
    <s v="18204 07 G"/>
    <n v="2342129"/>
    <d v="2021-02-26T00:00:00"/>
    <d v="2021-08-04T00:00:00"/>
    <d v="2021-02-26T00:00:00"/>
    <s v="  /  /  "/>
    <n v="0"/>
    <s v="  /  /  "/>
    <n v="0"/>
    <s v="                                        "/>
    <s v="  /  /  "/>
    <s v="sa387"/>
    <d v="2021-07-19T00:00:00"/>
    <s v="Sem rota"/>
    <n v="0"/>
    <m/>
    <n v="0"/>
    <m/>
    <n v="0"/>
    <m/>
    <s v="CIF"/>
    <s v=""/>
    <n v="0"/>
    <s v="agosto_2021"/>
    <s v=""/>
  </r>
  <r>
    <n v="15000"/>
    <x v="26"/>
    <n v="92754738038305"/>
    <s v="Lojas Renner S.A"/>
    <s v="Aruja"/>
    <s v="SP"/>
    <n v="800613"/>
    <s v="PSL1"/>
    <s v="V"/>
    <s v="MI"/>
    <s v="Normal"/>
    <s v="18204 07 G"/>
    <m/>
    <d v="2021-03-16T00:00:00"/>
    <d v="2021-08-04T00:00:00"/>
    <d v="2021-11-13T00:00:00"/>
    <s v="  /  /  "/>
    <n v="0"/>
    <s v="  /  /  "/>
    <n v="0"/>
    <s v="                                        "/>
    <s v="  /  /  "/>
    <s v="sa248"/>
    <d v="2021-03-25T00:00:00"/>
    <s v="Sem rota"/>
    <n v="0"/>
    <m/>
    <n v="0"/>
    <m/>
    <n v="0"/>
    <s v="Logber - Colatina Es"/>
    <s v="CIF"/>
    <s v=""/>
    <n v="1.03"/>
    <s v="agosto_2021"/>
    <s v=""/>
  </r>
  <r>
    <n v="15000"/>
    <x v="26"/>
    <n v="92754738038305"/>
    <s v="Lojas Renner S.A"/>
    <s v="Aruja"/>
    <s v="SP"/>
    <n v="800623"/>
    <s v="MEZ1"/>
    <s v="V"/>
    <s v="PE"/>
    <s v="Normal"/>
    <s v="18204 07 G"/>
    <m/>
    <d v="2021-03-16T00:00:00"/>
    <d v="2021-08-04T00:00:00"/>
    <d v="2021-07-15T00:00:00"/>
    <s v="  /  /  "/>
    <n v="0"/>
    <s v="  /  /  "/>
    <n v="0"/>
    <s v="                                        "/>
    <s v="  /  /  "/>
    <s v="sa386"/>
    <d v="2021-07-15T00:00:00"/>
    <s v="Sem rota"/>
    <n v="0"/>
    <m/>
    <n v="0"/>
    <m/>
    <n v="0"/>
    <m/>
    <s v="CIF"/>
    <s v=""/>
    <n v="1.03"/>
    <s v="agosto_2021"/>
    <s v=""/>
  </r>
  <r>
    <n v="15000"/>
    <x v="26"/>
    <n v="92754738038305"/>
    <s v="Lojas Renner S.A"/>
    <s v="Aruja"/>
    <s v="SP"/>
    <n v="800614"/>
    <s v="PSL1"/>
    <s v="V"/>
    <s v="PE"/>
    <s v="Normal"/>
    <s v="18204 07 G"/>
    <m/>
    <d v="2021-03-16T00:00:00"/>
    <d v="2021-08-05T00:00:00"/>
    <d v="2021-11-04T00:00:00"/>
    <s v="  /  /  "/>
    <n v="0"/>
    <s v="  /  /  "/>
    <n v="0"/>
    <s v="                                        "/>
    <s v="  /  /  "/>
    <s v="sa248"/>
    <d v="2021-03-25T00:00:00"/>
    <s v="Sem rota"/>
    <n v="0"/>
    <m/>
    <n v="0"/>
    <m/>
    <n v="0"/>
    <m/>
    <s v="CIF"/>
    <s v=""/>
    <n v="1.03"/>
    <s v="agosto_2021"/>
    <s v=""/>
  </r>
  <r>
    <n v="15000"/>
    <x v="26"/>
    <n v="87556650000104"/>
    <s v="Bertolini S/A"/>
    <s v="Bento Goncalves"/>
    <s v="RS"/>
    <n v="800002"/>
    <m/>
    <s v="T"/>
    <s v="PE"/>
    <s v="Normal"/>
    <m/>
    <s v="PERFIL  TESTE"/>
    <d v="2020-09-23T00:00:00"/>
    <d v="2021-08-06T00:00:00"/>
    <d v="2021-06-08T00:00:00"/>
    <s v="  /  /  "/>
    <n v="0"/>
    <s v="  /  /  "/>
    <n v="0"/>
    <s v="                                        "/>
    <s v="  /  /  "/>
    <s v="sa53"/>
    <d v="2020-10-05T00:00:00"/>
    <s v="Rs"/>
    <n v="11"/>
    <s v="1 DDF Com 12% de Acréscimo"/>
    <n v="0"/>
    <m/>
    <n v="0"/>
    <s v="Logber"/>
    <s v="CIF"/>
    <s v=""/>
    <n v="1.1599999999999999"/>
    <s v="agosto_2021"/>
    <s v=""/>
  </r>
  <r>
    <n v="850000"/>
    <x v="32"/>
    <n v="87556650000104"/>
    <s v="Bertolini S/A"/>
    <s v="Bento Goncalves"/>
    <s v="RS"/>
    <n v="800472"/>
    <s v="PP1"/>
    <s v="T"/>
    <s v="FP"/>
    <s v="Normal"/>
    <m/>
    <m/>
    <d v="2020-07-29T00:00:00"/>
    <d v="2021-08-06T00:00:00"/>
    <d v="2021-06-08T00:00:00"/>
    <d v="2020-09-29T00:00:00"/>
    <n v="209"/>
    <d v="2020-09-29T00:00:00"/>
    <n v="209"/>
    <s v="                                        "/>
    <s v="  /  /  "/>
    <s v="aa3579"/>
    <d v="2020-09-05T00:00:00"/>
    <s v="Rs"/>
    <n v="0"/>
    <m/>
    <n v="0"/>
    <m/>
    <n v="0"/>
    <s v="Logber - Colatina Es"/>
    <s v="CIF"/>
    <n v="0"/>
    <n v="4508.18"/>
    <s v="agosto_2021"/>
    <n v="0"/>
  </r>
  <r>
    <n v="850000"/>
    <x v="32"/>
    <n v="87556650000104"/>
    <s v="Bertolini S/A"/>
    <s v="Bento Goncalves"/>
    <s v="RS"/>
    <n v="800522"/>
    <s v="PP1"/>
    <s v="T"/>
    <s v="FP"/>
    <s v="Normal"/>
    <m/>
    <m/>
    <d v="2020-08-11T00:00:00"/>
    <d v="2021-08-06T00:00:00"/>
    <d v="2021-05-18T00:00:00"/>
    <d v="2020-09-28T00:00:00"/>
    <n v="197"/>
    <d v="2020-09-28T00:00:00"/>
    <n v="197"/>
    <s v="                                        "/>
    <s v="  /  /  "/>
    <s v="aa3579"/>
    <d v="2020-09-05T00:00:00"/>
    <s v="Rs"/>
    <n v="0"/>
    <m/>
    <n v="0"/>
    <m/>
    <n v="0"/>
    <s v="Logber - Colatina Es"/>
    <s v="CIF"/>
    <n v="0"/>
    <n v="357.19"/>
    <s v="agosto_2021"/>
    <n v="0"/>
  </r>
  <r>
    <n v="15000"/>
    <x v="26"/>
    <n v="92754738038305"/>
    <s v="Lojas Renner S.A"/>
    <s v="Aruja"/>
    <s v="SP"/>
    <n v="800597"/>
    <s v="PP3"/>
    <s v="V"/>
    <s v="PE"/>
    <s v="Normal"/>
    <s v="18204 07 G"/>
    <n v="2342129"/>
    <d v="2021-02-26T00:00:00"/>
    <d v="2021-08-06T00:00:00"/>
    <d v="2021-10-30T00:00:00"/>
    <s v="  /  /  "/>
    <n v="0"/>
    <s v="  /  /  "/>
    <n v="0"/>
    <s v="                                        "/>
    <s v="  /  /  "/>
    <s v="sa241"/>
    <d v="2021-03-19T00:00:00"/>
    <s v="Sem rota"/>
    <n v="0"/>
    <m/>
    <n v="0"/>
    <m/>
    <n v="0"/>
    <m/>
    <s v="CIF"/>
    <s v=""/>
    <n v="1"/>
    <s v="agosto_2021"/>
    <s v=""/>
  </r>
  <r>
    <n v="15000"/>
    <x v="26"/>
    <n v="92754738038305"/>
    <s v="Lojas Renner S.A"/>
    <s v="Aruja"/>
    <s v="SP"/>
    <n v="800598"/>
    <s v="PP3"/>
    <s v="V"/>
    <s v="MI"/>
    <s v="Normal"/>
    <s v="18204 07 G"/>
    <n v="2342129"/>
    <d v="2021-02-26T00:00:00"/>
    <d v="2021-08-06T00:00:00"/>
    <d v="2021-10-30T00:00:00"/>
    <s v="  /  /  "/>
    <n v="0"/>
    <s v="  /  /  "/>
    <n v="0"/>
    <s v="                                        "/>
    <s v="  /  /  "/>
    <s v="sa241"/>
    <d v="2021-03-19T00:00:00"/>
    <s v="Sem rota"/>
    <n v="0"/>
    <m/>
    <n v="0"/>
    <m/>
    <n v="0"/>
    <m/>
    <s v="CIF"/>
    <s v=""/>
    <n v="1"/>
    <s v="agosto_2021"/>
    <s v=""/>
  </r>
  <r>
    <n v="15000"/>
    <x v="26"/>
    <n v="92754738038305"/>
    <s v="Lojas Renner S.A"/>
    <s v="Aruja"/>
    <s v="SP"/>
    <n v="800611"/>
    <s v="PSL1"/>
    <s v="V"/>
    <s v="PE"/>
    <s v="Normal"/>
    <s v="18204 07 G"/>
    <m/>
    <d v="2021-03-16T00:00:00"/>
    <d v="2021-08-06T00:00:00"/>
    <d v="2021-10-30T00:00:00"/>
    <s v="  /  /  "/>
    <n v="0"/>
    <s v="  /  /  "/>
    <n v="0"/>
    <s v="                                        "/>
    <s v="  /  /  "/>
    <s v="sa248"/>
    <d v="2021-03-25T00:00:00"/>
    <s v="Sem rota"/>
    <n v="0"/>
    <m/>
    <n v="0"/>
    <m/>
    <n v="0"/>
    <m/>
    <s v="CIF"/>
    <s v=""/>
    <n v="1.03"/>
    <s v="agosto_2021"/>
    <s v=""/>
  </r>
  <r>
    <n v="15000"/>
    <x v="26"/>
    <n v="92754738038305"/>
    <s v="Lojas Renner S.A"/>
    <s v="Aruja"/>
    <s v="SP"/>
    <n v="800615"/>
    <s v="PSL1"/>
    <s v="V"/>
    <s v="PE"/>
    <s v="Normal"/>
    <s v="18204 07 G"/>
    <m/>
    <d v="2021-03-16T00:00:00"/>
    <d v="2021-08-06T00:00:00"/>
    <d v="2021-10-30T00:00:00"/>
    <s v="  /  /  "/>
    <n v="0"/>
    <s v="  /  /  "/>
    <n v="0"/>
    <s v="                                        "/>
    <s v="  /  /  "/>
    <s v="sa248"/>
    <d v="2021-03-25T00:00:00"/>
    <s v="Sem rota"/>
    <n v="0"/>
    <m/>
    <n v="0"/>
    <m/>
    <n v="0"/>
    <m/>
    <s v="CIF"/>
    <s v=""/>
    <n v="1.03"/>
    <s v="agosto_2021"/>
    <s v=""/>
  </r>
  <r>
    <n v="15000"/>
    <x v="26"/>
    <n v="92754738038305"/>
    <s v="Lojas Renner S.A"/>
    <s v="Aruja"/>
    <s v="SP"/>
    <n v="800616"/>
    <s v="PSL1"/>
    <s v="V"/>
    <s v="PE"/>
    <s v="Normal"/>
    <s v="18204 07 G"/>
    <m/>
    <d v="2021-03-16T00:00:00"/>
    <d v="2021-08-06T00:00:00"/>
    <d v="2021-10-30T00:00:00"/>
    <s v="  /  /  "/>
    <n v="0"/>
    <s v="  /  /  "/>
    <n v="0"/>
    <s v="                                        "/>
    <s v="  /  /  "/>
    <s v="sa248"/>
    <d v="2021-03-25T00:00:00"/>
    <s v="Sem rota"/>
    <n v="0"/>
    <m/>
    <n v="0"/>
    <m/>
    <n v="0"/>
    <m/>
    <s v="CIF"/>
    <s v=""/>
    <n v="1.03"/>
    <s v="agosto_2021"/>
    <s v=""/>
  </r>
  <r>
    <n v="15908"/>
    <x v="10"/>
    <n v="3002339014418"/>
    <s v="Maxmix Comercial Ltda"/>
    <s v="Cabreuva"/>
    <s v="SP"/>
    <n v="800668"/>
    <s v="PSL1"/>
    <s v="O"/>
    <s v="PE"/>
    <s v="Normal"/>
    <s v="22969 08 J"/>
    <m/>
    <d v="2021-06-14T00:00:00"/>
    <d v="2021-08-20T00:00:00"/>
    <d v="2021-11-13T00:00:00"/>
    <s v="  /  /  "/>
    <n v="0"/>
    <s v="  /  /  "/>
    <n v="0"/>
    <s v="                                        "/>
    <s v="  /  /  "/>
    <s v="sa378"/>
    <d v="2021-07-06T00:00:00"/>
    <s v="Sem rota"/>
    <n v="0"/>
    <m/>
    <n v="0"/>
    <m/>
    <n v="0"/>
    <m/>
    <s v="CIF"/>
    <s v=""/>
    <n v="1.03"/>
    <s v="agosto_2021"/>
    <s v=""/>
  </r>
  <r>
    <n v="15908"/>
    <x v="10"/>
    <n v="3002339014418"/>
    <s v="Maxmix Comercial Ltda"/>
    <s v="Cabreuva"/>
    <s v="SP"/>
    <n v="800669"/>
    <s v="PSL1"/>
    <s v="O"/>
    <s v="PE"/>
    <s v="Normal"/>
    <s v="22969 08 J"/>
    <m/>
    <d v="2021-06-14T00:00:00"/>
    <d v="2021-08-20T00:00:00"/>
    <d v="2021-11-13T00:00:00"/>
    <s v="  /  /  "/>
    <n v="0"/>
    <s v="  /  /  "/>
    <n v="0"/>
    <s v="                                        "/>
    <s v="  /  /  "/>
    <s v="sa378"/>
    <d v="2021-07-06T00:00:00"/>
    <s v="Sem rota"/>
    <n v="0"/>
    <m/>
    <n v="0"/>
    <m/>
    <n v="0"/>
    <m/>
    <s v="CIF"/>
    <s v=""/>
    <n v="1.03"/>
    <s v="agosto_2021"/>
    <s v=""/>
  </r>
  <r>
    <n v="15908"/>
    <x v="10"/>
    <n v="92754738047983"/>
    <s v="Lojas Renner S.A"/>
    <s v="Cabreuva"/>
    <s v="SP"/>
    <n v="800802"/>
    <s v="MEZ1"/>
    <s v="V"/>
    <s v="PE"/>
    <s v="Normal"/>
    <s v="16216 01 C"/>
    <m/>
    <d v="2021-08-09T00:00:00"/>
    <d v="2021-08-23T00:00:00"/>
    <d v="2022-01-14T00:00:00"/>
    <s v="  /  /  "/>
    <n v="0"/>
    <s v="  /  /  "/>
    <n v="0"/>
    <s v="                                        "/>
    <s v="  /  /  "/>
    <s v="sa400"/>
    <d v="2021-08-09T00:00:00"/>
    <s v="Sem rota"/>
    <n v="0"/>
    <m/>
    <n v="0"/>
    <m/>
    <n v="0"/>
    <m/>
    <s v="CIF"/>
    <s v=""/>
    <n v="1.03"/>
    <s v="agosto_2021"/>
    <s v=""/>
  </r>
  <r>
    <n v="15000"/>
    <x v="26"/>
    <n v="87556650001682"/>
    <s v="Bertolini S.A"/>
    <s v="Colatina"/>
    <s v="ES"/>
    <n v="800801"/>
    <s v="PP3"/>
    <s v="O"/>
    <s v="PE"/>
    <s v="Normal"/>
    <m/>
    <m/>
    <d v="2021-07-27T00:00:00"/>
    <d v="2021-08-31T00:00:00"/>
    <d v="2021-07-27T00:00:00"/>
    <s v="  /  /  "/>
    <n v="0"/>
    <s v="  /  /  "/>
    <n v="0"/>
    <s v="                                        "/>
    <s v="  /  /  "/>
    <s v="sa394"/>
    <d v="2021-07-27T00:00:00"/>
    <s v="Sem rota"/>
    <n v="0"/>
    <m/>
    <n v="0"/>
    <m/>
    <n v="0"/>
    <s v="Logber"/>
    <s v="FOB"/>
    <s v=""/>
    <n v="1.03"/>
    <s v="agosto_2021"/>
    <s v=""/>
  </r>
  <r>
    <n v="15908"/>
    <x v="10"/>
    <n v="92754738047983"/>
    <s v="Lojas Renner S.A"/>
    <s v="Cabreuva"/>
    <s v="SP"/>
    <n v="800804"/>
    <m/>
    <s v="V"/>
    <s v="PE"/>
    <s v="Normal"/>
    <s v="16216 01 C"/>
    <m/>
    <d v="2021-08-09T00:00:00"/>
    <d v="2021-10-07T00:00:00"/>
    <d v="2021-09-23T00:00:00"/>
    <s v="  /  /  "/>
    <n v="0"/>
    <s v="  /  /  "/>
    <n v="0"/>
    <s v="                                        "/>
    <s v="  /  /  "/>
    <s v="sa502"/>
    <d v="2021-09-23T00:00:00"/>
    <s v="Sem rota"/>
    <n v="0"/>
    <m/>
    <n v="0"/>
    <m/>
    <n v="0"/>
    <m/>
    <s v="CIF"/>
    <s v=""/>
    <n v="1.03"/>
    <s v="outubro_2021"/>
    <s v=""/>
  </r>
  <r>
    <n v="0"/>
    <x v="33"/>
    <n v="87556650001682"/>
    <s v="Bertolini S.A"/>
    <s v="Colatina"/>
    <s v="ES"/>
    <n v="800590"/>
    <m/>
    <s v="O"/>
    <s v="MI"/>
    <s v="Normal"/>
    <m/>
    <s v="BIOMBOS PARA SOLDA"/>
    <d v="2021-02-18T00:00:00"/>
    <d v="2021-10-08T00:00:00"/>
    <d v="2021-02-25T00:00:00"/>
    <s v="  /  /  "/>
    <n v="0"/>
    <s v="  /  /  "/>
    <n v="0"/>
    <s v="                                        "/>
    <s v="  /  /  "/>
    <s v="SA207"/>
    <d v="2021-03-01T00:00:00"/>
    <s v="Sem rota"/>
    <n v="0"/>
    <m/>
    <n v="0"/>
    <m/>
    <n v="0"/>
    <s v="Logber"/>
    <s v="FOB"/>
    <s v=""/>
    <n v="1"/>
    <s v="outubro_2021"/>
    <s v=""/>
  </r>
  <r>
    <n v="15000"/>
    <x v="26"/>
    <n v="87556650000104"/>
    <s v="Bertolini S/A"/>
    <s v="Bento Goncalves"/>
    <s v="RS"/>
    <n v="800664"/>
    <s v="PP1"/>
    <s v="T"/>
    <s v="PE"/>
    <s v="Normal"/>
    <m/>
    <m/>
    <d v="2021-04-14T00:00:00"/>
    <d v="2021-10-08T00:00:00"/>
    <d v="2021-04-15T00:00:00"/>
    <s v="  /  /  "/>
    <n v="0"/>
    <s v="  /  /  "/>
    <n v="0"/>
    <s v="                                        "/>
    <s v="  /  /  "/>
    <s v="sa295"/>
    <d v="2021-04-16T00:00:00"/>
    <s v="Rs"/>
    <n v="0"/>
    <m/>
    <n v="0"/>
    <m/>
    <n v="0"/>
    <s v="Logber"/>
    <s v="CIF"/>
    <n v="0"/>
    <n v="152.62"/>
    <s v="outubro_2021"/>
    <n v="0"/>
  </r>
  <r>
    <n v="15000"/>
    <x v="26"/>
    <n v="3002339014418"/>
    <s v="Maxmix Comercial Ltda"/>
    <s v="Cabreuva"/>
    <s v="SP"/>
    <n v="800809"/>
    <s v="PSL1"/>
    <s v="V"/>
    <s v="PE"/>
    <s v="Normal"/>
    <s v="22969 08 J"/>
    <m/>
    <d v="2021-09-01T00:00:00"/>
    <d v="2021-10-08T00:00:00"/>
    <d v="2021-09-15T00:00:00"/>
    <s v="  /  /  "/>
    <n v="0"/>
    <s v="  /  /  "/>
    <n v="0"/>
    <s v="                                        "/>
    <s v="  /  /  "/>
    <s v="sa462"/>
    <d v="2021-09-15T00:00:00"/>
    <s v="Sem rota"/>
    <n v="0"/>
    <m/>
    <n v="0"/>
    <m/>
    <n v="0"/>
    <s v="Logber - Colatina Es"/>
    <s v="CIF"/>
    <s v=""/>
    <n v="1.03"/>
    <s v="outubro_2021"/>
    <s v=""/>
  </r>
  <r>
    <n v="15000"/>
    <x v="26"/>
    <n v="87556650001410"/>
    <s v="Bertolini S.A"/>
    <s v="Bento Goncalves"/>
    <s v="RS"/>
    <n v="800001"/>
    <s v="PP1"/>
    <s v="T"/>
    <s v="FP"/>
    <s v="Normal"/>
    <m/>
    <s v="PROTÓTIPO RENNER"/>
    <d v="2020-09-23T00:00:00"/>
    <d v="2021-10-08T00:00:00"/>
    <d v="2020-09-24T00:00:00"/>
    <d v="2020-11-28T00:00:00"/>
    <n v="949"/>
    <d v="2020-11-28T00:00:00"/>
    <n v="949"/>
    <s v="                                        "/>
    <s v="  /  /  "/>
    <s v="sa40"/>
    <d v="2020-09-25T00:00:00"/>
    <s v="Sem rota"/>
    <n v="11"/>
    <s v="1 DDF Com 12% de Acréscimo"/>
    <n v="0"/>
    <m/>
    <n v="0"/>
    <s v="Logber - Colatina Es"/>
    <s v="CIF"/>
    <n v="0"/>
    <n v="2313.46"/>
    <s v="outubro_2021"/>
    <n v="0"/>
  </r>
  <r>
    <n v="15000"/>
    <x v="26"/>
    <n v="92754738047983"/>
    <s v="Lojas Renner S.A"/>
    <s v="Cabreuva"/>
    <s v="SP"/>
    <n v="800631"/>
    <m/>
    <s v="V"/>
    <s v="PE"/>
    <s v="Normal"/>
    <s v="18204 07 G"/>
    <m/>
    <d v="2021-03-16T00:00:00"/>
    <d v="2021-10-18T00:00:00"/>
    <d v="2022-03-15T00:00:00"/>
    <s v="  /  /  "/>
    <n v="0"/>
    <s v="  /  /  "/>
    <n v="0"/>
    <s v="                                        "/>
    <s v="  /  /  "/>
    <s v="sa504"/>
    <d v="2021-09-27T00:00:00"/>
    <s v="Sem rota"/>
    <n v="0"/>
    <m/>
    <n v="0"/>
    <m/>
    <n v="0"/>
    <s v="Logber - Colatina Es"/>
    <s v="CIF"/>
    <n v="0"/>
    <n v="1"/>
    <s v="outubro_2021"/>
    <n v="0"/>
  </r>
  <r>
    <n v="15062"/>
    <x v="1"/>
    <n v="47960950058804"/>
    <s v="Magazine Luiza S/A"/>
    <s v="Guarulhos"/>
    <s v="SP"/>
    <n v="800815"/>
    <m/>
    <s v="V"/>
    <s v="PE"/>
    <s v="Normal"/>
    <s v="24623 04 F"/>
    <m/>
    <d v="2021-12-21T00:00:00"/>
    <d v="2021-12-24T00:00:00"/>
    <d v="2021-12-21T00:00:00"/>
    <s v="  /  /  "/>
    <n v="0"/>
    <s v="  /  /  "/>
    <n v="0"/>
    <s v="                                        "/>
    <s v="  /  /  "/>
    <s v="sa579"/>
    <d v="2021-12-21T00:00:00"/>
    <s v="Sem rota"/>
    <n v="0"/>
    <m/>
    <n v="0"/>
    <m/>
    <n v="0"/>
    <s v="Logber - Colatina Es"/>
    <s v="CIF"/>
    <s v=""/>
    <n v="0"/>
    <s v="dezembro_2021"/>
    <s v=""/>
  </r>
  <r>
    <n v="0"/>
    <x v="33"/>
    <n v="3726636000103"/>
    <s v="Gravomark Comercio de Equipamentos Indu."/>
    <s v="Sao Paulo"/>
    <s v="SP"/>
    <n v="723"/>
    <m/>
    <s v="O"/>
    <s v="MI"/>
    <s v="Normal"/>
    <m/>
    <m/>
    <d v="2021-08-03T00:00:00"/>
    <d v="2022-01-31T00:00:00"/>
    <d v="2021-08-03T00:00:00"/>
    <s v="  /  /  "/>
    <n v="0"/>
    <s v="  /  /  "/>
    <n v="0"/>
    <s v="                                        "/>
    <s v="  /  /  "/>
    <m/>
    <s v="/  /"/>
    <s v="Sem rota"/>
    <n v="0"/>
    <m/>
    <n v="0"/>
    <m/>
    <n v="0"/>
    <s v="Correios- Colatina"/>
    <s v="CIF"/>
    <n v="0"/>
    <n v="1.1000000000000001"/>
    <s v="janeiro_2022"/>
    <n v="0"/>
  </r>
  <r>
    <n v="15069"/>
    <x v="6"/>
    <n v="8326720000153"/>
    <s v="Cirne Irmaos &amp; Cia Ltda"/>
    <s v="Natal"/>
    <s v="RN"/>
    <n v="800746"/>
    <s v="PP3"/>
    <s v="O"/>
    <s v="PE"/>
    <s v="Normal"/>
    <s v="17695 07 G"/>
    <m/>
    <d v="2021-05-11T00:00:00"/>
    <d v="2022-04-04T00:00:00"/>
    <d v="2021-12-17T00:00:00"/>
    <s v="  /  /  "/>
    <n v="0"/>
    <s v="  /  /  "/>
    <n v="0"/>
    <s v="                                        "/>
    <s v="  /  /  "/>
    <s v="sa431"/>
    <d v="2021-08-19T00:00:00"/>
    <s v="Sem rota"/>
    <n v="0"/>
    <m/>
    <n v="0"/>
    <m/>
    <n v="0"/>
    <m/>
    <s v="CIF"/>
    <n v="155.02000000000001"/>
    <n v="1.02"/>
    <s v="abril_2022"/>
    <n v="155.02000000000001"/>
  </r>
  <r>
    <n v="15069"/>
    <x v="6"/>
    <n v="8326720000153"/>
    <s v="Cirne Irmaos &amp; Cia Ltda"/>
    <s v="Natal"/>
    <s v="RN"/>
    <n v="800747"/>
    <s v="PP3"/>
    <s v="O"/>
    <s v="PE"/>
    <s v="Normal"/>
    <s v="17695 07 G"/>
    <m/>
    <d v="2021-05-11T00:00:00"/>
    <d v="2022-05-28T00:00:00"/>
    <d v="2021-12-17T00:00:00"/>
    <s v="  /  /  "/>
    <n v="0"/>
    <s v="  /  /  "/>
    <n v="0"/>
    <s v="                                        "/>
    <s v="  /  /  "/>
    <s v="sa431"/>
    <d v="2021-08-19T00:00:00"/>
    <s v="Sem rota"/>
    <n v="0"/>
    <m/>
    <n v="0"/>
    <m/>
    <n v="0"/>
    <m/>
    <s v="CIF"/>
    <n v="173.47"/>
    <n v="-5.16"/>
    <s v="maio_2022"/>
    <n v="173.47"/>
  </r>
  <r>
    <n v="15069"/>
    <x v="6"/>
    <n v="8326720000153"/>
    <s v="Cirne Irmaos &amp; Cia Ltda"/>
    <s v="Natal"/>
    <s v="RN"/>
    <n v="800745"/>
    <s v="PP3"/>
    <s v="O"/>
    <s v="PE"/>
    <s v="Normal"/>
    <s v="17695 07 G"/>
    <m/>
    <d v="2021-05-11T00:00:00"/>
    <d v="2022-05-31T00:00:00"/>
    <d v="2021-12-17T00:00:00"/>
    <s v="  /  /  "/>
    <n v="0"/>
    <s v="  /  /  "/>
    <n v="0"/>
    <s v="                                        "/>
    <s v="  /  /  "/>
    <s v="sa431"/>
    <d v="2021-08-19T00:00:00"/>
    <s v="Sem rota"/>
    <n v="0"/>
    <m/>
    <n v="0"/>
    <m/>
    <n v="0"/>
    <m/>
    <s v="CIF"/>
    <n v="145.18"/>
    <n v="-1.04"/>
    <s v="maio_2022"/>
    <n v="145.18"/>
  </r>
  <r>
    <n v="15070"/>
    <x v="14"/>
    <n v="77595395005025"/>
    <s v="Frimesa Cooperativa Central"/>
    <s v="Assis Chateaubriand"/>
    <s v="PR"/>
    <n v="800704"/>
    <s v="DRI2"/>
    <s v="O"/>
    <s v="PE"/>
    <s v="Normal"/>
    <s v="22593 08 G"/>
    <n v="2260950"/>
    <d v="2021-03-30T00:00:00"/>
    <d v="2022-06-27T00:00:00"/>
    <d v="2021-10-25T00:00:00"/>
    <s v="  /  /  "/>
    <n v="0"/>
    <s v="  /  /  "/>
    <n v="0"/>
    <s v="                                        "/>
    <s v="  /  /  "/>
    <s v="sa302"/>
    <d v="2021-05-14T00:00:00"/>
    <s v="Sem rota"/>
    <n v="0"/>
    <m/>
    <n v="0"/>
    <m/>
    <n v="0"/>
    <s v="Logber - Colatina Es"/>
    <s v="CIF"/>
    <n v="23385.100000000002"/>
    <n v="-6.2"/>
    <s v="junho_2022"/>
    <n v="23385.10000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292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>
  <location ref="A11:C26" firstHeaderRow="0" firstDataRow="1" firstDataCol="1" rowPageCount="2" colPageCount="1"/>
  <pivotFields count="37">
    <pivotField showAll="0"/>
    <pivotField axis="axisPage" multipleItemSelectionAllowed="1" showAll="0">
      <items count="60">
        <item m="1" x="35"/>
        <item x="2"/>
        <item x="17"/>
        <item x="0"/>
        <item x="24"/>
        <item m="1" x="39"/>
        <item m="1" x="41"/>
        <item x="9"/>
        <item x="32"/>
        <item x="1"/>
        <item m="1" x="57"/>
        <item x="23"/>
        <item x="25"/>
        <item x="4"/>
        <item x="13"/>
        <item m="1" x="36"/>
        <item m="1" x="51"/>
        <item m="1" x="58"/>
        <item x="3"/>
        <item m="1" x="56"/>
        <item x="20"/>
        <item x="18"/>
        <item m="1" x="43"/>
        <item x="7"/>
        <item x="33"/>
        <item h="1" m="1" x="45"/>
        <item m="1" x="49"/>
        <item x="14"/>
        <item h="1" m="1" x="55"/>
        <item h="1" m="1" x="50"/>
        <item x="21"/>
        <item h="1" m="1" x="54"/>
        <item x="5"/>
        <item x="16"/>
        <item m="1" x="46"/>
        <item x="31"/>
        <item h="1" m="1" x="53"/>
        <item m="1" x="48"/>
        <item m="1" x="44"/>
        <item m="1" x="52"/>
        <item m="1" x="38"/>
        <item x="15"/>
        <item m="1" x="40"/>
        <item x="10"/>
        <item m="1" x="37"/>
        <item x="26"/>
        <item h="1" m="1" x="42"/>
        <item h="1" x="11"/>
        <item h="1" x="8"/>
        <item h="1" m="1" x="34"/>
        <item h="1" x="6"/>
        <item h="1" x="30"/>
        <item h="1" x="22"/>
        <item h="1" x="12"/>
        <item h="1" x="19"/>
        <item h="1" m="1" x="47"/>
        <item h="1" x="29"/>
        <item h="1" x="27"/>
        <item h="1" x="28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28">
        <item x="8"/>
        <item sd="0" x="11"/>
        <item x="13"/>
        <item x="21"/>
        <item x="18"/>
        <item x="15"/>
        <item h="1" m="1" x="26"/>
        <item h="1" x="0"/>
        <item h="1" x="1"/>
        <item h="1" x="6"/>
        <item h="1" x="2"/>
        <item h="1" x="23"/>
        <item h="1" x="22"/>
        <item h="1" x="17"/>
        <item h="1" x="7"/>
        <item h="1" x="3"/>
        <item h="1" x="5"/>
        <item h="1" x="10"/>
        <item h="1" x="12"/>
        <item h="1" x="16"/>
        <item h="1" x="14"/>
        <item h="1" x="9"/>
        <item h="1" x="4"/>
        <item h="1" x="19"/>
        <item h="1" x="24"/>
        <item h="1" x="25"/>
        <item h="1" x="20"/>
        <item t="default"/>
      </items>
    </pivotField>
    <pivotField showAll="0"/>
    <pivotField showAll="0"/>
    <pivotField showAll="0"/>
    <pivotField showAll="0"/>
    <pivotField showAll="0"/>
    <pivotField numFmtId="14" showAll="0"/>
    <pivotField numFmtId="14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axis="axisRow" showAll="0" sortType="ascending">
      <items count="357">
        <item sd="0" m="1" x="24"/>
        <item m="1" x="226"/>
        <item sd="0" m="1" x="119"/>
        <item sd="0" m="1" x="230"/>
        <item sd="0" m="1" x="344"/>
        <item sd="0" m="1" x="67"/>
        <item sd="0" m="1" x="124"/>
        <item sd="0" m="1" x="179"/>
        <item sd="0" m="1" x="236"/>
        <item sd="0" m="1" x="262"/>
        <item sd="0" m="1" x="293"/>
        <item sd="0" m="1" x="320"/>
        <item sd="0" m="1" x="349"/>
        <item sd="0" m="1" x="43"/>
        <item sd="0" m="1" x="74"/>
        <item sd="0" m="1" x="101"/>
        <item sd="0" m="1" x="127"/>
        <item sd="0" m="1" x="140"/>
        <item sd="0" m="1" x="153"/>
        <item sd="0" m="1" x="171"/>
        <item sd="0" m="1" x="185"/>
        <item sd="0" m="1" x="199"/>
        <item sd="0" m="1" x="215"/>
        <item sd="0" m="1" x="227"/>
        <item sd="0" m="1" x="241"/>
        <item sd="0" m="1" x="253"/>
        <item sd="0" m="1" x="267"/>
        <item sd="0" m="1" x="281"/>
        <item sd="0" m="1" x="300"/>
        <item sd="0" m="1" x="314"/>
        <item sd="0" m="1" x="327"/>
        <item sd="0" m="1" x="340"/>
        <item sd="0" m="1" x="353"/>
        <item sd="0" m="1" x="193"/>
        <item sd="0" m="1" x="37"/>
        <item sd="0" m="1" x="209"/>
        <item sd="0" m="1" x="48"/>
        <item sd="0" m="1" x="222"/>
        <item sd="0" m="1" x="59"/>
        <item sd="0" m="1" x="237"/>
        <item sd="0" m="1" x="78"/>
        <item sd="0" m="1" x="248"/>
        <item sd="0" m="1" x="89"/>
        <item sd="0" m="1" x="263"/>
        <item sd="0" m="1" x="105"/>
        <item sd="0" m="1" x="278"/>
        <item sd="0" m="1" x="120"/>
        <item m="1" x="294"/>
        <item sd="0" m="1" x="132"/>
        <item sd="0" m="1" x="308"/>
        <item m="1" x="143"/>
        <item sd="0" m="1" x="321"/>
        <item m="1" x="161"/>
        <item sd="0" m="1" x="334"/>
        <item m="1" x="287"/>
        <item m="1" x="144"/>
        <item m="1" x="295"/>
        <item m="1" x="268"/>
        <item m="1" x="102"/>
        <item m="1" x="106"/>
        <item m="1" x="275"/>
        <item m="1" x="242"/>
        <item m="1" x="345"/>
        <item m="1" x="31"/>
        <item m="1" x="25"/>
        <item m="1" x="223"/>
        <item m="1" x="243"/>
        <item m="1" x="84"/>
        <item m="1" x="269"/>
        <item m="1" x="218"/>
        <item m="1" x="254"/>
        <item m="1" x="93"/>
        <item m="1" x="270"/>
        <item m="1" x="112"/>
        <item m="1" x="125"/>
        <item m="1" x="302"/>
        <item m="1" x="121"/>
        <item m="1" x="136"/>
        <item m="1" x="206"/>
        <item m="1" x="224"/>
        <item m="1" x="258"/>
        <item m="1" x="60"/>
        <item m="1" x="79"/>
        <item m="1" x="231"/>
        <item m="1" x="249"/>
        <item m="1" x="75"/>
        <item m="1" x="91"/>
        <item m="1" x="259"/>
        <item m="1" x="189"/>
        <item m="1" x="346"/>
        <item m="1" x="32"/>
        <item m="1" x="68"/>
        <item m="1" x="166"/>
        <item m="1" x="186"/>
        <item m="1" x="26"/>
        <item m="1" x="200"/>
        <item m="1" x="41"/>
        <item m="1" x="57"/>
        <item m="1" x="216"/>
        <item m="1" x="51"/>
        <item m="1" x="228"/>
        <item m="1" x="69"/>
        <item m="1" x="315"/>
        <item m="1" x="149"/>
        <item m="1" x="180"/>
        <item m="1" x="210"/>
        <item m="1" x="309"/>
        <item m="1" x="328"/>
        <item m="1" x="167"/>
        <item m="1" x="322"/>
        <item m="1" x="341"/>
        <item m="1" x="181"/>
        <item m="1" x="354"/>
        <item m="1" x="194"/>
        <item m="1" x="172"/>
        <item m="1" x="38"/>
        <item m="1" x="211"/>
        <item m="1" x="122"/>
        <item m="1" x="296"/>
        <item m="1" x="350"/>
        <item m="1" x="133"/>
        <item m="1" x="310"/>
        <item m="1" x="154"/>
        <item m="1" x="301"/>
        <item m="1" x="90"/>
        <item m="1" x="107"/>
        <item m="1" x="246"/>
        <item x="15"/>
        <item x="2"/>
        <item x="8"/>
        <item x="19"/>
        <item x="12"/>
        <item x="4"/>
        <item m="1" x="103"/>
        <item m="1" x="255"/>
        <item m="1" x="88"/>
        <item x="0"/>
        <item x="13"/>
        <item x="7"/>
        <item x="18"/>
        <item x="6"/>
        <item x="17"/>
        <item x="5"/>
        <item x="16"/>
        <item x="1"/>
        <item x="23"/>
        <item x="14"/>
        <item m="1" x="150"/>
        <item x="11"/>
        <item x="22"/>
        <item x="3"/>
        <item x="10"/>
        <item x="21"/>
        <item x="9"/>
        <item x="20"/>
        <item m="1" x="316"/>
        <item m="1" x="335"/>
        <item m="1" x="94"/>
        <item m="1" x="108"/>
        <item m="1" x="128"/>
        <item m="1" x="95"/>
        <item m="1" x="113"/>
        <item m="1" x="155"/>
        <item m="1" x="282"/>
        <item m="1" x="52"/>
        <item m="1" x="323"/>
        <item m="1" x="311"/>
        <item m="1" x="201"/>
        <item m="1" x="212"/>
        <item m="1" x="324"/>
        <item m="1" x="61"/>
        <item m="1" x="137"/>
        <item m="1" x="202"/>
        <item m="1" x="145"/>
        <item m="1" x="288"/>
        <item m="1" x="96"/>
        <item m="1" x="70"/>
        <item m="1" x="156"/>
        <item m="1" x="53"/>
        <item m="1" x="336"/>
        <item m="1" x="283"/>
        <item m="1" x="297"/>
        <item m="1" x="244"/>
        <item m="1" x="264"/>
        <item m="1" x="76"/>
        <item m="1" x="114"/>
        <item m="1" x="329"/>
        <item m="1" x="134"/>
        <item m="1" x="85"/>
        <item m="1" x="33"/>
        <item m="1" x="317"/>
        <item m="1" x="157"/>
        <item m="1" x="303"/>
        <item m="1" x="284"/>
        <item m="1" x="182"/>
        <item m="1" x="271"/>
        <item m="1" x="190"/>
        <item m="1" x="331"/>
        <item m="1" x="176"/>
        <item m="1" x="265"/>
        <item m="1" x="162"/>
        <item m="1" x="304"/>
        <item m="1" x="146"/>
        <item m="1" x="44"/>
        <item m="1" x="260"/>
        <item m="1" x="71"/>
        <item m="1" x="213"/>
        <item m="1" x="195"/>
        <item m="1" x="285"/>
        <item m="1" x="232"/>
        <item m="1" x="183"/>
        <item m="1" x="272"/>
        <item m="1" x="80"/>
        <item m="1" x="219"/>
        <item m="1" x="27"/>
        <item m="1" x="168"/>
        <item m="1" x="62"/>
        <item m="1" x="207"/>
        <item m="1" x="347"/>
        <item m="1" x="49"/>
        <item m="1" x="138"/>
        <item m="1" x="229"/>
        <item m="1" x="39"/>
        <item m="1" x="126"/>
        <item m="1" x="355"/>
        <item m="1" x="305"/>
        <item m="1" x="115"/>
        <item m="1" x="203"/>
        <item m="1" x="342"/>
        <item m="1" x="147"/>
        <item m="1" x="289"/>
        <item m="1" x="97"/>
        <item m="1" x="45"/>
        <item m="1" x="187"/>
        <item m="1" x="351"/>
        <item m="1" x="158"/>
        <item m="1" x="109"/>
        <item m="1" x="196"/>
        <item m="1" x="337"/>
        <item m="1" x="92"/>
        <item m="1" x="233"/>
        <item m="1" x="325"/>
        <item m="1" x="273"/>
        <item m="1" x="81"/>
        <item m="1" x="220"/>
        <item m="1" x="169"/>
        <item m="1" x="312"/>
        <item m="1" x="63"/>
        <item m="1" x="177"/>
        <item m="1" x="319"/>
        <item m="1" x="77"/>
        <item m="1" x="163"/>
        <item m="1" x="306"/>
        <item m="1" x="58"/>
        <item m="1" x="204"/>
        <item m="1" x="343"/>
        <item m="1" x="148"/>
        <item m="1" x="290"/>
        <item m="1" x="238"/>
        <item m="1" x="46"/>
        <item m="1" x="276"/>
        <item m="1" x="34"/>
        <item m="1" x="173"/>
        <item m="1" x="318"/>
        <item m="1" x="123"/>
        <item m="1" x="197"/>
        <item m="1" x="338"/>
        <item m="1" x="141"/>
        <item m="1" x="286"/>
        <item m="1" x="234"/>
        <item m="1" x="184"/>
        <item m="1" x="129"/>
        <item m="1" x="274"/>
        <item m="1" x="82"/>
        <item m="1" x="221"/>
        <item m="1" x="28"/>
        <item m="1" x="170"/>
        <item m="1" x="313"/>
        <item m="1" x="256"/>
        <item m="1" x="64"/>
        <item m="1" x="208"/>
        <item m="1" x="348"/>
        <item m="1" x="151"/>
        <item m="1" x="298"/>
        <item m="1" x="245"/>
        <item m="1" x="191"/>
        <item m="1" x="332"/>
        <item m="1" x="139"/>
        <item m="1" x="279"/>
        <item m="1" x="164"/>
        <item m="1" x="307"/>
        <item m="1" x="250"/>
        <item m="1" x="205"/>
        <item m="1" x="291"/>
        <item m="1" x="98"/>
        <item m="1" x="239"/>
        <item m="1" x="47"/>
        <item m="1" x="188"/>
        <item m="1" x="330"/>
        <item m="1" x="135"/>
        <item m="1" x="86"/>
        <item m="1" x="225"/>
        <item m="1" x="35"/>
        <item m="1" x="174"/>
        <item m="1" x="261"/>
        <item m="1" x="72"/>
        <item m="1" x="214"/>
        <item m="1" x="352"/>
        <item m="1" x="159"/>
        <item m="1" x="110"/>
        <item m="1" x="247"/>
        <item m="1" x="54"/>
        <item m="1" x="130"/>
        <item m="1" x="83"/>
        <item m="1" x="117"/>
        <item m="1" x="257"/>
        <item m="1" x="65"/>
        <item m="1" x="152"/>
        <item m="1" x="104"/>
        <item m="1" x="50"/>
        <item m="1" x="192"/>
        <item m="1" x="40"/>
        <item m="1" x="217"/>
        <item m="1" x="99"/>
        <item m="1" x="240"/>
        <item m="1" x="277"/>
        <item m="1" x="87"/>
        <item m="1" x="73"/>
        <item m="1" x="111"/>
        <item m="1" x="55"/>
        <item m="1" x="339"/>
        <item m="1" x="42"/>
        <item m="1" x="299"/>
        <item m="1" x="333"/>
        <item m="1" x="280"/>
        <item m="1" x="266"/>
        <item m="1" x="251"/>
        <item m="1" x="36"/>
        <item m="1" x="175"/>
        <item m="1" x="160"/>
        <item m="1" x="198"/>
        <item m="1" x="142"/>
        <item m="1" x="235"/>
        <item m="1" x="326"/>
        <item m="1" x="131"/>
        <item m="1" x="118"/>
        <item m="1" x="178"/>
        <item m="1" x="165"/>
        <item m="1" x="116"/>
        <item m="1" x="252"/>
        <item m="1" x="292"/>
        <item m="1" x="100"/>
        <item m="1" x="56"/>
        <item m="1" x="29"/>
        <item m="1" x="66"/>
        <item m="1" x="30"/>
        <item t="default" sd="0"/>
      </items>
    </pivotField>
    <pivotField showAll="0"/>
    <pivotField dragToRow="0" dragToCol="0" dragToPage="0" showAll="0" defaultSubtotal="0"/>
  </pivotFields>
  <rowFields count="1">
    <field x="34"/>
  </rowFields>
  <rowItems count="15">
    <i>
      <x v="127"/>
    </i>
    <i>
      <x v="129"/>
    </i>
    <i>
      <x v="130"/>
    </i>
    <i>
      <x v="131"/>
    </i>
    <i>
      <x v="137"/>
    </i>
    <i>
      <x v="139"/>
    </i>
    <i>
      <x v="141"/>
    </i>
    <i>
      <x v="142"/>
    </i>
    <i>
      <x v="143"/>
    </i>
    <i>
      <x v="146"/>
    </i>
    <i>
      <x v="149"/>
    </i>
    <i>
      <x v="151"/>
    </i>
    <i>
      <x v="152"/>
    </i>
    <i>
      <x v="154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7" hier="-1"/>
  </pageFields>
  <dataFields count="2">
    <dataField name="Soma de Valor" fld="33" baseField="14" baseItem="12" numFmtId="42"/>
    <dataField name="Soma de Peso bruto" fld="32" baseField="34" baseItem="41" numFmtId="164"/>
  </dataFields>
  <formats count="1">
    <format dxfId="1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a dinâmica2" cacheId="292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1">
  <location ref="E10:L26" firstHeaderRow="1" firstDataRow="2" firstDataCol="1" rowPageCount="1" colPageCount="1"/>
  <pivotFields count="37">
    <pivotField showAll="0"/>
    <pivotField axis="axisPage" multipleItemSelectionAllowed="1" showAll="0">
      <items count="60">
        <item m="1" x="35"/>
        <item x="2"/>
        <item x="17"/>
        <item x="0"/>
        <item x="24"/>
        <item m="1" x="39"/>
        <item m="1" x="41"/>
        <item x="9"/>
        <item x="32"/>
        <item x="1"/>
        <item m="1" x="57"/>
        <item x="23"/>
        <item x="25"/>
        <item x="4"/>
        <item x="13"/>
        <item m="1" x="36"/>
        <item m="1" x="51"/>
        <item m="1" x="58"/>
        <item x="3"/>
        <item m="1" x="56"/>
        <item x="20"/>
        <item x="18"/>
        <item m="1" x="43"/>
        <item x="7"/>
        <item x="33"/>
        <item h="1" m="1" x="45"/>
        <item m="1" x="49"/>
        <item x="14"/>
        <item h="1" m="1" x="55"/>
        <item h="1" m="1" x="50"/>
        <item x="21"/>
        <item h="1" m="1" x="54"/>
        <item x="5"/>
        <item x="16"/>
        <item m="1" x="46"/>
        <item x="31"/>
        <item h="1" m="1" x="53"/>
        <item m="1" x="48"/>
        <item m="1" x="44"/>
        <item m="1" x="52"/>
        <item m="1" x="38"/>
        <item x="15"/>
        <item m="1" x="40"/>
        <item x="10"/>
        <item m="1" x="37"/>
        <item x="26"/>
        <item h="1" m="1" x="42"/>
        <item h="1" x="11"/>
        <item h="1" x="8"/>
        <item h="1" m="1" x="34"/>
        <item h="1" x="6"/>
        <item h="1" x="30"/>
        <item h="1" x="22"/>
        <item h="1" x="12"/>
        <item h="1" x="19"/>
        <item h="1" m="1" x="47"/>
        <item h="1" x="29"/>
        <item h="1" x="27"/>
        <item h="1" x="28"/>
        <item t="default"/>
      </items>
    </pivotField>
    <pivotField showAll="0"/>
    <pivotField showAll="0"/>
    <pivotField showAll="0"/>
    <pivotField showAll="0"/>
    <pivotField showAll="0"/>
    <pivotField axis="axisCol" showAll="0">
      <items count="28">
        <item x="8"/>
        <item x="11"/>
        <item x="13"/>
        <item x="21"/>
        <item x="18"/>
        <item x="15"/>
        <item h="1" m="1" x="26"/>
        <item h="1" x="0"/>
        <item h="1" x="1"/>
        <item h="1" x="6"/>
        <item h="1" x="2"/>
        <item h="1" x="23"/>
        <item h="1" x="22"/>
        <item h="1" x="17"/>
        <item h="1" x="7"/>
        <item h="1" x="3"/>
        <item h="1" x="5"/>
        <item h="1" x="10"/>
        <item h="1" x="12"/>
        <item h="1" x="16"/>
        <item h="1" x="14"/>
        <item h="1" x="9"/>
        <item h="1" x="4"/>
        <item h="1" x="19"/>
        <item h="1" x="24"/>
        <item h="1" x="25"/>
        <item h="1" x="20"/>
        <item t="default"/>
      </items>
    </pivotField>
    <pivotField showAll="0"/>
    <pivotField showAll="0"/>
    <pivotField showAll="0"/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 sortType="ascending">
      <items count="357">
        <item m="1" x="24"/>
        <item m="1" x="226"/>
        <item sd="0" m="1" x="119"/>
        <item sd="0" m="1" x="230"/>
        <item sd="0" m="1" x="344"/>
        <item sd="0" m="1" x="67"/>
        <item sd="0" m="1" x="124"/>
        <item sd="0" m="1" x="179"/>
        <item sd="0" m="1" x="236"/>
        <item sd="0" m="1" x="262"/>
        <item sd="0" m="1" x="293"/>
        <item sd="0" m="1" x="320"/>
        <item sd="0" m="1" x="349"/>
        <item sd="0" m="1" x="43"/>
        <item sd="0" m="1" x="74"/>
        <item sd="0" m="1" x="101"/>
        <item sd="0" m="1" x="127"/>
        <item sd="0" m="1" x="140"/>
        <item sd="0" m="1" x="153"/>
        <item sd="0" m="1" x="171"/>
        <item sd="0" m="1" x="185"/>
        <item sd="0" m="1" x="199"/>
        <item sd="0" m="1" x="215"/>
        <item sd="0" m="1" x="227"/>
        <item sd="0" m="1" x="241"/>
        <item sd="0" m="1" x="253"/>
        <item sd="0" m="1" x="267"/>
        <item sd="0" m="1" x="281"/>
        <item sd="0" m="1" x="300"/>
        <item sd="0" m="1" x="314"/>
        <item sd="0" m="1" x="327"/>
        <item sd="0" m="1" x="340"/>
        <item sd="0" m="1" x="353"/>
        <item m="1" x="193"/>
        <item m="1" x="37"/>
        <item sd="0" m="1" x="209"/>
        <item sd="0" m="1" x="48"/>
        <item sd="0" m="1" x="222"/>
        <item sd="0" m="1" x="59"/>
        <item sd="0" m="1" x="237"/>
        <item sd="0" m="1" x="78"/>
        <item m="1" x="248"/>
        <item sd="0" m="1" x="89"/>
        <item sd="0" m="1" x="263"/>
        <item m="1" x="105"/>
        <item m="1" x="278"/>
        <item sd="0" m="1" x="120"/>
        <item m="1" x="294"/>
        <item sd="0" m="1" x="132"/>
        <item m="1" x="308"/>
        <item m="1" x="143"/>
        <item m="1" x="321"/>
        <item m="1" x="161"/>
        <item sd="0" m="1" x="334"/>
        <item m="1" x="287"/>
        <item m="1" x="144"/>
        <item m="1" x="295"/>
        <item m="1" x="268"/>
        <item m="1" x="102"/>
        <item m="1" x="106"/>
        <item m="1" x="275"/>
        <item m="1" x="242"/>
        <item m="1" x="345"/>
        <item m="1" x="31"/>
        <item m="1" x="25"/>
        <item m="1" x="223"/>
        <item m="1" x="243"/>
        <item m="1" x="84"/>
        <item m="1" x="269"/>
        <item m="1" x="218"/>
        <item m="1" x="254"/>
        <item m="1" x="93"/>
        <item m="1" x="270"/>
        <item m="1" x="112"/>
        <item m="1" x="125"/>
        <item m="1" x="302"/>
        <item m="1" x="121"/>
        <item m="1" x="136"/>
        <item m="1" x="206"/>
        <item m="1" x="224"/>
        <item m="1" x="258"/>
        <item m="1" x="60"/>
        <item m="1" x="79"/>
        <item m="1" x="231"/>
        <item m="1" x="249"/>
        <item m="1" x="75"/>
        <item m="1" x="91"/>
        <item m="1" x="259"/>
        <item m="1" x="189"/>
        <item m="1" x="346"/>
        <item m="1" x="32"/>
        <item m="1" x="68"/>
        <item m="1" x="166"/>
        <item m="1" x="186"/>
        <item m="1" x="26"/>
        <item m="1" x="200"/>
        <item m="1" x="41"/>
        <item m="1" x="57"/>
        <item m="1" x="216"/>
        <item m="1" x="51"/>
        <item m="1" x="228"/>
        <item m="1" x="69"/>
        <item m="1" x="315"/>
        <item m="1" x="149"/>
        <item m="1" x="180"/>
        <item m="1" x="210"/>
        <item m="1" x="309"/>
        <item m="1" x="328"/>
        <item m="1" x="167"/>
        <item m="1" x="322"/>
        <item m="1" x="341"/>
        <item m="1" x="181"/>
        <item m="1" x="354"/>
        <item m="1" x="194"/>
        <item m="1" x="172"/>
        <item m="1" x="38"/>
        <item m="1" x="211"/>
        <item m="1" x="122"/>
        <item m="1" x="296"/>
        <item m="1" x="350"/>
        <item m="1" x="133"/>
        <item m="1" x="310"/>
        <item m="1" x="154"/>
        <item m="1" x="301"/>
        <item m="1" x="90"/>
        <item m="1" x="107"/>
        <item m="1" x="246"/>
        <item x="15"/>
        <item x="2"/>
        <item x="8"/>
        <item x="19"/>
        <item x="12"/>
        <item x="4"/>
        <item m="1" x="103"/>
        <item m="1" x="255"/>
        <item m="1" x="88"/>
        <item x="0"/>
        <item x="13"/>
        <item x="7"/>
        <item x="18"/>
        <item x="6"/>
        <item x="17"/>
        <item x="5"/>
        <item x="16"/>
        <item x="1"/>
        <item x="23"/>
        <item x="14"/>
        <item m="1" x="150"/>
        <item x="11"/>
        <item x="22"/>
        <item x="3"/>
        <item x="10"/>
        <item x="21"/>
        <item x="9"/>
        <item x="20"/>
        <item m="1" x="316"/>
        <item m="1" x="335"/>
        <item m="1" x="94"/>
        <item m="1" x="108"/>
        <item m="1" x="128"/>
        <item m="1" x="95"/>
        <item m="1" x="113"/>
        <item m="1" x="155"/>
        <item m="1" x="282"/>
        <item m="1" x="52"/>
        <item m="1" x="323"/>
        <item m="1" x="311"/>
        <item m="1" x="201"/>
        <item m="1" x="212"/>
        <item m="1" x="324"/>
        <item m="1" x="61"/>
        <item m="1" x="137"/>
        <item m="1" x="202"/>
        <item m="1" x="145"/>
        <item m="1" x="288"/>
        <item m="1" x="96"/>
        <item m="1" x="70"/>
        <item m="1" x="156"/>
        <item m="1" x="53"/>
        <item m="1" x="336"/>
        <item m="1" x="283"/>
        <item m="1" x="297"/>
        <item m="1" x="244"/>
        <item m="1" x="264"/>
        <item m="1" x="76"/>
        <item m="1" x="114"/>
        <item m="1" x="329"/>
        <item m="1" x="134"/>
        <item m="1" x="85"/>
        <item m="1" x="33"/>
        <item m="1" x="317"/>
        <item m="1" x="157"/>
        <item m="1" x="303"/>
        <item m="1" x="284"/>
        <item m="1" x="182"/>
        <item m="1" x="271"/>
        <item m="1" x="190"/>
        <item m="1" x="331"/>
        <item m="1" x="176"/>
        <item m="1" x="265"/>
        <item m="1" x="162"/>
        <item m="1" x="304"/>
        <item m="1" x="146"/>
        <item m="1" x="44"/>
        <item m="1" x="260"/>
        <item m="1" x="71"/>
        <item m="1" x="213"/>
        <item m="1" x="195"/>
        <item m="1" x="285"/>
        <item m="1" x="232"/>
        <item m="1" x="183"/>
        <item m="1" x="272"/>
        <item m="1" x="80"/>
        <item m="1" x="219"/>
        <item m="1" x="27"/>
        <item m="1" x="168"/>
        <item m="1" x="62"/>
        <item m="1" x="207"/>
        <item m="1" x="347"/>
        <item m="1" x="49"/>
        <item m="1" x="138"/>
        <item m="1" x="229"/>
        <item m="1" x="39"/>
        <item m="1" x="126"/>
        <item m="1" x="355"/>
        <item m="1" x="305"/>
        <item m="1" x="115"/>
        <item m="1" x="203"/>
        <item m="1" x="342"/>
        <item m="1" x="147"/>
        <item m="1" x="289"/>
        <item m="1" x="97"/>
        <item m="1" x="45"/>
        <item m="1" x="187"/>
        <item m="1" x="351"/>
        <item m="1" x="158"/>
        <item m="1" x="109"/>
        <item m="1" x="196"/>
        <item m="1" x="337"/>
        <item m="1" x="92"/>
        <item m="1" x="233"/>
        <item m="1" x="325"/>
        <item m="1" x="273"/>
        <item m="1" x="81"/>
        <item m="1" x="220"/>
        <item m="1" x="169"/>
        <item m="1" x="312"/>
        <item m="1" x="63"/>
        <item m="1" x="177"/>
        <item m="1" x="319"/>
        <item m="1" x="77"/>
        <item m="1" x="163"/>
        <item m="1" x="306"/>
        <item m="1" x="58"/>
        <item m="1" x="204"/>
        <item m="1" x="343"/>
        <item m="1" x="148"/>
        <item m="1" x="290"/>
        <item m="1" x="238"/>
        <item m="1" x="46"/>
        <item m="1" x="276"/>
        <item m="1" x="34"/>
        <item m="1" x="173"/>
        <item m="1" x="318"/>
        <item m="1" x="123"/>
        <item m="1" x="197"/>
        <item m="1" x="338"/>
        <item m="1" x="141"/>
        <item m="1" x="286"/>
        <item m="1" x="234"/>
        <item m="1" x="184"/>
        <item m="1" x="129"/>
        <item m="1" x="274"/>
        <item m="1" x="82"/>
        <item m="1" x="221"/>
        <item m="1" x="28"/>
        <item m="1" x="170"/>
        <item m="1" x="313"/>
        <item m="1" x="256"/>
        <item m="1" x="64"/>
        <item m="1" x="208"/>
        <item m="1" x="348"/>
        <item m="1" x="151"/>
        <item m="1" x="298"/>
        <item m="1" x="245"/>
        <item m="1" x="191"/>
        <item m="1" x="332"/>
        <item m="1" x="139"/>
        <item m="1" x="279"/>
        <item m="1" x="164"/>
        <item m="1" x="307"/>
        <item m="1" x="250"/>
        <item m="1" x="205"/>
        <item m="1" x="291"/>
        <item m="1" x="98"/>
        <item m="1" x="239"/>
        <item m="1" x="47"/>
        <item m="1" x="188"/>
        <item m="1" x="330"/>
        <item m="1" x="135"/>
        <item m="1" x="86"/>
        <item m="1" x="225"/>
        <item m="1" x="35"/>
        <item m="1" x="174"/>
        <item m="1" x="261"/>
        <item m="1" x="72"/>
        <item m="1" x="214"/>
        <item m="1" x="352"/>
        <item m="1" x="159"/>
        <item m="1" x="110"/>
        <item m="1" x="247"/>
        <item m="1" x="54"/>
        <item m="1" x="130"/>
        <item m="1" x="83"/>
        <item m="1" x="117"/>
        <item m="1" x="257"/>
        <item m="1" x="65"/>
        <item m="1" x="152"/>
        <item m="1" x="104"/>
        <item m="1" x="50"/>
        <item m="1" x="192"/>
        <item m="1" x="40"/>
        <item m="1" x="217"/>
        <item m="1" x="99"/>
        <item m="1" x="240"/>
        <item m="1" x="277"/>
        <item m="1" x="87"/>
        <item m="1" x="73"/>
        <item m="1" x="111"/>
        <item m="1" x="55"/>
        <item m="1" x="339"/>
        <item m="1" x="42"/>
        <item m="1" x="299"/>
        <item m="1" x="333"/>
        <item m="1" x="280"/>
        <item m="1" x="266"/>
        <item m="1" x="251"/>
        <item m="1" x="36"/>
        <item m="1" x="175"/>
        <item m="1" x="160"/>
        <item m="1" x="198"/>
        <item m="1" x="142"/>
        <item m="1" x="235"/>
        <item m="1" x="326"/>
        <item m="1" x="131"/>
        <item m="1" x="118"/>
        <item m="1" x="178"/>
        <item m="1" x="165"/>
        <item m="1" x="116"/>
        <item m="1" x="252"/>
        <item m="1" x="292"/>
        <item m="1" x="100"/>
        <item m="1" x="56"/>
        <item m="1" x="29"/>
        <item m="1" x="66"/>
        <item m="1" x="30"/>
        <item t="default" sd="0"/>
      </items>
    </pivotField>
    <pivotField showAll="0"/>
    <pivotField dragToRow="0" dragToCol="0" dragToPage="0" showAll="0" defaultSubtotal="0"/>
  </pivotFields>
  <rowFields count="1">
    <field x="34"/>
  </rowFields>
  <rowItems count="15">
    <i>
      <x v="127"/>
    </i>
    <i>
      <x v="129"/>
    </i>
    <i>
      <x v="130"/>
    </i>
    <i>
      <x v="131"/>
    </i>
    <i>
      <x v="137"/>
    </i>
    <i>
      <x v="139"/>
    </i>
    <i>
      <x v="141"/>
    </i>
    <i>
      <x v="142"/>
    </i>
    <i>
      <x v="143"/>
    </i>
    <i>
      <x v="146"/>
    </i>
    <i>
      <x v="149"/>
    </i>
    <i>
      <x v="151"/>
    </i>
    <i>
      <x v="152"/>
    </i>
    <i>
      <x v="154"/>
    </i>
    <i t="grand">
      <x/>
    </i>
  </rowItems>
  <colFields count="1">
    <field x="7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1" hier="-1"/>
  </pageFields>
  <dataFields count="1">
    <dataField name="Soma de Peso bruto" fld="32" baseField="14" baseItem="6" numFmtId="164"/>
  </dataFields>
  <formats count="1">
    <format dxfId="132">
      <pivotArea dataOnly="0" labelOnly="1" fieldPosition="0">
        <references count="1">
          <reference field="7" count="0"/>
        </references>
      </pivotArea>
    </format>
  </format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E1CE5F-1EE6-4405-91A0-2805B740DF83}" name="Tabela dinâmica1" cacheId="292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>
  <location ref="B33:D58" firstHeaderRow="0" firstDataRow="1" firstDataCol="1" rowPageCount="2" colPageCount="1"/>
  <pivotFields count="37">
    <pivotField showAll="0"/>
    <pivotField axis="axisPage" multipleItemSelectionAllowed="1" showAll="0">
      <items count="60">
        <item m="1" x="35"/>
        <item x="2"/>
        <item x="17"/>
        <item x="0"/>
        <item x="24"/>
        <item m="1" x="39"/>
        <item m="1" x="41"/>
        <item x="9"/>
        <item x="32"/>
        <item x="1"/>
        <item m="1" x="57"/>
        <item x="23"/>
        <item x="25"/>
        <item x="4"/>
        <item x="13"/>
        <item m="1" x="36"/>
        <item m="1" x="51"/>
        <item m="1" x="58"/>
        <item x="3"/>
        <item m="1" x="56"/>
        <item x="20"/>
        <item x="18"/>
        <item m="1" x="43"/>
        <item x="7"/>
        <item x="33"/>
        <item h="1" m="1" x="45"/>
        <item m="1" x="49"/>
        <item x="14"/>
        <item m="1" x="55"/>
        <item m="1" x="50"/>
        <item x="21"/>
        <item m="1" x="54"/>
        <item x="5"/>
        <item x="16"/>
        <item m="1" x="46"/>
        <item x="31"/>
        <item h="1" m="1" x="53"/>
        <item m="1" x="48"/>
        <item m="1" x="44"/>
        <item m="1" x="52"/>
        <item m="1" x="38"/>
        <item x="15"/>
        <item m="1" x="40"/>
        <item x="10"/>
        <item m="1" x="37"/>
        <item x="26"/>
        <item m="1" x="42"/>
        <item x="11"/>
        <item x="8"/>
        <item h="1" m="1" x="34"/>
        <item x="6"/>
        <item x="30"/>
        <item x="22"/>
        <item x="12"/>
        <item x="19"/>
        <item h="1" m="1" x="47"/>
        <item x="29"/>
        <item x="27"/>
        <item x="28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28">
        <item x="8"/>
        <item sd="0" x="11"/>
        <item x="13"/>
        <item x="21"/>
        <item x="18"/>
        <item x="15"/>
        <item m="1" x="26"/>
        <item x="0"/>
        <item x="1"/>
        <item x="6"/>
        <item x="2"/>
        <item x="23"/>
        <item x="22"/>
        <item x="17"/>
        <item x="7"/>
        <item x="3"/>
        <item x="5"/>
        <item x="10"/>
        <item x="12"/>
        <item x="16"/>
        <item x="14"/>
        <item x="9"/>
        <item x="4"/>
        <item x="19"/>
        <item x="24"/>
        <item x="25"/>
        <item x="20"/>
        <item t="default"/>
      </items>
    </pivotField>
    <pivotField showAll="0"/>
    <pivotField showAll="0"/>
    <pivotField showAll="0"/>
    <pivotField showAll="0"/>
    <pivotField showAll="0"/>
    <pivotField numFmtId="14" showAll="0"/>
    <pivotField numFmtId="14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axis="axisRow" showAll="0" sortType="ascending">
      <items count="357">
        <item sd="0" m="1" x="24"/>
        <item m="1" x="226"/>
        <item sd="0" m="1" x="119"/>
        <item sd="0" m="1" x="230"/>
        <item sd="0" m="1" x="344"/>
        <item sd="0" m="1" x="67"/>
        <item sd="0" m="1" x="124"/>
        <item sd="0" m="1" x="179"/>
        <item sd="0" m="1" x="236"/>
        <item sd="0" m="1" x="262"/>
        <item sd="0" m="1" x="293"/>
        <item sd="0" m="1" x="320"/>
        <item sd="0" m="1" x="349"/>
        <item sd="0" m="1" x="43"/>
        <item sd="0" m="1" x="74"/>
        <item sd="0" m="1" x="101"/>
        <item sd="0" m="1" x="127"/>
        <item sd="0" m="1" x="140"/>
        <item sd="0" m="1" x="153"/>
        <item sd="0" m="1" x="171"/>
        <item sd="0" m="1" x="185"/>
        <item sd="0" m="1" x="199"/>
        <item sd="0" m="1" x="215"/>
        <item sd="0" m="1" x="227"/>
        <item sd="0" m="1" x="241"/>
        <item sd="0" m="1" x="253"/>
        <item sd="0" m="1" x="267"/>
        <item sd="0" m="1" x="281"/>
        <item sd="0" m="1" x="300"/>
        <item sd="0" m="1" x="314"/>
        <item sd="0" m="1" x="327"/>
        <item sd="0" m="1" x="340"/>
        <item sd="0" m="1" x="353"/>
        <item sd="0" m="1" x="193"/>
        <item sd="0" m="1" x="37"/>
        <item sd="0" m="1" x="209"/>
        <item sd="0" m="1" x="48"/>
        <item sd="0" m="1" x="222"/>
        <item sd="0" m="1" x="59"/>
        <item sd="0" m="1" x="237"/>
        <item sd="0" m="1" x="78"/>
        <item sd="0" m="1" x="248"/>
        <item sd="0" m="1" x="89"/>
        <item sd="0" m="1" x="263"/>
        <item sd="0" m="1" x="105"/>
        <item sd="0" m="1" x="278"/>
        <item sd="0" m="1" x="120"/>
        <item m="1" x="294"/>
        <item sd="0" m="1" x="132"/>
        <item sd="0" m="1" x="308"/>
        <item m="1" x="143"/>
        <item sd="0" m="1" x="321"/>
        <item m="1" x="161"/>
        <item sd="0" m="1" x="334"/>
        <item m="1" x="287"/>
        <item m="1" x="144"/>
        <item m="1" x="295"/>
        <item m="1" x="268"/>
        <item m="1" x="102"/>
        <item m="1" x="106"/>
        <item m="1" x="275"/>
        <item m="1" x="242"/>
        <item m="1" x="345"/>
        <item m="1" x="31"/>
        <item m="1" x="25"/>
        <item m="1" x="223"/>
        <item m="1" x="243"/>
        <item m="1" x="84"/>
        <item m="1" x="269"/>
        <item m="1" x="218"/>
        <item m="1" x="254"/>
        <item m="1" x="93"/>
        <item m="1" x="270"/>
        <item m="1" x="112"/>
        <item m="1" x="125"/>
        <item m="1" x="302"/>
        <item m="1" x="121"/>
        <item m="1" x="136"/>
        <item m="1" x="206"/>
        <item m="1" x="224"/>
        <item m="1" x="258"/>
        <item m="1" x="60"/>
        <item m="1" x="79"/>
        <item m="1" x="231"/>
        <item m="1" x="249"/>
        <item m="1" x="75"/>
        <item m="1" x="91"/>
        <item m="1" x="259"/>
        <item m="1" x="189"/>
        <item m="1" x="346"/>
        <item m="1" x="32"/>
        <item m="1" x="68"/>
        <item m="1" x="166"/>
        <item m="1" x="186"/>
        <item m="1" x="26"/>
        <item m="1" x="200"/>
        <item m="1" x="41"/>
        <item m="1" x="57"/>
        <item m="1" x="216"/>
        <item m="1" x="51"/>
        <item m="1" x="228"/>
        <item m="1" x="69"/>
        <item m="1" x="315"/>
        <item m="1" x="149"/>
        <item m="1" x="180"/>
        <item m="1" x="210"/>
        <item m="1" x="309"/>
        <item m="1" x="328"/>
        <item m="1" x="167"/>
        <item m="1" x="322"/>
        <item m="1" x="341"/>
        <item m="1" x="181"/>
        <item m="1" x="354"/>
        <item m="1" x="194"/>
        <item m="1" x="172"/>
        <item m="1" x="38"/>
        <item m="1" x="211"/>
        <item m="1" x="122"/>
        <item m="1" x="296"/>
        <item m="1" x="350"/>
        <item m="1" x="133"/>
        <item m="1" x="310"/>
        <item m="1" x="154"/>
        <item m="1" x="301"/>
        <item m="1" x="90"/>
        <item m="1" x="107"/>
        <item m="1" x="246"/>
        <item x="15"/>
        <item x="2"/>
        <item x="8"/>
        <item x="19"/>
        <item x="12"/>
        <item x="4"/>
        <item m="1" x="103"/>
        <item m="1" x="255"/>
        <item m="1" x="88"/>
        <item x="0"/>
        <item x="13"/>
        <item x="7"/>
        <item x="18"/>
        <item x="6"/>
        <item x="17"/>
        <item x="5"/>
        <item x="16"/>
        <item x="1"/>
        <item x="23"/>
        <item x="14"/>
        <item m="1" x="150"/>
        <item x="11"/>
        <item x="22"/>
        <item x="3"/>
        <item x="10"/>
        <item x="21"/>
        <item x="9"/>
        <item x="20"/>
        <item m="1" x="316"/>
        <item m="1" x="335"/>
        <item m="1" x="94"/>
        <item m="1" x="108"/>
        <item m="1" x="128"/>
        <item m="1" x="95"/>
        <item m="1" x="113"/>
        <item m="1" x="155"/>
        <item m="1" x="282"/>
        <item m="1" x="52"/>
        <item m="1" x="323"/>
        <item m="1" x="311"/>
        <item m="1" x="201"/>
        <item m="1" x="212"/>
        <item m="1" x="324"/>
        <item m="1" x="61"/>
        <item m="1" x="137"/>
        <item m="1" x="202"/>
        <item m="1" x="145"/>
        <item m="1" x="288"/>
        <item m="1" x="96"/>
        <item m="1" x="70"/>
        <item m="1" x="156"/>
        <item m="1" x="53"/>
        <item m="1" x="336"/>
        <item m="1" x="283"/>
        <item m="1" x="297"/>
        <item m="1" x="244"/>
        <item m="1" x="264"/>
        <item m="1" x="76"/>
        <item m="1" x="114"/>
        <item m="1" x="329"/>
        <item m="1" x="134"/>
        <item m="1" x="85"/>
        <item m="1" x="33"/>
        <item m="1" x="317"/>
        <item m="1" x="157"/>
        <item m="1" x="303"/>
        <item m="1" x="284"/>
        <item m="1" x="182"/>
        <item m="1" x="271"/>
        <item m="1" x="190"/>
        <item m="1" x="331"/>
        <item m="1" x="176"/>
        <item m="1" x="265"/>
        <item m="1" x="162"/>
        <item m="1" x="304"/>
        <item m="1" x="146"/>
        <item m="1" x="44"/>
        <item m="1" x="260"/>
        <item m="1" x="71"/>
        <item m="1" x="213"/>
        <item m="1" x="195"/>
        <item m="1" x="285"/>
        <item m="1" x="232"/>
        <item m="1" x="183"/>
        <item m="1" x="272"/>
        <item m="1" x="80"/>
        <item m="1" x="219"/>
        <item m="1" x="27"/>
        <item m="1" x="168"/>
        <item m="1" x="62"/>
        <item m="1" x="207"/>
        <item m="1" x="347"/>
        <item m="1" x="49"/>
        <item m="1" x="138"/>
        <item m="1" x="229"/>
        <item m="1" x="39"/>
        <item m="1" x="126"/>
        <item m="1" x="355"/>
        <item m="1" x="305"/>
        <item m="1" x="115"/>
        <item m="1" x="203"/>
        <item m="1" x="342"/>
        <item m="1" x="147"/>
        <item m="1" x="289"/>
        <item m="1" x="97"/>
        <item m="1" x="45"/>
        <item m="1" x="187"/>
        <item m="1" x="351"/>
        <item m="1" x="158"/>
        <item m="1" x="109"/>
        <item m="1" x="196"/>
        <item m="1" x="337"/>
        <item m="1" x="92"/>
        <item m="1" x="233"/>
        <item m="1" x="325"/>
        <item m="1" x="273"/>
        <item m="1" x="81"/>
        <item m="1" x="220"/>
        <item m="1" x="169"/>
        <item m="1" x="312"/>
        <item m="1" x="63"/>
        <item m="1" x="177"/>
        <item m="1" x="319"/>
        <item m="1" x="77"/>
        <item m="1" x="163"/>
        <item m="1" x="306"/>
        <item m="1" x="58"/>
        <item m="1" x="204"/>
        <item m="1" x="343"/>
        <item m="1" x="148"/>
        <item m="1" x="290"/>
        <item m="1" x="238"/>
        <item m="1" x="46"/>
        <item m="1" x="276"/>
        <item m="1" x="34"/>
        <item m="1" x="173"/>
        <item m="1" x="318"/>
        <item m="1" x="123"/>
        <item m="1" x="197"/>
        <item m="1" x="338"/>
        <item m="1" x="141"/>
        <item m="1" x="286"/>
        <item m="1" x="234"/>
        <item m="1" x="184"/>
        <item m="1" x="129"/>
        <item m="1" x="274"/>
        <item m="1" x="82"/>
        <item m="1" x="221"/>
        <item m="1" x="28"/>
        <item m="1" x="170"/>
        <item m="1" x="313"/>
        <item m="1" x="256"/>
        <item m="1" x="64"/>
        <item m="1" x="208"/>
        <item m="1" x="348"/>
        <item m="1" x="151"/>
        <item m="1" x="298"/>
        <item m="1" x="245"/>
        <item m="1" x="191"/>
        <item m="1" x="332"/>
        <item m="1" x="139"/>
        <item m="1" x="279"/>
        <item m="1" x="164"/>
        <item m="1" x="307"/>
        <item m="1" x="250"/>
        <item m="1" x="205"/>
        <item m="1" x="291"/>
        <item m="1" x="98"/>
        <item m="1" x="239"/>
        <item m="1" x="47"/>
        <item m="1" x="188"/>
        <item m="1" x="330"/>
        <item m="1" x="135"/>
        <item m="1" x="86"/>
        <item m="1" x="225"/>
        <item m="1" x="35"/>
        <item m="1" x="174"/>
        <item m="1" x="261"/>
        <item m="1" x="72"/>
        <item m="1" x="214"/>
        <item m="1" x="352"/>
        <item m="1" x="159"/>
        <item m="1" x="110"/>
        <item m="1" x="247"/>
        <item m="1" x="54"/>
        <item m="1" x="130"/>
        <item m="1" x="83"/>
        <item m="1" x="117"/>
        <item m="1" x="257"/>
        <item m="1" x="65"/>
        <item m="1" x="152"/>
        <item m="1" x="104"/>
        <item m="1" x="50"/>
        <item m="1" x="192"/>
        <item m="1" x="40"/>
        <item m="1" x="217"/>
        <item m="1" x="99"/>
        <item m="1" x="240"/>
        <item m="1" x="277"/>
        <item m="1" x="87"/>
        <item m="1" x="73"/>
        <item m="1" x="111"/>
        <item m="1" x="55"/>
        <item m="1" x="339"/>
        <item m="1" x="42"/>
        <item m="1" x="299"/>
        <item m="1" x="333"/>
        <item m="1" x="280"/>
        <item m="1" x="266"/>
        <item m="1" x="251"/>
        <item m="1" x="36"/>
        <item m="1" x="175"/>
        <item m="1" x="160"/>
        <item m="1" x="198"/>
        <item m="1" x="142"/>
        <item m="1" x="235"/>
        <item m="1" x="326"/>
        <item m="1" x="131"/>
        <item m="1" x="118"/>
        <item m="1" x="178"/>
        <item m="1" x="165"/>
        <item m="1" x="116"/>
        <item m="1" x="252"/>
        <item m="1" x="292"/>
        <item m="1" x="100"/>
        <item m="1" x="56"/>
        <item m="1" x="29"/>
        <item m="1" x="66"/>
        <item m="1" x="30"/>
        <item t="default" sd="0"/>
      </items>
    </pivotField>
    <pivotField showAll="0"/>
    <pivotField dragToRow="0" dragToCol="0" dragToPage="0" showAll="0" defaultSubtotal="0"/>
  </pivotFields>
  <rowFields count="1">
    <field x="34"/>
  </rowFields>
  <rowItems count="25">
    <i>
      <x v="127"/>
    </i>
    <i>
      <x v="128"/>
    </i>
    <i>
      <x v="129"/>
    </i>
    <i>
      <x v="130"/>
    </i>
    <i>
      <x v="131"/>
    </i>
    <i>
      <x v="132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8"/>
    </i>
    <i>
      <x v="149"/>
    </i>
    <i>
      <x v="150"/>
    </i>
    <i>
      <x v="151"/>
    </i>
    <i>
      <x v="152"/>
    </i>
    <i>
      <x v="153"/>
    </i>
    <i>
      <x v="154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7" hier="-1"/>
  </pageFields>
  <dataFields count="2">
    <dataField name="Soma de Valor" fld="33" baseField="14" baseItem="12" numFmtId="42"/>
    <dataField name="Soma de Peso bruto" fld="32" baseField="34" baseItem="41" numFmtId="164"/>
  </dataFields>
  <formats count="1">
    <format dxfId="6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7F71F-0C48-4FD4-8EFC-1EB706B4A51A}" name="Tabela dinâmicaOUTROS" cacheId="292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>
  <location ref="I31:K48" firstHeaderRow="0" firstDataRow="1" firstDataCol="1" rowPageCount="2" colPageCount="1"/>
  <pivotFields count="37">
    <pivotField showAll="0"/>
    <pivotField axis="axisPage" multipleItemSelectionAllowed="1" showAll="0">
      <items count="60">
        <item m="1" x="35"/>
        <item x="2"/>
        <item x="17"/>
        <item x="0"/>
        <item x="24"/>
        <item m="1" x="39"/>
        <item m="1" x="41"/>
        <item x="9"/>
        <item x="32"/>
        <item x="1"/>
        <item m="1" x="57"/>
        <item x="23"/>
        <item x="25"/>
        <item x="4"/>
        <item x="13"/>
        <item m="1" x="36"/>
        <item m="1" x="51"/>
        <item m="1" x="58"/>
        <item x="3"/>
        <item m="1" x="56"/>
        <item x="20"/>
        <item x="18"/>
        <item m="1" x="43"/>
        <item x="7"/>
        <item x="33"/>
        <item h="1" m="1" x="45"/>
        <item m="1" x="49"/>
        <item x="14"/>
        <item m="1" x="55"/>
        <item m="1" x="50"/>
        <item x="21"/>
        <item m="1" x="54"/>
        <item x="5"/>
        <item x="16"/>
        <item m="1" x="46"/>
        <item x="31"/>
        <item h="1" m="1" x="53"/>
        <item m="1" x="48"/>
        <item m="1" x="44"/>
        <item m="1" x="52"/>
        <item m="1" x="38"/>
        <item x="15"/>
        <item m="1" x="40"/>
        <item x="10"/>
        <item m="1" x="37"/>
        <item x="26"/>
        <item m="1" x="42"/>
        <item x="11"/>
        <item x="8"/>
        <item h="1" m="1" x="34"/>
        <item x="6"/>
        <item x="30"/>
        <item x="22"/>
        <item x="12"/>
        <item x="19"/>
        <item h="1" m="1" x="47"/>
        <item x="29"/>
        <item x="27"/>
        <item x="28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28">
        <item h="1" x="8"/>
        <item sd="0" x="11"/>
        <item h="1" x="13"/>
        <item x="21"/>
        <item x="18"/>
        <item x="15"/>
        <item m="1" x="26"/>
        <item h="1" x="0"/>
        <item h="1" x="1"/>
        <item h="1" x="6"/>
        <item x="2"/>
        <item h="1" x="23"/>
        <item x="22"/>
        <item h="1" x="17"/>
        <item h="1" x="7"/>
        <item x="3"/>
        <item x="5"/>
        <item h="1" x="10"/>
        <item h="1" x="12"/>
        <item x="16"/>
        <item h="1" x="14"/>
        <item x="9"/>
        <item x="4"/>
        <item x="19"/>
        <item x="24"/>
        <item x="25"/>
        <item h="1" x="20"/>
        <item t="default"/>
      </items>
    </pivotField>
    <pivotField showAll="0"/>
    <pivotField showAll="0"/>
    <pivotField showAll="0"/>
    <pivotField showAll="0"/>
    <pivotField showAll="0"/>
    <pivotField numFmtId="14" showAll="0"/>
    <pivotField numFmtId="14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axis="axisRow" showAll="0" sortType="ascending">
      <items count="357">
        <item sd="0" m="1" x="24"/>
        <item m="1" x="226"/>
        <item sd="0" m="1" x="119"/>
        <item sd="0" m="1" x="230"/>
        <item sd="0" m="1" x="344"/>
        <item sd="0" m="1" x="67"/>
        <item sd="0" m="1" x="124"/>
        <item sd="0" m="1" x="179"/>
        <item sd="0" m="1" x="236"/>
        <item sd="0" m="1" x="262"/>
        <item sd="0" m="1" x="293"/>
        <item sd="0" m="1" x="320"/>
        <item sd="0" m="1" x="349"/>
        <item sd="0" m="1" x="43"/>
        <item sd="0" m="1" x="74"/>
        <item sd="0" m="1" x="101"/>
        <item sd="0" m="1" x="127"/>
        <item sd="0" m="1" x="140"/>
        <item sd="0" m="1" x="153"/>
        <item sd="0" m="1" x="171"/>
        <item sd="0" m="1" x="185"/>
        <item sd="0" m="1" x="199"/>
        <item sd="0" m="1" x="215"/>
        <item sd="0" m="1" x="227"/>
        <item sd="0" m="1" x="241"/>
        <item sd="0" m="1" x="253"/>
        <item sd="0" m="1" x="267"/>
        <item sd="0" m="1" x="281"/>
        <item sd="0" m="1" x="300"/>
        <item sd="0" m="1" x="314"/>
        <item sd="0" m="1" x="327"/>
        <item sd="0" m="1" x="340"/>
        <item sd="0" m="1" x="353"/>
        <item sd="0" m="1" x="193"/>
        <item sd="0" m="1" x="37"/>
        <item sd="0" m="1" x="209"/>
        <item sd="0" m="1" x="48"/>
        <item sd="0" m="1" x="222"/>
        <item sd="0" m="1" x="59"/>
        <item sd="0" m="1" x="237"/>
        <item sd="0" m="1" x="78"/>
        <item sd="0" m="1" x="248"/>
        <item sd="0" m="1" x="89"/>
        <item sd="0" m="1" x="263"/>
        <item sd="0" m="1" x="105"/>
        <item sd="0" m="1" x="278"/>
        <item sd="0" m="1" x="120"/>
        <item m="1" x="294"/>
        <item sd="0" m="1" x="132"/>
        <item sd="0" m="1" x="308"/>
        <item m="1" x="143"/>
        <item sd="0" m="1" x="321"/>
        <item m="1" x="161"/>
        <item sd="0" m="1" x="334"/>
        <item m="1" x="287"/>
        <item m="1" x="144"/>
        <item m="1" x="295"/>
        <item m="1" x="268"/>
        <item m="1" x="102"/>
        <item m="1" x="106"/>
        <item m="1" x="275"/>
        <item m="1" x="242"/>
        <item m="1" x="345"/>
        <item m="1" x="31"/>
        <item m="1" x="25"/>
        <item m="1" x="223"/>
        <item m="1" x="243"/>
        <item m="1" x="84"/>
        <item m="1" x="269"/>
        <item m="1" x="218"/>
        <item m="1" x="254"/>
        <item m="1" x="93"/>
        <item m="1" x="270"/>
        <item m="1" x="112"/>
        <item m="1" x="125"/>
        <item m="1" x="302"/>
        <item m="1" x="121"/>
        <item m="1" x="136"/>
        <item m="1" x="206"/>
        <item m="1" x="224"/>
        <item m="1" x="258"/>
        <item m="1" x="60"/>
        <item m="1" x="79"/>
        <item m="1" x="231"/>
        <item m="1" x="249"/>
        <item m="1" x="75"/>
        <item m="1" x="91"/>
        <item m="1" x="259"/>
        <item m="1" x="189"/>
        <item m="1" x="346"/>
        <item m="1" x="32"/>
        <item m="1" x="68"/>
        <item m="1" x="166"/>
        <item m="1" x="186"/>
        <item m="1" x="26"/>
        <item m="1" x="200"/>
        <item m="1" x="41"/>
        <item m="1" x="57"/>
        <item m="1" x="216"/>
        <item m="1" x="51"/>
        <item m="1" x="228"/>
        <item m="1" x="69"/>
        <item m="1" x="315"/>
        <item m="1" x="149"/>
        <item m="1" x="180"/>
        <item m="1" x="210"/>
        <item m="1" x="309"/>
        <item m="1" x="328"/>
        <item m="1" x="167"/>
        <item m="1" x="322"/>
        <item m="1" x="341"/>
        <item m="1" x="181"/>
        <item m="1" x="354"/>
        <item m="1" x="194"/>
        <item m="1" x="172"/>
        <item m="1" x="38"/>
        <item m="1" x="211"/>
        <item m="1" x="122"/>
        <item m="1" x="296"/>
        <item m="1" x="350"/>
        <item m="1" x="133"/>
        <item m="1" x="310"/>
        <item m="1" x="154"/>
        <item m="1" x="301"/>
        <item m="1" x="90"/>
        <item m="1" x="107"/>
        <item m="1" x="246"/>
        <item x="15"/>
        <item x="2"/>
        <item x="8"/>
        <item x="19"/>
        <item x="12"/>
        <item x="4"/>
        <item m="1" x="103"/>
        <item m="1" x="255"/>
        <item m="1" x="88"/>
        <item x="0"/>
        <item x="13"/>
        <item x="7"/>
        <item x="18"/>
        <item x="6"/>
        <item x="17"/>
        <item x="5"/>
        <item x="16"/>
        <item x="1"/>
        <item x="23"/>
        <item x="14"/>
        <item m="1" x="150"/>
        <item x="11"/>
        <item x="22"/>
        <item x="3"/>
        <item x="10"/>
        <item x="21"/>
        <item x="9"/>
        <item x="20"/>
        <item m="1" x="316"/>
        <item m="1" x="335"/>
        <item m="1" x="94"/>
        <item m="1" x="108"/>
        <item m="1" x="128"/>
        <item m="1" x="95"/>
        <item m="1" x="113"/>
        <item m="1" x="155"/>
        <item m="1" x="282"/>
        <item m="1" x="52"/>
        <item m="1" x="323"/>
        <item m="1" x="311"/>
        <item m="1" x="201"/>
        <item m="1" x="212"/>
        <item m="1" x="324"/>
        <item m="1" x="61"/>
        <item m="1" x="137"/>
        <item m="1" x="202"/>
        <item m="1" x="145"/>
        <item m="1" x="288"/>
        <item m="1" x="96"/>
        <item m="1" x="70"/>
        <item m="1" x="156"/>
        <item m="1" x="53"/>
        <item m="1" x="336"/>
        <item m="1" x="283"/>
        <item m="1" x="297"/>
        <item m="1" x="244"/>
        <item m="1" x="264"/>
        <item m="1" x="76"/>
        <item m="1" x="114"/>
        <item m="1" x="329"/>
        <item m="1" x="134"/>
        <item m="1" x="85"/>
        <item m="1" x="33"/>
        <item m="1" x="317"/>
        <item m="1" x="157"/>
        <item m="1" x="303"/>
        <item m="1" x="284"/>
        <item m="1" x="182"/>
        <item m="1" x="271"/>
        <item m="1" x="190"/>
        <item m="1" x="331"/>
        <item m="1" x="176"/>
        <item m="1" x="265"/>
        <item m="1" x="162"/>
        <item m="1" x="304"/>
        <item m="1" x="146"/>
        <item m="1" x="44"/>
        <item m="1" x="260"/>
        <item m="1" x="71"/>
        <item m="1" x="213"/>
        <item m="1" x="195"/>
        <item m="1" x="285"/>
        <item m="1" x="232"/>
        <item m="1" x="183"/>
        <item m="1" x="272"/>
        <item m="1" x="80"/>
        <item m="1" x="219"/>
        <item m="1" x="27"/>
        <item m="1" x="168"/>
        <item m="1" x="62"/>
        <item m="1" x="207"/>
        <item m="1" x="347"/>
        <item m="1" x="49"/>
        <item m="1" x="138"/>
        <item m="1" x="229"/>
        <item m="1" x="39"/>
        <item m="1" x="126"/>
        <item m="1" x="355"/>
        <item m="1" x="305"/>
        <item m="1" x="115"/>
        <item m="1" x="203"/>
        <item m="1" x="342"/>
        <item m="1" x="147"/>
        <item m="1" x="289"/>
        <item m="1" x="97"/>
        <item m="1" x="45"/>
        <item m="1" x="187"/>
        <item m="1" x="351"/>
        <item m="1" x="158"/>
        <item m="1" x="109"/>
        <item m="1" x="196"/>
        <item m="1" x="337"/>
        <item m="1" x="92"/>
        <item m="1" x="233"/>
        <item m="1" x="325"/>
        <item m="1" x="273"/>
        <item m="1" x="81"/>
        <item m="1" x="220"/>
        <item m="1" x="169"/>
        <item m="1" x="312"/>
        <item m="1" x="63"/>
        <item m="1" x="177"/>
        <item m="1" x="319"/>
        <item m="1" x="77"/>
        <item m="1" x="163"/>
        <item m="1" x="306"/>
        <item m="1" x="58"/>
        <item m="1" x="204"/>
        <item m="1" x="343"/>
        <item m="1" x="148"/>
        <item m="1" x="290"/>
        <item m="1" x="238"/>
        <item m="1" x="46"/>
        <item m="1" x="276"/>
        <item m="1" x="34"/>
        <item m="1" x="173"/>
        <item m="1" x="318"/>
        <item m="1" x="123"/>
        <item m="1" x="197"/>
        <item m="1" x="338"/>
        <item m="1" x="141"/>
        <item m="1" x="286"/>
        <item m="1" x="234"/>
        <item m="1" x="184"/>
        <item m="1" x="129"/>
        <item m="1" x="274"/>
        <item m="1" x="82"/>
        <item m="1" x="221"/>
        <item m="1" x="28"/>
        <item m="1" x="170"/>
        <item m="1" x="313"/>
        <item m="1" x="256"/>
        <item m="1" x="64"/>
        <item m="1" x="208"/>
        <item m="1" x="348"/>
        <item m="1" x="151"/>
        <item m="1" x="298"/>
        <item m="1" x="245"/>
        <item m="1" x="191"/>
        <item m="1" x="332"/>
        <item m="1" x="139"/>
        <item m="1" x="279"/>
        <item m="1" x="164"/>
        <item m="1" x="307"/>
        <item m="1" x="250"/>
        <item m="1" x="205"/>
        <item m="1" x="291"/>
        <item m="1" x="98"/>
        <item m="1" x="239"/>
        <item m="1" x="47"/>
        <item m="1" x="188"/>
        <item m="1" x="330"/>
        <item m="1" x="135"/>
        <item m="1" x="86"/>
        <item m="1" x="225"/>
        <item m="1" x="35"/>
        <item m="1" x="174"/>
        <item m="1" x="261"/>
        <item m="1" x="72"/>
        <item m="1" x="214"/>
        <item m="1" x="352"/>
        <item m="1" x="159"/>
        <item m="1" x="110"/>
        <item m="1" x="247"/>
        <item m="1" x="54"/>
        <item m="1" x="130"/>
        <item m="1" x="83"/>
        <item m="1" x="117"/>
        <item m="1" x="257"/>
        <item m="1" x="65"/>
        <item m="1" x="152"/>
        <item m="1" x="104"/>
        <item m="1" x="50"/>
        <item m="1" x="192"/>
        <item m="1" x="40"/>
        <item m="1" x="217"/>
        <item m="1" x="99"/>
        <item m="1" x="240"/>
        <item m="1" x="277"/>
        <item m="1" x="87"/>
        <item m="1" x="73"/>
        <item m="1" x="111"/>
        <item m="1" x="55"/>
        <item m="1" x="339"/>
        <item m="1" x="42"/>
        <item m="1" x="299"/>
        <item m="1" x="333"/>
        <item m="1" x="280"/>
        <item m="1" x="266"/>
        <item m="1" x="251"/>
        <item m="1" x="36"/>
        <item m="1" x="175"/>
        <item m="1" x="160"/>
        <item m="1" x="198"/>
        <item m="1" x="142"/>
        <item m="1" x="235"/>
        <item m="1" x="326"/>
        <item m="1" x="131"/>
        <item m="1" x="118"/>
        <item m="1" x="178"/>
        <item m="1" x="165"/>
        <item m="1" x="116"/>
        <item m="1" x="252"/>
        <item m="1" x="292"/>
        <item m="1" x="100"/>
        <item m="1" x="56"/>
        <item m="1" x="29"/>
        <item m="1" x="66"/>
        <item m="1" x="30"/>
        <item t="default" sd="0"/>
      </items>
    </pivotField>
    <pivotField showAll="0"/>
    <pivotField dragToRow="0" dragToCol="0" dragToPage="0" showAll="0" defaultSubtotal="0"/>
  </pivotFields>
  <rowFields count="1">
    <field x="34"/>
  </rowFields>
  <rowItems count="17">
    <i>
      <x v="127"/>
    </i>
    <i>
      <x v="129"/>
    </i>
    <i>
      <x v="130"/>
    </i>
    <i>
      <x v="131"/>
    </i>
    <i>
      <x v="137"/>
    </i>
    <i>
      <x v="139"/>
    </i>
    <i>
      <x v="141"/>
    </i>
    <i>
      <x v="142"/>
    </i>
    <i>
      <x v="143"/>
    </i>
    <i>
      <x v="145"/>
    </i>
    <i>
      <x v="146"/>
    </i>
    <i>
      <x v="149"/>
    </i>
    <i>
      <x v="151"/>
    </i>
    <i>
      <x v="152"/>
    </i>
    <i>
      <x v="153"/>
    </i>
    <i>
      <x v="154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7" hier="-1"/>
  </pageFields>
  <dataFields count="2">
    <dataField name="Soma de Valor" fld="33" baseField="14" baseItem="12" numFmtId="42"/>
    <dataField name="Soma de Peso bruto" fld="32" baseField="34" baseItem="41" numFmtId="164"/>
  </dataFields>
  <formats count="1">
    <format dxfId="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F5BCDA-1A5A-4C05-AAD0-3A99EB380F38}" name="Tabela dinâmica1" cacheId="292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>
  <location ref="I31:K43" firstHeaderRow="0" firstDataRow="1" firstDataCol="1" rowPageCount="2" colPageCount="1"/>
  <pivotFields count="37">
    <pivotField showAll="0"/>
    <pivotField axis="axisPage" multipleItemSelectionAllowed="1" showAll="0">
      <items count="60">
        <item m="1" x="35"/>
        <item x="2"/>
        <item x="17"/>
        <item x="0"/>
        <item x="24"/>
        <item m="1" x="39"/>
        <item m="1" x="41"/>
        <item x="9"/>
        <item x="32"/>
        <item x="1"/>
        <item m="1" x="57"/>
        <item x="23"/>
        <item x="25"/>
        <item x="4"/>
        <item x="13"/>
        <item m="1" x="36"/>
        <item m="1" x="51"/>
        <item m="1" x="58"/>
        <item x="3"/>
        <item m="1" x="56"/>
        <item x="20"/>
        <item x="18"/>
        <item m="1" x="43"/>
        <item x="7"/>
        <item x="33"/>
        <item h="1" m="1" x="45"/>
        <item m="1" x="49"/>
        <item x="14"/>
        <item m="1" x="55"/>
        <item m="1" x="50"/>
        <item x="21"/>
        <item m="1" x="54"/>
        <item x="5"/>
        <item x="16"/>
        <item m="1" x="46"/>
        <item x="31"/>
        <item h="1" m="1" x="53"/>
        <item m="1" x="48"/>
        <item m="1" x="44"/>
        <item m="1" x="52"/>
        <item m="1" x="38"/>
        <item x="15"/>
        <item m="1" x="40"/>
        <item x="10"/>
        <item m="1" x="37"/>
        <item x="26"/>
        <item m="1" x="42"/>
        <item x="11"/>
        <item x="8"/>
        <item h="1" m="1" x="34"/>
        <item x="6"/>
        <item x="30"/>
        <item x="22"/>
        <item x="12"/>
        <item x="19"/>
        <item h="1" m="1" x="47"/>
        <item x="29"/>
        <item x="27"/>
        <item x="28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28">
        <item h="1" x="8"/>
        <item h="1" sd="0" x="11"/>
        <item h="1" x="13"/>
        <item h="1" x="21"/>
        <item h="1" x="18"/>
        <item h="1" x="15"/>
        <item h="1" m="1" x="26"/>
        <item h="1" x="0"/>
        <item h="1" x="1"/>
        <item h="1" x="6"/>
        <item h="1" x="2"/>
        <item h="1" x="23"/>
        <item h="1" x="22"/>
        <item h="1" x="17"/>
        <item x="7"/>
        <item h="1" x="3"/>
        <item h="1" x="5"/>
        <item h="1" x="10"/>
        <item x="12"/>
        <item h="1" x="16"/>
        <item h="1" x="14"/>
        <item h="1" x="9"/>
        <item h="1" x="4"/>
        <item h="1" x="19"/>
        <item h="1" x="24"/>
        <item h="1" x="25"/>
        <item h="1" x="20"/>
        <item t="default"/>
      </items>
    </pivotField>
    <pivotField showAll="0"/>
    <pivotField showAll="0"/>
    <pivotField showAll="0"/>
    <pivotField showAll="0"/>
    <pivotField showAll="0"/>
    <pivotField numFmtId="14" showAll="0"/>
    <pivotField numFmtId="14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axis="axisRow" showAll="0" sortType="ascending">
      <items count="357">
        <item sd="0" m="1" x="24"/>
        <item m="1" x="226"/>
        <item sd="0" m="1" x="119"/>
        <item sd="0" m="1" x="230"/>
        <item sd="0" m="1" x="344"/>
        <item sd="0" m="1" x="67"/>
        <item sd="0" m="1" x="124"/>
        <item sd="0" m="1" x="179"/>
        <item sd="0" m="1" x="236"/>
        <item sd="0" m="1" x="262"/>
        <item sd="0" m="1" x="293"/>
        <item sd="0" m="1" x="320"/>
        <item sd="0" m="1" x="349"/>
        <item sd="0" m="1" x="43"/>
        <item sd="0" m="1" x="74"/>
        <item sd="0" m="1" x="101"/>
        <item sd="0" m="1" x="127"/>
        <item sd="0" m="1" x="140"/>
        <item sd="0" m="1" x="153"/>
        <item sd="0" m="1" x="171"/>
        <item sd="0" m="1" x="185"/>
        <item sd="0" m="1" x="199"/>
        <item sd="0" m="1" x="215"/>
        <item sd="0" m="1" x="227"/>
        <item sd="0" m="1" x="241"/>
        <item sd="0" m="1" x="253"/>
        <item sd="0" m="1" x="267"/>
        <item sd="0" m="1" x="281"/>
        <item sd="0" m="1" x="300"/>
        <item sd="0" m="1" x="314"/>
        <item sd="0" m="1" x="327"/>
        <item sd="0" m="1" x="340"/>
        <item sd="0" m="1" x="353"/>
        <item sd="0" m="1" x="193"/>
        <item sd="0" m="1" x="37"/>
        <item sd="0" m="1" x="209"/>
        <item sd="0" m="1" x="48"/>
        <item sd="0" m="1" x="222"/>
        <item sd="0" m="1" x="59"/>
        <item sd="0" m="1" x="237"/>
        <item sd="0" m="1" x="78"/>
        <item sd="0" m="1" x="248"/>
        <item sd="0" m="1" x="89"/>
        <item sd="0" m="1" x="263"/>
        <item sd="0" m="1" x="105"/>
        <item sd="0" m="1" x="278"/>
        <item sd="0" m="1" x="120"/>
        <item m="1" x="294"/>
        <item sd="0" m="1" x="132"/>
        <item sd="0" m="1" x="308"/>
        <item m="1" x="143"/>
        <item sd="0" m="1" x="321"/>
        <item m="1" x="161"/>
        <item sd="0" m="1" x="334"/>
        <item m="1" x="287"/>
        <item m="1" x="144"/>
        <item m="1" x="295"/>
        <item m="1" x="268"/>
        <item m="1" x="102"/>
        <item m="1" x="106"/>
        <item m="1" x="275"/>
        <item m="1" x="242"/>
        <item m="1" x="345"/>
        <item m="1" x="31"/>
        <item m="1" x="25"/>
        <item m="1" x="223"/>
        <item m="1" x="243"/>
        <item m="1" x="84"/>
        <item m="1" x="269"/>
        <item m="1" x="218"/>
        <item m="1" x="254"/>
        <item m="1" x="93"/>
        <item m="1" x="270"/>
        <item m="1" x="112"/>
        <item m="1" x="125"/>
        <item m="1" x="302"/>
        <item m="1" x="121"/>
        <item m="1" x="136"/>
        <item m="1" x="206"/>
        <item m="1" x="224"/>
        <item m="1" x="258"/>
        <item m="1" x="60"/>
        <item m="1" x="79"/>
        <item m="1" x="231"/>
        <item m="1" x="249"/>
        <item m="1" x="75"/>
        <item m="1" x="91"/>
        <item m="1" x="259"/>
        <item m="1" x="189"/>
        <item m="1" x="346"/>
        <item m="1" x="32"/>
        <item m="1" x="68"/>
        <item m="1" x="166"/>
        <item m="1" x="186"/>
        <item m="1" x="26"/>
        <item m="1" x="200"/>
        <item m="1" x="41"/>
        <item m="1" x="57"/>
        <item m="1" x="216"/>
        <item m="1" x="51"/>
        <item m="1" x="228"/>
        <item m="1" x="69"/>
        <item m="1" x="315"/>
        <item m="1" x="149"/>
        <item m="1" x="180"/>
        <item m="1" x="210"/>
        <item m="1" x="309"/>
        <item m="1" x="328"/>
        <item m="1" x="167"/>
        <item m="1" x="322"/>
        <item m="1" x="341"/>
        <item m="1" x="181"/>
        <item m="1" x="354"/>
        <item m="1" x="194"/>
        <item m="1" x="172"/>
        <item m="1" x="38"/>
        <item m="1" x="211"/>
        <item m="1" x="122"/>
        <item m="1" x="296"/>
        <item m="1" x="350"/>
        <item m="1" x="133"/>
        <item m="1" x="310"/>
        <item m="1" x="154"/>
        <item m="1" x="301"/>
        <item m="1" x="90"/>
        <item m="1" x="107"/>
        <item m="1" x="246"/>
        <item x="15"/>
        <item x="2"/>
        <item x="8"/>
        <item x="19"/>
        <item x="12"/>
        <item x="4"/>
        <item m="1" x="103"/>
        <item m="1" x="255"/>
        <item m="1" x="88"/>
        <item x="0"/>
        <item x="13"/>
        <item x="7"/>
        <item x="18"/>
        <item x="6"/>
        <item x="17"/>
        <item x="5"/>
        <item x="16"/>
        <item x="1"/>
        <item x="23"/>
        <item x="14"/>
        <item m="1" x="150"/>
        <item x="11"/>
        <item x="22"/>
        <item x="3"/>
        <item x="10"/>
        <item x="21"/>
        <item x="9"/>
        <item x="20"/>
        <item m="1" x="316"/>
        <item m="1" x="335"/>
        <item m="1" x="94"/>
        <item m="1" x="108"/>
        <item m="1" x="128"/>
        <item m="1" x="95"/>
        <item m="1" x="113"/>
        <item m="1" x="155"/>
        <item m="1" x="282"/>
        <item m="1" x="52"/>
        <item m="1" x="323"/>
        <item m="1" x="311"/>
        <item m="1" x="201"/>
        <item m="1" x="212"/>
        <item m="1" x="324"/>
        <item m="1" x="61"/>
        <item m="1" x="137"/>
        <item m="1" x="202"/>
        <item m="1" x="145"/>
        <item m="1" x="288"/>
        <item m="1" x="96"/>
        <item m="1" x="70"/>
        <item m="1" x="156"/>
        <item m="1" x="53"/>
        <item m="1" x="336"/>
        <item m="1" x="283"/>
        <item m="1" x="297"/>
        <item m="1" x="244"/>
        <item m="1" x="264"/>
        <item m="1" x="76"/>
        <item m="1" x="114"/>
        <item m="1" x="329"/>
        <item m="1" x="134"/>
        <item m="1" x="85"/>
        <item m="1" x="33"/>
        <item m="1" x="317"/>
        <item m="1" x="157"/>
        <item m="1" x="303"/>
        <item m="1" x="284"/>
        <item m="1" x="182"/>
        <item m="1" x="271"/>
        <item m="1" x="190"/>
        <item m="1" x="331"/>
        <item m="1" x="176"/>
        <item m="1" x="265"/>
        <item m="1" x="162"/>
        <item m="1" x="304"/>
        <item m="1" x="146"/>
        <item m="1" x="44"/>
        <item m="1" x="260"/>
        <item m="1" x="71"/>
        <item m="1" x="213"/>
        <item m="1" x="195"/>
        <item m="1" x="285"/>
        <item m="1" x="232"/>
        <item m="1" x="183"/>
        <item m="1" x="272"/>
        <item m="1" x="80"/>
        <item m="1" x="219"/>
        <item m="1" x="27"/>
        <item m="1" x="168"/>
        <item m="1" x="62"/>
        <item m="1" x="207"/>
        <item m="1" x="347"/>
        <item m="1" x="49"/>
        <item m="1" x="138"/>
        <item m="1" x="229"/>
        <item m="1" x="39"/>
        <item m="1" x="126"/>
        <item m="1" x="355"/>
        <item m="1" x="305"/>
        <item m="1" x="115"/>
        <item m="1" x="203"/>
        <item m="1" x="342"/>
        <item m="1" x="147"/>
        <item m="1" x="289"/>
        <item m="1" x="97"/>
        <item m="1" x="45"/>
        <item m="1" x="187"/>
        <item m="1" x="351"/>
        <item m="1" x="158"/>
        <item m="1" x="109"/>
        <item m="1" x="196"/>
        <item m="1" x="337"/>
        <item m="1" x="92"/>
        <item m="1" x="233"/>
        <item m="1" x="325"/>
        <item m="1" x="273"/>
        <item m="1" x="81"/>
        <item m="1" x="220"/>
        <item m="1" x="169"/>
        <item m="1" x="312"/>
        <item m="1" x="63"/>
        <item m="1" x="177"/>
        <item m="1" x="319"/>
        <item m="1" x="77"/>
        <item m="1" x="163"/>
        <item m="1" x="306"/>
        <item m="1" x="58"/>
        <item m="1" x="204"/>
        <item m="1" x="343"/>
        <item m="1" x="148"/>
        <item m="1" x="290"/>
        <item m="1" x="238"/>
        <item m="1" x="46"/>
        <item m="1" x="276"/>
        <item m="1" x="34"/>
        <item m="1" x="173"/>
        <item m="1" x="318"/>
        <item m="1" x="123"/>
        <item m="1" x="197"/>
        <item m="1" x="338"/>
        <item m="1" x="141"/>
        <item m="1" x="286"/>
        <item m="1" x="234"/>
        <item m="1" x="184"/>
        <item m="1" x="129"/>
        <item m="1" x="274"/>
        <item m="1" x="82"/>
        <item m="1" x="221"/>
        <item m="1" x="28"/>
        <item m="1" x="170"/>
        <item m="1" x="313"/>
        <item m="1" x="256"/>
        <item m="1" x="64"/>
        <item m="1" x="208"/>
        <item m="1" x="348"/>
        <item m="1" x="151"/>
        <item m="1" x="298"/>
        <item m="1" x="245"/>
        <item m="1" x="191"/>
        <item m="1" x="332"/>
        <item m="1" x="139"/>
        <item m="1" x="279"/>
        <item m="1" x="164"/>
        <item m="1" x="307"/>
        <item m="1" x="250"/>
        <item m="1" x="205"/>
        <item m="1" x="291"/>
        <item m="1" x="98"/>
        <item m="1" x="239"/>
        <item m="1" x="47"/>
        <item m="1" x="188"/>
        <item m="1" x="330"/>
        <item m="1" x="135"/>
        <item m="1" x="86"/>
        <item m="1" x="225"/>
        <item m="1" x="35"/>
        <item m="1" x="174"/>
        <item m="1" x="261"/>
        <item m="1" x="72"/>
        <item m="1" x="214"/>
        <item m="1" x="352"/>
        <item m="1" x="159"/>
        <item m="1" x="110"/>
        <item m="1" x="247"/>
        <item m="1" x="54"/>
        <item m="1" x="130"/>
        <item m="1" x="83"/>
        <item m="1" x="117"/>
        <item m="1" x="257"/>
        <item m="1" x="65"/>
        <item m="1" x="152"/>
        <item m="1" x="104"/>
        <item m="1" x="50"/>
        <item m="1" x="192"/>
        <item m="1" x="40"/>
        <item m="1" x="217"/>
        <item m="1" x="99"/>
        <item m="1" x="240"/>
        <item m="1" x="277"/>
        <item m="1" x="87"/>
        <item m="1" x="73"/>
        <item m="1" x="111"/>
        <item m="1" x="55"/>
        <item m="1" x="339"/>
        <item m="1" x="42"/>
        <item m="1" x="299"/>
        <item m="1" x="333"/>
        <item m="1" x="280"/>
        <item m="1" x="266"/>
        <item m="1" x="251"/>
        <item m="1" x="36"/>
        <item m="1" x="175"/>
        <item m="1" x="160"/>
        <item m="1" x="198"/>
        <item m="1" x="142"/>
        <item m="1" x="235"/>
        <item m="1" x="326"/>
        <item m="1" x="131"/>
        <item m="1" x="118"/>
        <item m="1" x="178"/>
        <item m="1" x="165"/>
        <item m="1" x="116"/>
        <item m="1" x="252"/>
        <item m="1" x="292"/>
        <item m="1" x="100"/>
        <item m="1" x="56"/>
        <item m="1" x="29"/>
        <item m="1" x="66"/>
        <item m="1" x="30"/>
        <item t="default" sd="0"/>
      </items>
    </pivotField>
    <pivotField showAll="0"/>
    <pivotField dragToRow="0" dragToCol="0" dragToPage="0" showAll="0" defaultSubtotal="0"/>
  </pivotFields>
  <rowFields count="1">
    <field x="34"/>
  </rowFields>
  <rowItems count="12">
    <i>
      <x v="127"/>
    </i>
    <i>
      <x v="129"/>
    </i>
    <i>
      <x v="130"/>
    </i>
    <i>
      <x v="139"/>
    </i>
    <i>
      <x v="141"/>
    </i>
    <i>
      <x v="143"/>
    </i>
    <i>
      <x v="146"/>
    </i>
    <i>
      <x v="149"/>
    </i>
    <i>
      <x v="151"/>
    </i>
    <i>
      <x v="152"/>
    </i>
    <i>
      <x v="154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7" hier="-1"/>
  </pageFields>
  <dataFields count="2">
    <dataField name="Soma de Valor" fld="33" baseField="14" baseItem="12" numFmtId="42"/>
    <dataField name="Soma de Peso bruto" fld="32" baseField="34" baseItem="41" numFmtId="164"/>
  </dataFields>
  <formats count="1">
    <format dxfId="4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B90305-D6A6-494A-8D9D-87551B8A0EB7}" name="Tabela dinâmica1" cacheId="292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>
  <location ref="I31:K40" firstHeaderRow="0" firstDataRow="1" firstDataCol="1" rowPageCount="2" colPageCount="1"/>
  <pivotFields count="37">
    <pivotField showAll="0"/>
    <pivotField axis="axisPage" multipleItemSelectionAllowed="1" showAll="0">
      <items count="60">
        <item m="1" x="35"/>
        <item x="2"/>
        <item x="17"/>
        <item x="0"/>
        <item x="24"/>
        <item m="1" x="39"/>
        <item m="1" x="41"/>
        <item x="9"/>
        <item x="32"/>
        <item x="1"/>
        <item m="1" x="57"/>
        <item x="23"/>
        <item x="25"/>
        <item x="4"/>
        <item x="13"/>
        <item m="1" x="36"/>
        <item m="1" x="51"/>
        <item m="1" x="58"/>
        <item x="3"/>
        <item m="1" x="56"/>
        <item x="20"/>
        <item x="18"/>
        <item m="1" x="43"/>
        <item x="7"/>
        <item x="33"/>
        <item h="1" m="1" x="45"/>
        <item m="1" x="49"/>
        <item x="14"/>
        <item m="1" x="55"/>
        <item m="1" x="50"/>
        <item x="21"/>
        <item m="1" x="54"/>
        <item x="5"/>
        <item x="16"/>
        <item m="1" x="46"/>
        <item x="31"/>
        <item h="1" m="1" x="53"/>
        <item m="1" x="48"/>
        <item m="1" x="44"/>
        <item m="1" x="52"/>
        <item m="1" x="38"/>
        <item x="15"/>
        <item m="1" x="40"/>
        <item x="10"/>
        <item m="1" x="37"/>
        <item x="26"/>
        <item m="1" x="42"/>
        <item x="11"/>
        <item x="8"/>
        <item h="1" m="1" x="34"/>
        <item x="6"/>
        <item x="30"/>
        <item x="22"/>
        <item x="12"/>
        <item x="19"/>
        <item h="1" m="1" x="47"/>
        <item x="29"/>
        <item x="27"/>
        <item x="28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28">
        <item x="8"/>
        <item h="1" sd="0" x="11"/>
        <item h="1" x="13"/>
        <item h="1" x="21"/>
        <item h="1" x="18"/>
        <item h="1" x="15"/>
        <item h="1" m="1" x="26"/>
        <item h="1" x="0"/>
        <item h="1" x="1"/>
        <item h="1" x="6"/>
        <item h="1" x="2"/>
        <item h="1" x="23"/>
        <item h="1" x="22"/>
        <item h="1" x="17"/>
        <item h="1" x="7"/>
        <item h="1" x="3"/>
        <item h="1" x="5"/>
        <item h="1" x="10"/>
        <item h="1" x="12"/>
        <item h="1" x="16"/>
        <item h="1" x="14"/>
        <item h="1" x="9"/>
        <item h="1" x="4"/>
        <item h="1" x="19"/>
        <item h="1" x="24"/>
        <item h="1" x="25"/>
        <item h="1" x="20"/>
        <item t="default"/>
      </items>
    </pivotField>
    <pivotField showAll="0"/>
    <pivotField showAll="0"/>
    <pivotField showAll="0"/>
    <pivotField showAll="0"/>
    <pivotField showAll="0"/>
    <pivotField numFmtId="14" showAll="0"/>
    <pivotField numFmtId="14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axis="axisRow" showAll="0" sortType="ascending">
      <items count="357">
        <item sd="0" m="1" x="24"/>
        <item m="1" x="226"/>
        <item sd="0" m="1" x="119"/>
        <item sd="0" m="1" x="230"/>
        <item sd="0" m="1" x="344"/>
        <item sd="0" m="1" x="67"/>
        <item sd="0" m="1" x="124"/>
        <item sd="0" m="1" x="179"/>
        <item sd="0" m="1" x="236"/>
        <item sd="0" m="1" x="262"/>
        <item sd="0" m="1" x="293"/>
        <item sd="0" m="1" x="320"/>
        <item sd="0" m="1" x="349"/>
        <item sd="0" m="1" x="43"/>
        <item sd="0" m="1" x="74"/>
        <item sd="0" m="1" x="101"/>
        <item sd="0" m="1" x="127"/>
        <item sd="0" m="1" x="140"/>
        <item sd="0" m="1" x="153"/>
        <item sd="0" m="1" x="171"/>
        <item sd="0" m="1" x="185"/>
        <item sd="0" m="1" x="199"/>
        <item sd="0" m="1" x="215"/>
        <item sd="0" m="1" x="227"/>
        <item sd="0" m="1" x="241"/>
        <item sd="0" m="1" x="253"/>
        <item sd="0" m="1" x="267"/>
        <item sd="0" m="1" x="281"/>
        <item sd="0" m="1" x="300"/>
        <item sd="0" m="1" x="314"/>
        <item sd="0" m="1" x="327"/>
        <item sd="0" m="1" x="340"/>
        <item sd="0" m="1" x="353"/>
        <item sd="0" m="1" x="193"/>
        <item sd="0" m="1" x="37"/>
        <item sd="0" m="1" x="209"/>
        <item sd="0" m="1" x="48"/>
        <item sd="0" m="1" x="222"/>
        <item sd="0" m="1" x="59"/>
        <item sd="0" m="1" x="237"/>
        <item sd="0" m="1" x="78"/>
        <item sd="0" m="1" x="248"/>
        <item sd="0" m="1" x="89"/>
        <item sd="0" m="1" x="263"/>
        <item sd="0" m="1" x="105"/>
        <item sd="0" m="1" x="278"/>
        <item sd="0" m="1" x="120"/>
        <item m="1" x="294"/>
        <item sd="0" m="1" x="132"/>
        <item sd="0" m="1" x="308"/>
        <item m="1" x="143"/>
        <item sd="0" m="1" x="321"/>
        <item m="1" x="161"/>
        <item sd="0" m="1" x="334"/>
        <item m="1" x="287"/>
        <item m="1" x="144"/>
        <item m="1" x="295"/>
        <item m="1" x="268"/>
        <item m="1" x="102"/>
        <item m="1" x="106"/>
        <item m="1" x="275"/>
        <item m="1" x="242"/>
        <item m="1" x="345"/>
        <item m="1" x="31"/>
        <item m="1" x="25"/>
        <item m="1" x="223"/>
        <item m="1" x="243"/>
        <item m="1" x="84"/>
        <item m="1" x="269"/>
        <item m="1" x="218"/>
        <item m="1" x="254"/>
        <item m="1" x="93"/>
        <item m="1" x="270"/>
        <item m="1" x="112"/>
        <item m="1" x="125"/>
        <item m="1" x="302"/>
        <item m="1" x="121"/>
        <item m="1" x="136"/>
        <item m="1" x="206"/>
        <item m="1" x="224"/>
        <item m="1" x="258"/>
        <item m="1" x="60"/>
        <item m="1" x="79"/>
        <item m="1" x="231"/>
        <item m="1" x="249"/>
        <item m="1" x="75"/>
        <item m="1" x="91"/>
        <item m="1" x="259"/>
        <item m="1" x="189"/>
        <item m="1" x="346"/>
        <item m="1" x="32"/>
        <item m="1" x="68"/>
        <item m="1" x="166"/>
        <item m="1" x="186"/>
        <item m="1" x="26"/>
        <item m="1" x="200"/>
        <item m="1" x="41"/>
        <item m="1" x="57"/>
        <item m="1" x="216"/>
        <item m="1" x="51"/>
        <item m="1" x="228"/>
        <item m="1" x="69"/>
        <item m="1" x="315"/>
        <item m="1" x="149"/>
        <item m="1" x="180"/>
        <item m="1" x="210"/>
        <item m="1" x="309"/>
        <item m="1" x="328"/>
        <item m="1" x="167"/>
        <item m="1" x="322"/>
        <item m="1" x="341"/>
        <item m="1" x="181"/>
        <item m="1" x="354"/>
        <item m="1" x="194"/>
        <item m="1" x="172"/>
        <item m="1" x="38"/>
        <item m="1" x="211"/>
        <item m="1" x="122"/>
        <item m="1" x="296"/>
        <item m="1" x="350"/>
        <item m="1" x="133"/>
        <item m="1" x="310"/>
        <item m="1" x="154"/>
        <item m="1" x="301"/>
        <item m="1" x="90"/>
        <item m="1" x="107"/>
        <item m="1" x="246"/>
        <item x="15"/>
        <item x="2"/>
        <item x="8"/>
        <item x="19"/>
        <item x="12"/>
        <item x="4"/>
        <item m="1" x="103"/>
        <item m="1" x="255"/>
        <item m="1" x="88"/>
        <item x="0"/>
        <item x="13"/>
        <item x="7"/>
        <item x="18"/>
        <item x="6"/>
        <item x="17"/>
        <item x="5"/>
        <item x="16"/>
        <item x="1"/>
        <item x="23"/>
        <item x="14"/>
        <item m="1" x="150"/>
        <item x="11"/>
        <item x="22"/>
        <item x="3"/>
        <item x="10"/>
        <item x="21"/>
        <item x="9"/>
        <item x="20"/>
        <item m="1" x="316"/>
        <item m="1" x="335"/>
        <item m="1" x="94"/>
        <item m="1" x="108"/>
        <item m="1" x="128"/>
        <item m="1" x="95"/>
        <item m="1" x="113"/>
        <item m="1" x="155"/>
        <item m="1" x="282"/>
        <item m="1" x="52"/>
        <item m="1" x="323"/>
        <item m="1" x="311"/>
        <item m="1" x="201"/>
        <item m="1" x="212"/>
        <item m="1" x="324"/>
        <item m="1" x="61"/>
        <item m="1" x="137"/>
        <item m="1" x="202"/>
        <item m="1" x="145"/>
        <item m="1" x="288"/>
        <item m="1" x="96"/>
        <item m="1" x="70"/>
        <item m="1" x="156"/>
        <item m="1" x="53"/>
        <item m="1" x="336"/>
        <item m="1" x="283"/>
        <item m="1" x="297"/>
        <item m="1" x="244"/>
        <item m="1" x="264"/>
        <item m="1" x="76"/>
        <item m="1" x="114"/>
        <item m="1" x="329"/>
        <item m="1" x="134"/>
        <item m="1" x="85"/>
        <item m="1" x="33"/>
        <item m="1" x="317"/>
        <item m="1" x="157"/>
        <item m="1" x="303"/>
        <item m="1" x="284"/>
        <item m="1" x="182"/>
        <item m="1" x="271"/>
        <item m="1" x="190"/>
        <item m="1" x="331"/>
        <item m="1" x="176"/>
        <item m="1" x="265"/>
        <item m="1" x="162"/>
        <item m="1" x="304"/>
        <item m="1" x="146"/>
        <item m="1" x="44"/>
        <item m="1" x="260"/>
        <item m="1" x="71"/>
        <item m="1" x="213"/>
        <item m="1" x="195"/>
        <item m="1" x="285"/>
        <item m="1" x="232"/>
        <item m="1" x="183"/>
        <item m="1" x="272"/>
        <item m="1" x="80"/>
        <item m="1" x="219"/>
        <item m="1" x="27"/>
        <item m="1" x="168"/>
        <item m="1" x="62"/>
        <item m="1" x="207"/>
        <item m="1" x="347"/>
        <item m="1" x="49"/>
        <item m="1" x="138"/>
        <item m="1" x="229"/>
        <item m="1" x="39"/>
        <item m="1" x="126"/>
        <item m="1" x="355"/>
        <item m="1" x="305"/>
        <item m="1" x="115"/>
        <item m="1" x="203"/>
        <item m="1" x="342"/>
        <item m="1" x="147"/>
        <item m="1" x="289"/>
        <item m="1" x="97"/>
        <item m="1" x="45"/>
        <item m="1" x="187"/>
        <item m="1" x="351"/>
        <item m="1" x="158"/>
        <item m="1" x="109"/>
        <item m="1" x="196"/>
        <item m="1" x="337"/>
        <item m="1" x="92"/>
        <item m="1" x="233"/>
        <item m="1" x="325"/>
        <item m="1" x="273"/>
        <item m="1" x="81"/>
        <item m="1" x="220"/>
        <item m="1" x="169"/>
        <item m="1" x="312"/>
        <item m="1" x="63"/>
        <item m="1" x="177"/>
        <item m="1" x="319"/>
        <item m="1" x="77"/>
        <item m="1" x="163"/>
        <item m="1" x="306"/>
        <item m="1" x="58"/>
        <item m="1" x="204"/>
        <item m="1" x="343"/>
        <item m="1" x="148"/>
        <item m="1" x="290"/>
        <item m="1" x="238"/>
        <item m="1" x="46"/>
        <item m="1" x="276"/>
        <item m="1" x="34"/>
        <item m="1" x="173"/>
        <item m="1" x="318"/>
        <item m="1" x="123"/>
        <item m="1" x="197"/>
        <item m="1" x="338"/>
        <item m="1" x="141"/>
        <item m="1" x="286"/>
        <item m="1" x="234"/>
        <item m="1" x="184"/>
        <item m="1" x="129"/>
        <item m="1" x="274"/>
        <item m="1" x="82"/>
        <item m="1" x="221"/>
        <item m="1" x="28"/>
        <item m="1" x="170"/>
        <item m="1" x="313"/>
        <item m="1" x="256"/>
        <item m="1" x="64"/>
        <item m="1" x="208"/>
        <item m="1" x="348"/>
        <item m="1" x="151"/>
        <item m="1" x="298"/>
        <item m="1" x="245"/>
        <item m="1" x="191"/>
        <item m="1" x="332"/>
        <item m="1" x="139"/>
        <item m="1" x="279"/>
        <item m="1" x="164"/>
        <item m="1" x="307"/>
        <item m="1" x="250"/>
        <item m="1" x="205"/>
        <item m="1" x="291"/>
        <item m="1" x="98"/>
        <item m="1" x="239"/>
        <item m="1" x="47"/>
        <item m="1" x="188"/>
        <item m="1" x="330"/>
        <item m="1" x="135"/>
        <item m="1" x="86"/>
        <item m="1" x="225"/>
        <item m="1" x="35"/>
        <item m="1" x="174"/>
        <item m="1" x="261"/>
        <item m="1" x="72"/>
        <item m="1" x="214"/>
        <item m="1" x="352"/>
        <item m="1" x="159"/>
        <item m="1" x="110"/>
        <item m="1" x="247"/>
        <item m="1" x="54"/>
        <item m="1" x="130"/>
        <item m="1" x="83"/>
        <item m="1" x="117"/>
        <item m="1" x="257"/>
        <item m="1" x="65"/>
        <item m="1" x="152"/>
        <item m="1" x="104"/>
        <item m="1" x="50"/>
        <item m="1" x="192"/>
        <item m="1" x="40"/>
        <item m="1" x="217"/>
        <item m="1" x="99"/>
        <item m="1" x="240"/>
        <item m="1" x="277"/>
        <item m="1" x="87"/>
        <item m="1" x="73"/>
        <item m="1" x="111"/>
        <item m="1" x="55"/>
        <item m="1" x="339"/>
        <item m="1" x="42"/>
        <item m="1" x="299"/>
        <item m="1" x="333"/>
        <item m="1" x="280"/>
        <item m="1" x="266"/>
        <item m="1" x="251"/>
        <item m="1" x="36"/>
        <item m="1" x="175"/>
        <item m="1" x="160"/>
        <item m="1" x="198"/>
        <item m="1" x="142"/>
        <item m="1" x="235"/>
        <item m="1" x="326"/>
        <item m="1" x="131"/>
        <item m="1" x="118"/>
        <item m="1" x="178"/>
        <item m="1" x="165"/>
        <item m="1" x="116"/>
        <item m="1" x="252"/>
        <item m="1" x="292"/>
        <item m="1" x="100"/>
        <item m="1" x="56"/>
        <item m="1" x="29"/>
        <item m="1" x="66"/>
        <item m="1" x="30"/>
        <item t="default" sd="0"/>
      </items>
    </pivotField>
    <pivotField showAll="0"/>
    <pivotField dragToRow="0" dragToCol="0" dragToPage="0" showAll="0" defaultSubtotal="0"/>
  </pivotFields>
  <rowFields count="1">
    <field x="34"/>
  </rowFields>
  <rowItems count="9">
    <i>
      <x v="127"/>
    </i>
    <i>
      <x v="129"/>
    </i>
    <i>
      <x v="130"/>
    </i>
    <i>
      <x v="139"/>
    </i>
    <i>
      <x v="141"/>
    </i>
    <i>
      <x v="143"/>
    </i>
    <i>
      <x v="146"/>
    </i>
    <i>
      <x v="154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7" hier="-1"/>
  </pageFields>
  <dataFields count="2">
    <dataField name="Soma de Valor" fld="33" baseField="14" baseItem="12" numFmtId="42"/>
    <dataField name="Soma de Peso bruto" fld="32" baseField="34" baseItem="41" numFmtId="164"/>
  </dataFields>
  <formats count="1">
    <format dxfId="3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3A18B5-3465-4776-BBC1-429270DA5753}" name="Tabela dinâmicaDRI" cacheId="292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>
  <location ref="I31:K40" firstHeaderRow="0" firstDataRow="1" firstDataCol="1" rowPageCount="2" colPageCount="1"/>
  <pivotFields count="37">
    <pivotField showAll="0"/>
    <pivotField axis="axisPage" multipleItemSelectionAllowed="1" showAll="0">
      <items count="60">
        <item m="1" x="35"/>
        <item x="2"/>
        <item x="17"/>
        <item x="0"/>
        <item x="24"/>
        <item m="1" x="39"/>
        <item m="1" x="41"/>
        <item x="9"/>
        <item x="32"/>
        <item x="1"/>
        <item m="1" x="57"/>
        <item x="23"/>
        <item x="25"/>
        <item x="4"/>
        <item x="13"/>
        <item m="1" x="36"/>
        <item m="1" x="51"/>
        <item m="1" x="58"/>
        <item x="3"/>
        <item m="1" x="56"/>
        <item x="20"/>
        <item x="18"/>
        <item m="1" x="43"/>
        <item x="7"/>
        <item x="33"/>
        <item h="1" m="1" x="45"/>
        <item m="1" x="49"/>
        <item x="14"/>
        <item m="1" x="55"/>
        <item m="1" x="50"/>
        <item x="21"/>
        <item m="1" x="54"/>
        <item x="5"/>
        <item x="16"/>
        <item m="1" x="46"/>
        <item x="31"/>
        <item h="1" m="1" x="53"/>
        <item m="1" x="48"/>
        <item m="1" x="44"/>
        <item m="1" x="52"/>
        <item m="1" x="38"/>
        <item x="15"/>
        <item m="1" x="40"/>
        <item x="10"/>
        <item m="1" x="37"/>
        <item x="26"/>
        <item m="1" x="42"/>
        <item x="11"/>
        <item x="8"/>
        <item h="1" m="1" x="34"/>
        <item x="6"/>
        <item x="30"/>
        <item x="22"/>
        <item x="12"/>
        <item x="19"/>
        <item h="1" m="1" x="47"/>
        <item x="29"/>
        <item x="27"/>
        <item x="28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28">
        <item h="1" x="8"/>
        <item h="1" sd="0" x="11"/>
        <item h="1" x="13"/>
        <item h="1" x="21"/>
        <item h="1" x="18"/>
        <item h="1" x="15"/>
        <item h="1" m="1" x="26"/>
        <item h="1" x="0"/>
        <item h="1" x="1"/>
        <item x="6"/>
        <item h="1" x="2"/>
        <item h="1" x="23"/>
        <item h="1" x="22"/>
        <item h="1" x="17"/>
        <item h="1" x="7"/>
        <item h="1" x="3"/>
        <item h="1" x="5"/>
        <item x="10"/>
        <item h="1" x="12"/>
        <item h="1" x="16"/>
        <item h="1" x="14"/>
        <item h="1" x="9"/>
        <item h="1" x="4"/>
        <item h="1" x="19"/>
        <item h="1" x="24"/>
        <item h="1" x="25"/>
        <item h="1" x="20"/>
        <item t="default"/>
      </items>
    </pivotField>
    <pivotField showAll="0"/>
    <pivotField showAll="0"/>
    <pivotField showAll="0"/>
    <pivotField showAll="0"/>
    <pivotField showAll="0"/>
    <pivotField numFmtId="14" showAll="0"/>
    <pivotField numFmtId="14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axis="axisRow" showAll="0" sortType="ascending">
      <items count="357">
        <item sd="0" m="1" x="24"/>
        <item m="1" x="226"/>
        <item sd="0" m="1" x="119"/>
        <item sd="0" m="1" x="230"/>
        <item sd="0" m="1" x="344"/>
        <item sd="0" m="1" x="67"/>
        <item sd="0" m="1" x="124"/>
        <item sd="0" m="1" x="179"/>
        <item sd="0" m="1" x="236"/>
        <item sd="0" m="1" x="262"/>
        <item sd="0" m="1" x="293"/>
        <item sd="0" m="1" x="320"/>
        <item sd="0" m="1" x="349"/>
        <item sd="0" m="1" x="43"/>
        <item sd="0" m="1" x="74"/>
        <item sd="0" m="1" x="101"/>
        <item sd="0" m="1" x="127"/>
        <item sd="0" m="1" x="140"/>
        <item sd="0" m="1" x="153"/>
        <item sd="0" m="1" x="171"/>
        <item sd="0" m="1" x="185"/>
        <item sd="0" m="1" x="199"/>
        <item sd="0" m="1" x="215"/>
        <item sd="0" m="1" x="227"/>
        <item sd="0" m="1" x="241"/>
        <item sd="0" m="1" x="253"/>
        <item sd="0" m="1" x="267"/>
        <item sd="0" m="1" x="281"/>
        <item sd="0" m="1" x="300"/>
        <item sd="0" m="1" x="314"/>
        <item sd="0" m="1" x="327"/>
        <item sd="0" m="1" x="340"/>
        <item sd="0" m="1" x="353"/>
        <item sd="0" m="1" x="193"/>
        <item sd="0" m="1" x="37"/>
        <item sd="0" m="1" x="209"/>
        <item sd="0" m="1" x="48"/>
        <item sd="0" m="1" x="222"/>
        <item sd="0" m="1" x="59"/>
        <item sd="0" m="1" x="237"/>
        <item sd="0" m="1" x="78"/>
        <item sd="0" m="1" x="248"/>
        <item sd="0" m="1" x="89"/>
        <item sd="0" m="1" x="263"/>
        <item sd="0" m="1" x="105"/>
        <item sd="0" m="1" x="278"/>
        <item sd="0" m="1" x="120"/>
        <item m="1" x="294"/>
        <item sd="0" m="1" x="132"/>
        <item sd="0" m="1" x="308"/>
        <item m="1" x="143"/>
        <item sd="0" m="1" x="321"/>
        <item m="1" x="161"/>
        <item sd="0" m="1" x="334"/>
        <item m="1" x="287"/>
        <item m="1" x="144"/>
        <item m="1" x="295"/>
        <item m="1" x="268"/>
        <item m="1" x="102"/>
        <item m="1" x="106"/>
        <item m="1" x="275"/>
        <item m="1" x="242"/>
        <item m="1" x="345"/>
        <item m="1" x="31"/>
        <item m="1" x="25"/>
        <item m="1" x="223"/>
        <item m="1" x="243"/>
        <item m="1" x="84"/>
        <item m="1" x="269"/>
        <item m="1" x="218"/>
        <item m="1" x="254"/>
        <item m="1" x="93"/>
        <item m="1" x="270"/>
        <item m="1" x="112"/>
        <item m="1" x="125"/>
        <item m="1" x="302"/>
        <item m="1" x="121"/>
        <item m="1" x="136"/>
        <item m="1" x="206"/>
        <item m="1" x="224"/>
        <item m="1" x="258"/>
        <item m="1" x="60"/>
        <item m="1" x="79"/>
        <item m="1" x="231"/>
        <item m="1" x="249"/>
        <item m="1" x="75"/>
        <item m="1" x="91"/>
        <item m="1" x="259"/>
        <item m="1" x="189"/>
        <item m="1" x="346"/>
        <item m="1" x="32"/>
        <item m="1" x="68"/>
        <item m="1" x="166"/>
        <item m="1" x="186"/>
        <item m="1" x="26"/>
        <item m="1" x="200"/>
        <item m="1" x="41"/>
        <item m="1" x="57"/>
        <item m="1" x="216"/>
        <item m="1" x="51"/>
        <item m="1" x="228"/>
        <item m="1" x="69"/>
        <item m="1" x="315"/>
        <item m="1" x="149"/>
        <item m="1" x="180"/>
        <item m="1" x="210"/>
        <item m="1" x="309"/>
        <item m="1" x="328"/>
        <item m="1" x="167"/>
        <item m="1" x="322"/>
        <item m="1" x="341"/>
        <item m="1" x="181"/>
        <item m="1" x="354"/>
        <item m="1" x="194"/>
        <item m="1" x="172"/>
        <item m="1" x="38"/>
        <item m="1" x="211"/>
        <item m="1" x="122"/>
        <item m="1" x="296"/>
        <item m="1" x="350"/>
        <item m="1" x="133"/>
        <item m="1" x="310"/>
        <item m="1" x="154"/>
        <item m="1" x="301"/>
        <item m="1" x="90"/>
        <item m="1" x="107"/>
        <item m="1" x="246"/>
        <item x="15"/>
        <item x="2"/>
        <item x="8"/>
        <item x="19"/>
        <item x="12"/>
        <item x="4"/>
        <item m="1" x="103"/>
        <item m="1" x="255"/>
        <item m="1" x="88"/>
        <item x="0"/>
        <item x="13"/>
        <item x="7"/>
        <item x="18"/>
        <item x="6"/>
        <item x="17"/>
        <item x="5"/>
        <item x="16"/>
        <item x="1"/>
        <item x="23"/>
        <item x="14"/>
        <item m="1" x="150"/>
        <item x="11"/>
        <item x="22"/>
        <item x="3"/>
        <item x="10"/>
        <item x="21"/>
        <item x="9"/>
        <item x="20"/>
        <item m="1" x="316"/>
        <item m="1" x="335"/>
        <item m="1" x="94"/>
        <item m="1" x="108"/>
        <item m="1" x="128"/>
        <item m="1" x="95"/>
        <item m="1" x="113"/>
        <item m="1" x="155"/>
        <item m="1" x="282"/>
        <item m="1" x="52"/>
        <item m="1" x="323"/>
        <item m="1" x="311"/>
        <item m="1" x="201"/>
        <item m="1" x="212"/>
        <item m="1" x="324"/>
        <item m="1" x="61"/>
        <item m="1" x="137"/>
        <item m="1" x="202"/>
        <item m="1" x="145"/>
        <item m="1" x="288"/>
        <item m="1" x="96"/>
        <item m="1" x="70"/>
        <item m="1" x="156"/>
        <item m="1" x="53"/>
        <item m="1" x="336"/>
        <item m="1" x="283"/>
        <item m="1" x="297"/>
        <item m="1" x="244"/>
        <item m="1" x="264"/>
        <item m="1" x="76"/>
        <item m="1" x="114"/>
        <item m="1" x="329"/>
        <item m="1" x="134"/>
        <item m="1" x="85"/>
        <item m="1" x="33"/>
        <item m="1" x="317"/>
        <item m="1" x="157"/>
        <item m="1" x="303"/>
        <item m="1" x="284"/>
        <item m="1" x="182"/>
        <item m="1" x="271"/>
        <item m="1" x="190"/>
        <item m="1" x="331"/>
        <item m="1" x="176"/>
        <item m="1" x="265"/>
        <item m="1" x="162"/>
        <item m="1" x="304"/>
        <item m="1" x="146"/>
        <item m="1" x="44"/>
        <item m="1" x="260"/>
        <item m="1" x="71"/>
        <item m="1" x="213"/>
        <item m="1" x="195"/>
        <item m="1" x="285"/>
        <item m="1" x="232"/>
        <item m="1" x="183"/>
        <item m="1" x="272"/>
        <item m="1" x="80"/>
        <item m="1" x="219"/>
        <item m="1" x="27"/>
        <item m="1" x="168"/>
        <item m="1" x="62"/>
        <item m="1" x="207"/>
        <item m="1" x="347"/>
        <item m="1" x="49"/>
        <item m="1" x="138"/>
        <item m="1" x="229"/>
        <item m="1" x="39"/>
        <item m="1" x="126"/>
        <item m="1" x="355"/>
        <item m="1" x="305"/>
        <item m="1" x="115"/>
        <item m="1" x="203"/>
        <item m="1" x="342"/>
        <item m="1" x="147"/>
        <item m="1" x="289"/>
        <item m="1" x="97"/>
        <item m="1" x="45"/>
        <item m="1" x="187"/>
        <item m="1" x="351"/>
        <item m="1" x="158"/>
        <item m="1" x="109"/>
        <item m="1" x="196"/>
        <item m="1" x="337"/>
        <item m="1" x="92"/>
        <item m="1" x="233"/>
        <item m="1" x="325"/>
        <item m="1" x="273"/>
        <item m="1" x="81"/>
        <item m="1" x="220"/>
        <item m="1" x="169"/>
        <item m="1" x="312"/>
        <item m="1" x="63"/>
        <item m="1" x="177"/>
        <item m="1" x="319"/>
        <item m="1" x="77"/>
        <item m="1" x="163"/>
        <item m="1" x="306"/>
        <item m="1" x="58"/>
        <item m="1" x="204"/>
        <item m="1" x="343"/>
        <item m="1" x="148"/>
        <item m="1" x="290"/>
        <item m="1" x="238"/>
        <item m="1" x="46"/>
        <item m="1" x="276"/>
        <item m="1" x="34"/>
        <item m="1" x="173"/>
        <item m="1" x="318"/>
        <item m="1" x="123"/>
        <item m="1" x="197"/>
        <item m="1" x="338"/>
        <item m="1" x="141"/>
        <item m="1" x="286"/>
        <item m="1" x="234"/>
        <item m="1" x="184"/>
        <item m="1" x="129"/>
        <item m="1" x="274"/>
        <item m="1" x="82"/>
        <item m="1" x="221"/>
        <item m="1" x="28"/>
        <item m="1" x="170"/>
        <item m="1" x="313"/>
        <item m="1" x="256"/>
        <item m="1" x="64"/>
        <item m="1" x="208"/>
        <item m="1" x="348"/>
        <item m="1" x="151"/>
        <item m="1" x="298"/>
        <item m="1" x="245"/>
        <item m="1" x="191"/>
        <item m="1" x="332"/>
        <item m="1" x="139"/>
        <item m="1" x="279"/>
        <item m="1" x="164"/>
        <item m="1" x="307"/>
        <item m="1" x="250"/>
        <item m="1" x="205"/>
        <item m="1" x="291"/>
        <item m="1" x="98"/>
        <item m="1" x="239"/>
        <item m="1" x="47"/>
        <item m="1" x="188"/>
        <item m="1" x="330"/>
        <item m="1" x="135"/>
        <item m="1" x="86"/>
        <item m="1" x="225"/>
        <item m="1" x="35"/>
        <item m="1" x="174"/>
        <item m="1" x="261"/>
        <item m="1" x="72"/>
        <item m="1" x="214"/>
        <item m="1" x="352"/>
        <item m="1" x="159"/>
        <item m="1" x="110"/>
        <item m="1" x="247"/>
        <item m="1" x="54"/>
        <item m="1" x="130"/>
        <item m="1" x="83"/>
        <item m="1" x="117"/>
        <item m="1" x="257"/>
        <item m="1" x="65"/>
        <item m="1" x="152"/>
        <item m="1" x="104"/>
        <item m="1" x="50"/>
        <item m="1" x="192"/>
        <item m="1" x="40"/>
        <item m="1" x="217"/>
        <item m="1" x="99"/>
        <item m="1" x="240"/>
        <item m="1" x="277"/>
        <item m="1" x="87"/>
        <item m="1" x="73"/>
        <item m="1" x="111"/>
        <item m="1" x="55"/>
        <item m="1" x="339"/>
        <item m="1" x="42"/>
        <item m="1" x="299"/>
        <item m="1" x="333"/>
        <item m="1" x="280"/>
        <item m="1" x="266"/>
        <item m="1" x="251"/>
        <item m="1" x="36"/>
        <item m="1" x="175"/>
        <item m="1" x="160"/>
        <item m="1" x="198"/>
        <item m="1" x="142"/>
        <item m="1" x="235"/>
        <item m="1" x="326"/>
        <item m="1" x="131"/>
        <item m="1" x="118"/>
        <item m="1" x="178"/>
        <item m="1" x="165"/>
        <item m="1" x="116"/>
        <item m="1" x="252"/>
        <item m="1" x="292"/>
        <item m="1" x="100"/>
        <item m="1" x="56"/>
        <item m="1" x="29"/>
        <item m="1" x="66"/>
        <item m="1" x="30"/>
        <item t="default" sd="0"/>
      </items>
    </pivotField>
    <pivotField showAll="0"/>
    <pivotField dragToRow="0" dragToCol="0" dragToPage="0" showAll="0" defaultSubtotal="0"/>
  </pivotFields>
  <rowFields count="1">
    <field x="34"/>
  </rowFields>
  <rowItems count="9">
    <i>
      <x v="127"/>
    </i>
    <i>
      <x v="130"/>
    </i>
    <i>
      <x v="139"/>
    </i>
    <i>
      <x v="141"/>
    </i>
    <i>
      <x v="143"/>
    </i>
    <i>
      <x v="146"/>
    </i>
    <i>
      <x v="152"/>
    </i>
    <i>
      <x v="154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7" hier="-1"/>
  </pageFields>
  <dataFields count="2">
    <dataField name="Soma de Valor" fld="33" baseField="14" baseItem="12" numFmtId="42"/>
    <dataField name="Soma de Peso bruto" fld="32" baseField="34" baseItem="41" numFmtId="164"/>
  </dataFields>
  <formats count="1">
    <format dxfId="2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F17426-0B6E-4A8C-B113-58345A8E9BFE}" name="Tabela dinâmica1" cacheId="292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>
  <location ref="I31:K37" firstHeaderRow="0" firstDataRow="1" firstDataCol="1" rowPageCount="2" colPageCount="1"/>
  <pivotFields count="37">
    <pivotField showAll="0"/>
    <pivotField axis="axisPage" multipleItemSelectionAllowed="1" showAll="0">
      <items count="60">
        <item m="1" x="35"/>
        <item x="2"/>
        <item x="17"/>
        <item x="0"/>
        <item x="24"/>
        <item m="1" x="39"/>
        <item m="1" x="41"/>
        <item x="9"/>
        <item x="32"/>
        <item x="1"/>
        <item m="1" x="57"/>
        <item x="23"/>
        <item x="25"/>
        <item x="4"/>
        <item x="13"/>
        <item m="1" x="36"/>
        <item m="1" x="51"/>
        <item m="1" x="58"/>
        <item x="3"/>
        <item m="1" x="56"/>
        <item x="20"/>
        <item x="18"/>
        <item m="1" x="43"/>
        <item x="7"/>
        <item x="33"/>
        <item h="1" m="1" x="45"/>
        <item m="1" x="49"/>
        <item x="14"/>
        <item m="1" x="55"/>
        <item m="1" x="50"/>
        <item x="21"/>
        <item m="1" x="54"/>
        <item x="5"/>
        <item x="16"/>
        <item m="1" x="46"/>
        <item x="31"/>
        <item h="1" m="1" x="53"/>
        <item m="1" x="48"/>
        <item m="1" x="44"/>
        <item m="1" x="52"/>
        <item m="1" x="38"/>
        <item x="15"/>
        <item m="1" x="40"/>
        <item x="10"/>
        <item m="1" x="37"/>
        <item x="26"/>
        <item m="1" x="42"/>
        <item x="11"/>
        <item x="8"/>
        <item h="1" m="1" x="34"/>
        <item x="6"/>
        <item x="30"/>
        <item x="22"/>
        <item x="12"/>
        <item x="19"/>
        <item h="1" m="1" x="47"/>
        <item x="29"/>
        <item x="27"/>
        <item x="28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28">
        <item h="1" x="8"/>
        <item h="1" sd="0" x="11"/>
        <item h="1" x="13"/>
        <item h="1" x="21"/>
        <item h="1" x="18"/>
        <item h="1" x="15"/>
        <item h="1" m="1" x="26"/>
        <item h="1" x="0"/>
        <item h="1" x="1"/>
        <item h="1" x="6"/>
        <item h="1" x="2"/>
        <item h="1" x="23"/>
        <item h="1" x="22"/>
        <item x="17"/>
        <item h="1" x="7"/>
        <item h="1" x="3"/>
        <item h="1" x="5"/>
        <item h="1" x="10"/>
        <item h="1" x="12"/>
        <item h="1" x="16"/>
        <item h="1" x="14"/>
        <item h="1" x="9"/>
        <item h="1" x="4"/>
        <item h="1" x="19"/>
        <item h="1" x="24"/>
        <item h="1" x="25"/>
        <item h="1" x="20"/>
        <item t="default"/>
      </items>
    </pivotField>
    <pivotField showAll="0"/>
    <pivotField showAll="0"/>
    <pivotField showAll="0"/>
    <pivotField showAll="0"/>
    <pivotField showAll="0"/>
    <pivotField numFmtId="14" showAll="0"/>
    <pivotField numFmtId="14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axis="axisRow" showAll="0" sortType="ascending">
      <items count="357">
        <item sd="0" m="1" x="24"/>
        <item m="1" x="226"/>
        <item sd="0" m="1" x="119"/>
        <item sd="0" m="1" x="230"/>
        <item sd="0" m="1" x="344"/>
        <item sd="0" m="1" x="67"/>
        <item sd="0" m="1" x="124"/>
        <item sd="0" m="1" x="179"/>
        <item sd="0" m="1" x="236"/>
        <item sd="0" m="1" x="262"/>
        <item sd="0" m="1" x="293"/>
        <item sd="0" m="1" x="320"/>
        <item sd="0" m="1" x="349"/>
        <item sd="0" m="1" x="43"/>
        <item sd="0" m="1" x="74"/>
        <item sd="0" m="1" x="101"/>
        <item sd="0" m="1" x="127"/>
        <item sd="0" m="1" x="140"/>
        <item sd="0" m="1" x="153"/>
        <item sd="0" m="1" x="171"/>
        <item sd="0" m="1" x="185"/>
        <item sd="0" m="1" x="199"/>
        <item sd="0" m="1" x="215"/>
        <item sd="0" m="1" x="227"/>
        <item sd="0" m="1" x="241"/>
        <item sd="0" m="1" x="253"/>
        <item sd="0" m="1" x="267"/>
        <item sd="0" m="1" x="281"/>
        <item sd="0" m="1" x="300"/>
        <item sd="0" m="1" x="314"/>
        <item sd="0" m="1" x="327"/>
        <item sd="0" m="1" x="340"/>
        <item sd="0" m="1" x="353"/>
        <item sd="0" m="1" x="193"/>
        <item sd="0" m="1" x="37"/>
        <item sd="0" m="1" x="209"/>
        <item sd="0" m="1" x="48"/>
        <item sd="0" m="1" x="222"/>
        <item sd="0" m="1" x="59"/>
        <item sd="0" m="1" x="237"/>
        <item sd="0" m="1" x="78"/>
        <item sd="0" m="1" x="248"/>
        <item sd="0" m="1" x="89"/>
        <item sd="0" m="1" x="263"/>
        <item sd="0" m="1" x="105"/>
        <item sd="0" m="1" x="278"/>
        <item sd="0" m="1" x="120"/>
        <item m="1" x="294"/>
        <item sd="0" m="1" x="132"/>
        <item sd="0" m="1" x="308"/>
        <item m="1" x="143"/>
        <item sd="0" m="1" x="321"/>
        <item m="1" x="161"/>
        <item sd="0" m="1" x="334"/>
        <item m="1" x="287"/>
        <item m="1" x="144"/>
        <item m="1" x="295"/>
        <item m="1" x="268"/>
        <item m="1" x="102"/>
        <item m="1" x="106"/>
        <item m="1" x="275"/>
        <item m="1" x="242"/>
        <item m="1" x="345"/>
        <item m="1" x="31"/>
        <item m="1" x="25"/>
        <item m="1" x="223"/>
        <item m="1" x="243"/>
        <item m="1" x="84"/>
        <item m="1" x="269"/>
        <item m="1" x="218"/>
        <item m="1" x="254"/>
        <item m="1" x="93"/>
        <item m="1" x="270"/>
        <item m="1" x="112"/>
        <item m="1" x="125"/>
        <item m="1" x="302"/>
        <item m="1" x="121"/>
        <item m="1" x="136"/>
        <item m="1" x="206"/>
        <item m="1" x="224"/>
        <item m="1" x="258"/>
        <item m="1" x="60"/>
        <item m="1" x="79"/>
        <item m="1" x="231"/>
        <item m="1" x="249"/>
        <item m="1" x="75"/>
        <item m="1" x="91"/>
        <item m="1" x="259"/>
        <item m="1" x="189"/>
        <item m="1" x="346"/>
        <item m="1" x="32"/>
        <item m="1" x="68"/>
        <item m="1" x="166"/>
        <item m="1" x="186"/>
        <item m="1" x="26"/>
        <item m="1" x="200"/>
        <item m="1" x="41"/>
        <item m="1" x="57"/>
        <item m="1" x="216"/>
        <item m="1" x="51"/>
        <item m="1" x="228"/>
        <item m="1" x="69"/>
        <item m="1" x="315"/>
        <item m="1" x="149"/>
        <item m="1" x="180"/>
        <item m="1" x="210"/>
        <item m="1" x="309"/>
        <item m="1" x="328"/>
        <item m="1" x="167"/>
        <item m="1" x="322"/>
        <item m="1" x="341"/>
        <item m="1" x="181"/>
        <item m="1" x="354"/>
        <item m="1" x="194"/>
        <item m="1" x="172"/>
        <item m="1" x="38"/>
        <item m="1" x="211"/>
        <item m="1" x="122"/>
        <item m="1" x="296"/>
        <item m="1" x="350"/>
        <item m="1" x="133"/>
        <item m="1" x="310"/>
        <item m="1" x="154"/>
        <item m="1" x="301"/>
        <item m="1" x="90"/>
        <item m="1" x="107"/>
        <item m="1" x="246"/>
        <item x="15"/>
        <item x="2"/>
        <item x="8"/>
        <item x="19"/>
        <item x="12"/>
        <item x="4"/>
        <item m="1" x="103"/>
        <item m="1" x="255"/>
        <item m="1" x="88"/>
        <item x="0"/>
        <item x="13"/>
        <item x="7"/>
        <item x="18"/>
        <item x="6"/>
        <item x="17"/>
        <item x="5"/>
        <item x="16"/>
        <item x="1"/>
        <item x="23"/>
        <item x="14"/>
        <item m="1" x="150"/>
        <item x="11"/>
        <item x="22"/>
        <item x="3"/>
        <item x="10"/>
        <item x="21"/>
        <item x="9"/>
        <item x="20"/>
        <item m="1" x="316"/>
        <item m="1" x="335"/>
        <item m="1" x="94"/>
        <item m="1" x="108"/>
        <item m="1" x="128"/>
        <item m="1" x="95"/>
        <item m="1" x="113"/>
        <item m="1" x="155"/>
        <item m="1" x="282"/>
        <item m="1" x="52"/>
        <item m="1" x="323"/>
        <item m="1" x="311"/>
        <item m="1" x="201"/>
        <item m="1" x="212"/>
        <item m="1" x="324"/>
        <item m="1" x="61"/>
        <item m="1" x="137"/>
        <item m="1" x="202"/>
        <item m="1" x="145"/>
        <item m="1" x="288"/>
        <item m="1" x="96"/>
        <item m="1" x="70"/>
        <item m="1" x="156"/>
        <item m="1" x="53"/>
        <item m="1" x="336"/>
        <item m="1" x="283"/>
        <item m="1" x="297"/>
        <item m="1" x="244"/>
        <item m="1" x="264"/>
        <item m="1" x="76"/>
        <item m="1" x="114"/>
        <item m="1" x="329"/>
        <item m="1" x="134"/>
        <item m="1" x="85"/>
        <item m="1" x="33"/>
        <item m="1" x="317"/>
        <item m="1" x="157"/>
        <item m="1" x="303"/>
        <item m="1" x="284"/>
        <item m="1" x="182"/>
        <item m="1" x="271"/>
        <item m="1" x="190"/>
        <item m="1" x="331"/>
        <item m="1" x="176"/>
        <item m="1" x="265"/>
        <item m="1" x="162"/>
        <item m="1" x="304"/>
        <item m="1" x="146"/>
        <item m="1" x="44"/>
        <item m="1" x="260"/>
        <item m="1" x="71"/>
        <item m="1" x="213"/>
        <item m="1" x="195"/>
        <item m="1" x="285"/>
        <item m="1" x="232"/>
        <item m="1" x="183"/>
        <item m="1" x="272"/>
        <item m="1" x="80"/>
        <item m="1" x="219"/>
        <item m="1" x="27"/>
        <item m="1" x="168"/>
        <item m="1" x="62"/>
        <item m="1" x="207"/>
        <item m="1" x="347"/>
        <item m="1" x="49"/>
        <item m="1" x="138"/>
        <item m="1" x="229"/>
        <item m="1" x="39"/>
        <item m="1" x="126"/>
        <item m="1" x="355"/>
        <item m="1" x="305"/>
        <item m="1" x="115"/>
        <item m="1" x="203"/>
        <item m="1" x="342"/>
        <item m="1" x="147"/>
        <item m="1" x="289"/>
        <item m="1" x="97"/>
        <item m="1" x="45"/>
        <item m="1" x="187"/>
        <item m="1" x="351"/>
        <item m="1" x="158"/>
        <item m="1" x="109"/>
        <item m="1" x="196"/>
        <item m="1" x="337"/>
        <item m="1" x="92"/>
        <item m="1" x="233"/>
        <item m="1" x="325"/>
        <item m="1" x="273"/>
        <item m="1" x="81"/>
        <item m="1" x="220"/>
        <item m="1" x="169"/>
        <item m="1" x="312"/>
        <item m="1" x="63"/>
        <item m="1" x="177"/>
        <item m="1" x="319"/>
        <item m="1" x="77"/>
        <item m="1" x="163"/>
        <item m="1" x="306"/>
        <item m="1" x="58"/>
        <item m="1" x="204"/>
        <item m="1" x="343"/>
        <item m="1" x="148"/>
        <item m="1" x="290"/>
        <item m="1" x="238"/>
        <item m="1" x="46"/>
        <item m="1" x="276"/>
        <item m="1" x="34"/>
        <item m="1" x="173"/>
        <item m="1" x="318"/>
        <item m="1" x="123"/>
        <item m="1" x="197"/>
        <item m="1" x="338"/>
        <item m="1" x="141"/>
        <item m="1" x="286"/>
        <item m="1" x="234"/>
        <item m="1" x="184"/>
        <item m="1" x="129"/>
        <item m="1" x="274"/>
        <item m="1" x="82"/>
        <item m="1" x="221"/>
        <item m="1" x="28"/>
        <item m="1" x="170"/>
        <item m="1" x="313"/>
        <item m="1" x="256"/>
        <item m="1" x="64"/>
        <item m="1" x="208"/>
        <item m="1" x="348"/>
        <item m="1" x="151"/>
        <item m="1" x="298"/>
        <item m="1" x="245"/>
        <item m="1" x="191"/>
        <item m="1" x="332"/>
        <item m="1" x="139"/>
        <item m="1" x="279"/>
        <item m="1" x="164"/>
        <item m="1" x="307"/>
        <item m="1" x="250"/>
        <item m="1" x="205"/>
        <item m="1" x="291"/>
        <item m="1" x="98"/>
        <item m="1" x="239"/>
        <item m="1" x="47"/>
        <item m="1" x="188"/>
        <item m="1" x="330"/>
        <item m="1" x="135"/>
        <item m="1" x="86"/>
        <item m="1" x="225"/>
        <item m="1" x="35"/>
        <item m="1" x="174"/>
        <item m="1" x="261"/>
        <item m="1" x="72"/>
        <item m="1" x="214"/>
        <item m="1" x="352"/>
        <item m="1" x="159"/>
        <item m="1" x="110"/>
        <item m="1" x="247"/>
        <item m="1" x="54"/>
        <item m="1" x="130"/>
        <item m="1" x="83"/>
        <item m="1" x="117"/>
        <item m="1" x="257"/>
        <item m="1" x="65"/>
        <item m="1" x="152"/>
        <item m="1" x="104"/>
        <item m="1" x="50"/>
        <item m="1" x="192"/>
        <item m="1" x="40"/>
        <item m="1" x="217"/>
        <item m="1" x="99"/>
        <item m="1" x="240"/>
        <item m="1" x="277"/>
        <item m="1" x="87"/>
        <item m="1" x="73"/>
        <item m="1" x="111"/>
        <item m="1" x="55"/>
        <item m="1" x="339"/>
        <item m="1" x="42"/>
        <item m="1" x="299"/>
        <item m="1" x="333"/>
        <item m="1" x="280"/>
        <item m="1" x="266"/>
        <item m="1" x="251"/>
        <item m="1" x="36"/>
        <item m="1" x="175"/>
        <item m="1" x="160"/>
        <item m="1" x="198"/>
        <item m="1" x="142"/>
        <item m="1" x="235"/>
        <item m="1" x="326"/>
        <item m="1" x="131"/>
        <item m="1" x="118"/>
        <item m="1" x="178"/>
        <item m="1" x="165"/>
        <item m="1" x="116"/>
        <item m="1" x="252"/>
        <item m="1" x="292"/>
        <item m="1" x="100"/>
        <item m="1" x="56"/>
        <item m="1" x="29"/>
        <item m="1" x="66"/>
        <item m="1" x="30"/>
        <item t="default" sd="0"/>
      </items>
    </pivotField>
    <pivotField showAll="0"/>
    <pivotField dragToRow="0" dragToCol="0" dragToPage="0" showAll="0" defaultSubtotal="0"/>
  </pivotFields>
  <rowFields count="1">
    <field x="34"/>
  </rowFields>
  <rowItems count="6">
    <i>
      <x v="130"/>
    </i>
    <i>
      <x v="139"/>
    </i>
    <i>
      <x v="141"/>
    </i>
    <i>
      <x v="143"/>
    </i>
    <i>
      <x v="154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7" hier="-1"/>
  </pageFields>
  <dataFields count="2">
    <dataField name="Soma de Valor" fld="33" baseField="14" baseItem="12" numFmtId="42"/>
    <dataField name="Soma de Peso bruto" fld="32" baseField="34" baseItem="41" numFmtId="164"/>
  </dataFields>
  <formats count="1"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C0CBBD-A05A-4CF3-9F22-3EFE5AF731FE}" name="Tabela dinâmica1" cacheId="292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>
  <location ref="I31:K38" firstHeaderRow="0" firstDataRow="1" firstDataCol="1" rowPageCount="2" colPageCount="1"/>
  <pivotFields count="37">
    <pivotField showAll="0"/>
    <pivotField axis="axisPage" multipleItemSelectionAllowed="1" showAll="0">
      <items count="60">
        <item m="1" x="35"/>
        <item x="2"/>
        <item x="17"/>
        <item x="0"/>
        <item x="24"/>
        <item m="1" x="39"/>
        <item m="1" x="41"/>
        <item x="9"/>
        <item x="32"/>
        <item x="1"/>
        <item m="1" x="57"/>
        <item x="23"/>
        <item x="25"/>
        <item x="4"/>
        <item x="13"/>
        <item m="1" x="36"/>
        <item m="1" x="51"/>
        <item m="1" x="58"/>
        <item x="3"/>
        <item m="1" x="56"/>
        <item x="20"/>
        <item x="18"/>
        <item m="1" x="43"/>
        <item x="7"/>
        <item x="33"/>
        <item h="1" m="1" x="45"/>
        <item m="1" x="49"/>
        <item x="14"/>
        <item m="1" x="55"/>
        <item m="1" x="50"/>
        <item x="21"/>
        <item m="1" x="54"/>
        <item x="5"/>
        <item x="16"/>
        <item m="1" x="46"/>
        <item x="31"/>
        <item h="1" m="1" x="53"/>
        <item m="1" x="48"/>
        <item m="1" x="44"/>
        <item m="1" x="52"/>
        <item m="1" x="38"/>
        <item x="15"/>
        <item m="1" x="40"/>
        <item x="10"/>
        <item m="1" x="37"/>
        <item x="26"/>
        <item m="1" x="42"/>
        <item x="11"/>
        <item x="8"/>
        <item h="1" m="1" x="34"/>
        <item x="6"/>
        <item x="30"/>
        <item x="22"/>
        <item x="12"/>
        <item x="19"/>
        <item h="1" m="1" x="47"/>
        <item x="29"/>
        <item x="27"/>
        <item x="28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28">
        <item h="1" x="8"/>
        <item h="1" sd="0" x="11"/>
        <item x="13"/>
        <item h="1" x="21"/>
        <item h="1" x="18"/>
        <item h="1" x="15"/>
        <item h="1" m="1" x="26"/>
        <item h="1" x="0"/>
        <item h="1" x="1"/>
        <item h="1" x="6"/>
        <item h="1" x="2"/>
        <item x="23"/>
        <item h="1" x="22"/>
        <item h="1" x="17"/>
        <item h="1" x="7"/>
        <item h="1" x="3"/>
        <item h="1" x="5"/>
        <item h="1" x="10"/>
        <item h="1" x="12"/>
        <item h="1" x="16"/>
        <item x="14"/>
        <item h="1" x="9"/>
        <item h="1" x="4"/>
        <item h="1" x="19"/>
        <item h="1" x="24"/>
        <item h="1" x="25"/>
        <item h="1" x="20"/>
        <item t="default"/>
      </items>
    </pivotField>
    <pivotField showAll="0"/>
    <pivotField showAll="0"/>
    <pivotField showAll="0"/>
    <pivotField showAll="0"/>
    <pivotField showAll="0"/>
    <pivotField numFmtId="14" showAll="0"/>
    <pivotField numFmtId="14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axis="axisRow" showAll="0" sortType="ascending">
      <items count="357">
        <item sd="0" m="1" x="24"/>
        <item m="1" x="226"/>
        <item sd="0" m="1" x="119"/>
        <item sd="0" m="1" x="230"/>
        <item sd="0" m="1" x="344"/>
        <item sd="0" m="1" x="67"/>
        <item sd="0" m="1" x="124"/>
        <item sd="0" m="1" x="179"/>
        <item sd="0" m="1" x="236"/>
        <item sd="0" m="1" x="262"/>
        <item sd="0" m="1" x="293"/>
        <item sd="0" m="1" x="320"/>
        <item sd="0" m="1" x="349"/>
        <item sd="0" m="1" x="43"/>
        <item sd="0" m="1" x="74"/>
        <item sd="0" m="1" x="101"/>
        <item sd="0" m="1" x="127"/>
        <item sd="0" m="1" x="140"/>
        <item sd="0" m="1" x="153"/>
        <item sd="0" m="1" x="171"/>
        <item sd="0" m="1" x="185"/>
        <item sd="0" m="1" x="199"/>
        <item sd="0" m="1" x="215"/>
        <item sd="0" m="1" x="227"/>
        <item sd="0" m="1" x="241"/>
        <item sd="0" m="1" x="253"/>
        <item sd="0" m="1" x="267"/>
        <item sd="0" m="1" x="281"/>
        <item sd="0" m="1" x="300"/>
        <item sd="0" m="1" x="314"/>
        <item sd="0" m="1" x="327"/>
        <item sd="0" m="1" x="340"/>
        <item sd="0" m="1" x="353"/>
        <item sd="0" m="1" x="193"/>
        <item sd="0" m="1" x="37"/>
        <item sd="0" m="1" x="209"/>
        <item sd="0" m="1" x="48"/>
        <item sd="0" m="1" x="222"/>
        <item sd="0" m="1" x="59"/>
        <item sd="0" m="1" x="237"/>
        <item sd="0" m="1" x="78"/>
        <item sd="0" m="1" x="248"/>
        <item sd="0" m="1" x="89"/>
        <item sd="0" m="1" x="263"/>
        <item sd="0" m="1" x="105"/>
        <item sd="0" m="1" x="278"/>
        <item sd="0" m="1" x="120"/>
        <item m="1" x="294"/>
        <item sd="0" m="1" x="132"/>
        <item sd="0" m="1" x="308"/>
        <item m="1" x="143"/>
        <item sd="0" m="1" x="321"/>
        <item m="1" x="161"/>
        <item sd="0" m="1" x="334"/>
        <item m="1" x="287"/>
        <item m="1" x="144"/>
        <item m="1" x="295"/>
        <item m="1" x="268"/>
        <item m="1" x="102"/>
        <item m="1" x="106"/>
        <item m="1" x="275"/>
        <item m="1" x="242"/>
        <item m="1" x="345"/>
        <item m="1" x="31"/>
        <item m="1" x="25"/>
        <item m="1" x="223"/>
        <item m="1" x="243"/>
        <item m="1" x="84"/>
        <item m="1" x="269"/>
        <item m="1" x="218"/>
        <item m="1" x="254"/>
        <item m="1" x="93"/>
        <item m="1" x="270"/>
        <item m="1" x="112"/>
        <item m="1" x="125"/>
        <item m="1" x="302"/>
        <item m="1" x="121"/>
        <item m="1" x="136"/>
        <item m="1" x="206"/>
        <item m="1" x="224"/>
        <item m="1" x="258"/>
        <item m="1" x="60"/>
        <item m="1" x="79"/>
        <item m="1" x="231"/>
        <item m="1" x="249"/>
        <item m="1" x="75"/>
        <item m="1" x="91"/>
        <item m="1" x="259"/>
        <item m="1" x="189"/>
        <item m="1" x="346"/>
        <item m="1" x="32"/>
        <item m="1" x="68"/>
        <item m="1" x="166"/>
        <item m="1" x="186"/>
        <item m="1" x="26"/>
        <item m="1" x="200"/>
        <item m="1" x="41"/>
        <item m="1" x="57"/>
        <item m="1" x="216"/>
        <item m="1" x="51"/>
        <item m="1" x="228"/>
        <item m="1" x="69"/>
        <item m="1" x="315"/>
        <item m="1" x="149"/>
        <item m="1" x="180"/>
        <item m="1" x="210"/>
        <item m="1" x="309"/>
        <item m="1" x="328"/>
        <item m="1" x="167"/>
        <item m="1" x="322"/>
        <item m="1" x="341"/>
        <item m="1" x="181"/>
        <item m="1" x="354"/>
        <item m="1" x="194"/>
        <item m="1" x="172"/>
        <item m="1" x="38"/>
        <item m="1" x="211"/>
        <item m="1" x="122"/>
        <item m="1" x="296"/>
        <item m="1" x="350"/>
        <item m="1" x="133"/>
        <item m="1" x="310"/>
        <item m="1" x="154"/>
        <item m="1" x="301"/>
        <item m="1" x="90"/>
        <item m="1" x="107"/>
        <item m="1" x="246"/>
        <item x="15"/>
        <item x="2"/>
        <item x="8"/>
        <item x="19"/>
        <item x="12"/>
        <item x="4"/>
        <item m="1" x="103"/>
        <item m="1" x="255"/>
        <item m="1" x="88"/>
        <item x="0"/>
        <item x="13"/>
        <item x="7"/>
        <item x="18"/>
        <item x="6"/>
        <item x="17"/>
        <item x="5"/>
        <item x="16"/>
        <item x="1"/>
        <item x="23"/>
        <item x="14"/>
        <item m="1" x="150"/>
        <item x="11"/>
        <item x="22"/>
        <item x="3"/>
        <item x="10"/>
        <item x="21"/>
        <item x="9"/>
        <item x="20"/>
        <item m="1" x="316"/>
        <item m="1" x="335"/>
        <item m="1" x="94"/>
        <item m="1" x="108"/>
        <item m="1" x="128"/>
        <item m="1" x="95"/>
        <item m="1" x="113"/>
        <item m="1" x="155"/>
        <item m="1" x="282"/>
        <item m="1" x="52"/>
        <item m="1" x="323"/>
        <item m="1" x="311"/>
        <item m="1" x="201"/>
        <item m="1" x="212"/>
        <item m="1" x="324"/>
        <item m="1" x="61"/>
        <item m="1" x="137"/>
        <item m="1" x="202"/>
        <item m="1" x="145"/>
        <item m="1" x="288"/>
        <item m="1" x="96"/>
        <item m="1" x="70"/>
        <item m="1" x="156"/>
        <item m="1" x="53"/>
        <item m="1" x="336"/>
        <item m="1" x="283"/>
        <item m="1" x="297"/>
        <item m="1" x="244"/>
        <item m="1" x="264"/>
        <item m="1" x="76"/>
        <item m="1" x="114"/>
        <item m="1" x="329"/>
        <item m="1" x="134"/>
        <item m="1" x="85"/>
        <item m="1" x="33"/>
        <item m="1" x="317"/>
        <item m="1" x="157"/>
        <item m="1" x="303"/>
        <item m="1" x="284"/>
        <item m="1" x="182"/>
        <item m="1" x="271"/>
        <item m="1" x="190"/>
        <item m="1" x="331"/>
        <item m="1" x="176"/>
        <item m="1" x="265"/>
        <item m="1" x="162"/>
        <item m="1" x="304"/>
        <item m="1" x="146"/>
        <item m="1" x="44"/>
        <item m="1" x="260"/>
        <item m="1" x="71"/>
        <item m="1" x="213"/>
        <item m="1" x="195"/>
        <item m="1" x="285"/>
        <item m="1" x="232"/>
        <item m="1" x="183"/>
        <item m="1" x="272"/>
        <item m="1" x="80"/>
        <item m="1" x="219"/>
        <item m="1" x="27"/>
        <item m="1" x="168"/>
        <item m="1" x="62"/>
        <item m="1" x="207"/>
        <item m="1" x="347"/>
        <item m="1" x="49"/>
        <item m="1" x="138"/>
        <item m="1" x="229"/>
        <item m="1" x="39"/>
        <item m="1" x="126"/>
        <item m="1" x="355"/>
        <item m="1" x="305"/>
        <item m="1" x="115"/>
        <item m="1" x="203"/>
        <item m="1" x="342"/>
        <item m="1" x="147"/>
        <item m="1" x="289"/>
        <item m="1" x="97"/>
        <item m="1" x="45"/>
        <item m="1" x="187"/>
        <item m="1" x="351"/>
        <item m="1" x="158"/>
        <item m="1" x="109"/>
        <item m="1" x="196"/>
        <item m="1" x="337"/>
        <item m="1" x="92"/>
        <item m="1" x="233"/>
        <item m="1" x="325"/>
        <item m="1" x="273"/>
        <item m="1" x="81"/>
        <item m="1" x="220"/>
        <item m="1" x="169"/>
        <item m="1" x="312"/>
        <item m="1" x="63"/>
        <item m="1" x="177"/>
        <item m="1" x="319"/>
        <item m="1" x="77"/>
        <item m="1" x="163"/>
        <item m="1" x="306"/>
        <item m="1" x="58"/>
        <item m="1" x="204"/>
        <item m="1" x="343"/>
        <item m="1" x="148"/>
        <item m="1" x="290"/>
        <item m="1" x="238"/>
        <item m="1" x="46"/>
        <item m="1" x="276"/>
        <item m="1" x="34"/>
        <item m="1" x="173"/>
        <item m="1" x="318"/>
        <item m="1" x="123"/>
        <item m="1" x="197"/>
        <item m="1" x="338"/>
        <item m="1" x="141"/>
        <item m="1" x="286"/>
        <item m="1" x="234"/>
        <item m="1" x="184"/>
        <item m="1" x="129"/>
        <item m="1" x="274"/>
        <item m="1" x="82"/>
        <item m="1" x="221"/>
        <item m="1" x="28"/>
        <item m="1" x="170"/>
        <item m="1" x="313"/>
        <item m="1" x="256"/>
        <item m="1" x="64"/>
        <item m="1" x="208"/>
        <item m="1" x="348"/>
        <item m="1" x="151"/>
        <item m="1" x="298"/>
        <item m="1" x="245"/>
        <item m="1" x="191"/>
        <item m="1" x="332"/>
        <item m="1" x="139"/>
        <item m="1" x="279"/>
        <item m="1" x="164"/>
        <item m="1" x="307"/>
        <item m="1" x="250"/>
        <item m="1" x="205"/>
        <item m="1" x="291"/>
        <item m="1" x="98"/>
        <item m="1" x="239"/>
        <item m="1" x="47"/>
        <item m="1" x="188"/>
        <item m="1" x="330"/>
        <item m="1" x="135"/>
        <item m="1" x="86"/>
        <item m="1" x="225"/>
        <item m="1" x="35"/>
        <item m="1" x="174"/>
        <item m="1" x="261"/>
        <item m="1" x="72"/>
        <item m="1" x="214"/>
        <item m="1" x="352"/>
        <item m="1" x="159"/>
        <item m="1" x="110"/>
        <item m="1" x="247"/>
        <item m="1" x="54"/>
        <item m="1" x="130"/>
        <item m="1" x="83"/>
        <item m="1" x="117"/>
        <item m="1" x="257"/>
        <item m="1" x="65"/>
        <item m="1" x="152"/>
        <item m="1" x="104"/>
        <item m="1" x="50"/>
        <item m="1" x="192"/>
        <item m="1" x="40"/>
        <item m="1" x="217"/>
        <item m="1" x="99"/>
        <item m="1" x="240"/>
        <item m="1" x="277"/>
        <item m="1" x="87"/>
        <item m="1" x="73"/>
        <item m="1" x="111"/>
        <item m="1" x="55"/>
        <item m="1" x="339"/>
        <item m="1" x="42"/>
        <item m="1" x="299"/>
        <item m="1" x="333"/>
        <item m="1" x="280"/>
        <item m="1" x="266"/>
        <item m="1" x="251"/>
        <item m="1" x="36"/>
        <item m="1" x="175"/>
        <item m="1" x="160"/>
        <item m="1" x="198"/>
        <item m="1" x="142"/>
        <item m="1" x="235"/>
        <item m="1" x="326"/>
        <item m="1" x="131"/>
        <item m="1" x="118"/>
        <item m="1" x="178"/>
        <item m="1" x="165"/>
        <item m="1" x="116"/>
        <item m="1" x="252"/>
        <item m="1" x="292"/>
        <item m="1" x="100"/>
        <item m="1" x="56"/>
        <item m="1" x="29"/>
        <item m="1" x="66"/>
        <item m="1" x="30"/>
        <item t="default" sd="0"/>
      </items>
    </pivotField>
    <pivotField showAll="0"/>
    <pivotField dragToRow="0" dragToCol="0" dragToPage="0" showAll="0" defaultSubtotal="0"/>
  </pivotFields>
  <rowFields count="1">
    <field x="34"/>
  </rowFields>
  <rowItems count="7">
    <i>
      <x v="130"/>
    </i>
    <i>
      <x v="139"/>
    </i>
    <i>
      <x v="141"/>
    </i>
    <i>
      <x v="143"/>
    </i>
    <i>
      <x v="149"/>
    </i>
    <i>
      <x v="154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7" hier="-1"/>
  </pageFields>
  <dataFields count="2">
    <dataField name="Soma de Valor" fld="33" baseField="14" baseItem="12" numFmtId="42"/>
    <dataField name="Soma de Peso bruto" fld="32" baseField="34" baseItem="41" numFmtId="164"/>
  </dataFields>
  <formats count="1">
    <format dxfId="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20" cacheId="295" dataOnRows="1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 chartFormat="3">
  <location ref="A5" firstHeaderRow="0" firstDataRow="0" firstDataCol="0" rowPageCount="1" colPageCount="1"/>
  <pivotFields count="36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35">
        <item m="1" x="34"/>
        <item x="23"/>
        <item x="18"/>
        <item x="20"/>
        <item x="9"/>
        <item x="10"/>
        <item x="26"/>
        <item x="13"/>
        <item x="25"/>
        <item x="6"/>
        <item x="0"/>
        <item x="1"/>
        <item x="2"/>
        <item x="3"/>
        <item x="14"/>
        <item x="4"/>
        <item x="5"/>
        <item x="7"/>
        <item x="21"/>
        <item x="8"/>
        <item x="11"/>
        <item x="15"/>
        <item x="31"/>
        <item x="24"/>
        <item x="17"/>
        <item x="16"/>
        <item x="19"/>
        <item x="30"/>
        <item x="22"/>
        <item x="29"/>
        <item x="27"/>
        <item x="28"/>
        <item x="12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pageFields count="1">
    <pageField fld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CF3AAA-EB77-4084-9B8C-31547B939B44}" name="Tabela1" displayName="Tabela1" ref="A1:AJ486" totalsRowShown="0" headerRowDxfId="130" dataDxfId="129">
  <autoFilter ref="A1:AJ486" xr:uid="{B2CF3AAA-EB77-4084-9B8C-31547B939B44}"/>
  <tableColumns count="36">
    <tableColumn id="1" xr3:uid="{43788490-683E-45FF-B3E7-493D4D3D49A9}" name="Cod. representante" dataDxfId="128"/>
    <tableColumn id="2" xr3:uid="{4421E357-ABFD-4957-8186-FDC57E31B6D1}" name="Representante" dataDxfId="127"/>
    <tableColumn id="3" xr3:uid="{826E8DEC-CA17-4BBE-96D9-59B058769D6A}" name="CNPJ" dataDxfId="126"/>
    <tableColumn id="4" xr3:uid="{47F22CCD-DC4E-48D9-9222-095F9EB22C58}" name="Cliente" dataDxfId="125"/>
    <tableColumn id="5" xr3:uid="{25D0D95E-1948-404B-A24C-73CA68F4E294}" name="Cidade" dataDxfId="124"/>
    <tableColumn id="6" xr3:uid="{2AD8043B-0F49-4B7F-8E6F-EDFA3EC9945A}" name="UF" dataDxfId="123"/>
    <tableColumn id="7" xr3:uid="{9AC5756C-7BC4-49C7-B53D-42BBA90FC161}" name="Pedido" dataDxfId="122"/>
    <tableColumn id="8" xr3:uid="{39401C5E-E78D-48EE-A16F-86AF50C481F4}" name="Produto" dataDxfId="121"/>
    <tableColumn id="9" xr3:uid="{57FF340E-01A5-4CDC-8858-449C1AC5B698}" name="Tipo" dataDxfId="120"/>
    <tableColumn id="10" xr3:uid="{D01CBA95-42E1-4FED-8E6B-5443D310BE32}" name="Situação" dataDxfId="119"/>
    <tableColumn id="11" xr3:uid="{41302862-D679-4BB3-834C-B8616A93E23C}" name="Tipo de situação" dataDxfId="118"/>
    <tableColumn id="12" xr3:uid="{7510D314-50DA-47F8-804C-F162B057FD2F}" name="Ped. vendedor" dataDxfId="117"/>
    <tableColumn id="13" xr3:uid="{6127F92C-0F24-4112-BE07-C5BA21A49DA7}" name="Ordem de compra" dataDxfId="116"/>
    <tableColumn id="14" xr3:uid="{A6ABE8EE-9BB7-49E9-9083-1C9EDAED46BB}" name="Data emissão" dataDxfId="115"/>
    <tableColumn id="15" xr3:uid="{7C05EEF6-CE85-4451-8CE4-835AD99593A5}" name="Data entrega" dataDxfId="114"/>
    <tableColumn id="16" xr3:uid="{CC1E1E07-4144-4166-87EC-F1CDBB1DF4AC}" name="Data liberação" dataDxfId="113"/>
    <tableColumn id="17" xr3:uid="{7EB84BC5-9E9D-4BFE-8B77-A911D7F2493A}" name="Primeiro faturamento" dataDxfId="112"/>
    <tableColumn id="18" xr3:uid="{37DA31D6-9C43-401F-8582-634C7DD4C860}" name="Primeira nota" dataDxfId="111"/>
    <tableColumn id="19" xr3:uid="{0CCA78BB-A011-473E-B3DC-60706705F425}" name="Data último fat." dataDxfId="110"/>
    <tableColumn id="20" xr3:uid="{9EBE5B21-FC8F-4BF8-9AE4-B520080CAC17}" name="Última nota" dataDxfId="109"/>
    <tableColumn id="21" xr3:uid="{873BDF71-42DF-40E8-8904-28C62CDDF8A0}" name="Status" dataDxfId="108"/>
    <tableColumn id="22" xr3:uid="{5B63587C-9B67-4B17-B066-EB590F36C6F7}" name="Data de entrega da ocorrência" dataDxfId="107"/>
    <tableColumn id="23" xr3:uid="{659DC36C-DD16-4977-9C62-90EFC2D53624}" name="Programa" dataDxfId="106"/>
    <tableColumn id="24" xr3:uid="{4DF07B68-DD36-4DF7-BBE9-B6E25B00F468}" name="Data programa" dataDxfId="105"/>
    <tableColumn id="25" xr3:uid="{F31218A4-94A8-429C-BD39-4941F2B9FDCE}" name="Rota" dataDxfId="104"/>
    <tableColumn id="26" xr3:uid="{B10A3FE5-659C-4B83-AB5C-ED12DF30AB48}" name="Pgto" dataDxfId="103"/>
    <tableColumn id="27" xr3:uid="{18B025AC-CA3A-46F6-A399-93F3A2D9AADF}" name="Descrição" dataDxfId="102"/>
    <tableColumn id="28" xr3:uid="{FB90C342-F761-4D07-AD30-62DAF4CE0FA0}" name="Cod. Desconto" dataDxfId="101"/>
    <tableColumn id="29" xr3:uid="{4BD21CBC-91F0-4F48-95EA-6087D9D076D6}" name="Descrição2" dataDxfId="100"/>
    <tableColumn id="30" xr3:uid="{86C462AD-A104-4BBA-B27E-4E0450D5EEE9}" name="Percentual" dataDxfId="99"/>
    <tableColumn id="31" xr3:uid="{64F64230-E72F-4542-8C68-E63D1D8F0CB2}" name="Transportador" dataDxfId="98"/>
    <tableColumn id="32" xr3:uid="{635D3F71-CF95-4AC5-8125-C80960B66E78}" name="Frete" dataDxfId="97"/>
    <tableColumn id="33" xr3:uid="{1A320175-888E-4CAF-B571-F4A6963E0632}" name="Peso bruto" dataDxfId="96"/>
    <tableColumn id="34" xr3:uid="{BB512E41-E36E-42E0-9C5E-4194863BC6FE}" name="Valor" dataDxfId="95"/>
    <tableColumn id="35" xr3:uid="{EF46D8A4-FC45-4DC6-9215-EAFB1CA0B7B2}" name="semana" dataDxfId="94"/>
    <tableColumn id="36" xr3:uid="{84F5A3D0-E077-4F40-B7CE-16C8C1BFD5C3}" name="PBR a produzir" dataDxfId="93">
      <calculatedColumnFormula>IFERROR(IF(Tabela1[[#This Row],[Programa]]="",Tabela1[[#This Row],[Peso bruto]],VLOOKUP(Tabela1[[#This Row],[Pedido]],'Saldo a Produzir'!$A:$D,4,0)),"")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C57DAB9-E653-421E-8298-A499A552E76C}" name="Tabela9" displayName="Tabela9" ref="A3:K25" totalsRowShown="0" headerRowDxfId="92" dataDxfId="91">
  <autoFilter ref="A3:K25" xr:uid="{0C57DAB9-E653-421E-8298-A499A552E76C}"/>
  <tableColumns count="11">
    <tableColumn id="1" xr3:uid="{C2988D18-BB2C-49EC-AB7C-B94312DFE928}" name="Estrutura" dataDxfId="90"/>
    <tableColumn id="2" xr3:uid="{8CAF32AF-FBB7-4A11-ABD5-89295B62C72F}" name="Comercial" dataDxfId="89"/>
    <tableColumn id="3" xr3:uid="{A00F1A56-4868-4B88-B713-F3F0358F715C}" name="Engenharia do Produto" dataDxfId="88"/>
    <tableColumn id="4" xr3:uid="{3C27BDBE-BFEB-4E26-8F6B-E264AE1B0CC0}" name="Planejamento (MRP)" dataDxfId="87"/>
    <tableColumn id="10" xr3:uid="{2EBDF635-D5B5-40D6-997A-ABA8D7184DD1}" name="Suprimentos/ USBER" dataDxfId="86"/>
    <tableColumn id="5" xr3:uid="{8566A056-935E-4463-87C9-65AED2F8563D}" name="PCP" dataDxfId="85"/>
    <tableColumn id="6" xr3:uid="{B3A665B7-42AB-4075-AB25-3A94F1201494}" name="Fábrica" dataDxfId="84"/>
    <tableColumn id="7" xr3:uid="{0EC63DF7-A9DB-4460-BB02-7C4D708A6FEF}" name="Expedição" dataDxfId="83"/>
    <tableColumn id="11" xr3:uid="{37962C3D-1A4F-49C8-8BD9-372E4A705988}" name="Tranpostadora" dataDxfId="82"/>
    <tableColumn id="8" xr3:uid="{835E1940-0DDE-47B0-9C6A-66F3F852F308}" name="Total (dias)" dataDxfId="81">
      <calculatedColumnFormula>SUM(Tabela9[[#This Row],[Comercial]:[Tranpostadora]])</calculatedColumnFormula>
    </tableColumn>
    <tableColumn id="9" xr3:uid="{28C5D31B-69D6-4741-89F7-0F1DCFFAC16E}" name="Total (semanas)" dataDxfId="80">
      <calculatedColumnFormula>ROUNDUP(J4/7,0)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1E08F6F-DED8-4F54-A9F1-E8A45183FFF4}" name="Tabela10" displayName="Tabela10" ref="A2:D337" totalsRowShown="0">
  <autoFilter ref="A2:D337" xr:uid="{31E08F6F-DED8-4F54-A9F1-E8A45183FFF4}"/>
  <tableColumns count="4">
    <tableColumn id="1" xr3:uid="{4E2C8332-3422-4448-A8D6-9521562C5473}" name="Pedido"/>
    <tableColumn id="2" xr3:uid="{B147D169-6420-4E07-95DC-3B4D3856CEDF}" name="Fantasia"/>
    <tableColumn id="3" xr3:uid="{09039D8B-75CA-4B08-9200-EB747A82C346}" name="Soma de PBR Saldo" dataDxfId="79"/>
    <tableColumn id="4" xr3:uid="{CE0E3AC7-9532-49E8-B34D-3F124FAF9EA1}" name="Kg a Produzir" dataDxfId="78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559CD5-8954-459A-9AB0-94347A77AE96}" name="TabelaTOTAL" displayName="TabelaTOTAL" ref="A1:H25" totalsRowShown="0">
  <autoFilter ref="A1:H25" xr:uid="{00000000-0009-0000-0100-000003000000}"/>
  <tableColumns count="8">
    <tableColumn id="1" xr3:uid="{65E8B452-CE83-49AB-B829-1F97F816667D}" name="dia semana" dataDxfId="66"/>
    <tableColumn id="2" xr3:uid="{D546058F-6B82-494F-AFCD-6FCB3AA30DCC}" name="Semana" dataDxfId="65">
      <calculatedColumnFormula>WEEKNUM(TabelaTOTAL[[#This Row],[dia semana]])&amp;"-"&amp;YEAR(TabelaTOTAL[[#This Row],[dia semana]])</calculatedColumnFormula>
    </tableColumn>
    <tableColumn id="4" xr3:uid="{8A155C03-05E7-403F-A36E-605599887035}" name="Ton limite" dataCellStyle="Vírgula">
      <calculatedColumnFormula>#REF!*#REF!</calculatedColumnFormula>
    </tableColumn>
    <tableColumn id="5" xr3:uid="{49A1A45A-D180-409D-8423-7CACDDA8C239}" name="Programado" dataDxfId="64">
      <calculatedColumnFormula>IFERROR(GETPIVOTDATA("Soma de Peso bruto",$B$33,"Semana",TabelaTOTAL[[#This Row],[Semana]]),0)-TabelaTOTAL[[#This Row],[Atrasado]]+TabelaTOTAL[[#This Row],[CONSULTA PARA VENDA]]</calculatedColumnFormula>
    </tableColumn>
    <tableColumn id="6" xr3:uid="{72115BB0-5344-467D-B47F-CD94640D55F3}" name="JANELA" dataDxfId="63" dataCellStyle="Vírgula 5 2">
      <calculatedColumnFormula>C2-G2</calculatedColumnFormula>
    </tableColumn>
    <tableColumn id="10" xr3:uid="{6399E228-5C00-4BBB-A60A-6B4FE964EDBE}" name="Atrasado" dataDxfId="62">
      <calculatedColumnFormula>IFERROR(GETPIVOTDATA(TEXT($L$1,),'Resumo da Carteira'!$A$11,"Semana",TabelaTOTAL[[#This Row],[Semana]],"Anos",#REF!),0)</calculatedColumnFormula>
    </tableColumn>
    <tableColumn id="3" xr3:uid="{148FA10D-D25F-4EE4-8763-784638D8D0F6}" name="Balizador" dataDxfId="61" dataCellStyle="Vírgula 5 2">
      <calculatedColumnFormula>IF(SUM($G$2:G2)&gt;$D$27,0,Tonelagemlimite_2)</calculatedColumnFormula>
    </tableColumn>
    <tableColumn id="9" xr3:uid="{D82493FC-D1B8-445F-B35C-77F424D4BF6D}" name="CONSULTA PARA VENDA" dataDxfId="60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E740890-3BCD-4B88-8629-3232B1649063}" name="TabelaOUTROS" displayName="TabelaOUTROS" ref="A1:G25" totalsRowShown="0">
  <autoFilter ref="A1:G25" xr:uid="{00000000-0009-0000-0100-000003000000}"/>
  <tableColumns count="7">
    <tableColumn id="1" xr3:uid="{62F5B77D-D82A-46A1-B696-0787F7A264F8}" name="dia semana" dataDxfId="55"/>
    <tableColumn id="2" xr3:uid="{F9361A51-3737-40BE-B702-DA7A88D0599B}" name="Semana" dataDxfId="54">
      <calculatedColumnFormula>WEEKNUM(TabelaOUTROS[[#This Row],[dia semana]])&amp;"-"&amp;YEAR(TabelaOUTROS[[#This Row],[dia semana]])</calculatedColumnFormula>
    </tableColumn>
    <tableColumn id="4" xr3:uid="{FC6BB9FD-B0C0-4F5C-9B9F-DC9B76DE5DF0}" name="Ton limite" dataCellStyle="Vírgula">
      <calculatedColumnFormula>#REF!*#REF!</calculatedColumnFormula>
    </tableColumn>
    <tableColumn id="5" xr3:uid="{88541C80-5FE3-4A5D-B9EE-EE6CB4C1BB7D}" name="Programado" dataDxfId="53">
      <calculatedColumnFormula>IFERROR(GETPIVOTDATA("Soma de Peso bruto",$I$31,"Semana",TabelaOUTROS[[#This Row],[Semana]]),0)-TabelaOUTROS[[#This Row],[Atrasado]]</calculatedColumnFormula>
    </tableColumn>
    <tableColumn id="10" xr3:uid="{F266C6FE-8063-48D8-A67B-349E8DC67F50}" name="Atrasado" dataDxfId="52">
      <calculatedColumnFormula>IFERROR(GETPIVOTDATA(TEXT($I$1,),'Resumo da Carteira'!$A$11,"Semana",TabelaOUTROS[[#This Row],[Semana]],"Anos",#REF!),0)</calculatedColumnFormula>
    </tableColumn>
    <tableColumn id="3" xr3:uid="{28E46A17-D33B-45BA-B47B-B99E614C1EA7}" name="Balizador" dataDxfId="51" dataCellStyle="Vírgula 5 2">
      <calculatedColumnFormula>IF(SUM($F$2:F2)&gt;$D$27,0,Tonelagemlimite_2)</calculatedColumnFormula>
    </tableColumn>
    <tableColumn id="9" xr3:uid="{4B7B6408-7ECB-455C-8E03-FCD273487693}" name="CONSULTA PARA VENDA" dataDxfId="50">
      <calculatedColumnFormula>C1-F1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20ADA1-EAD1-4DBA-92F7-9FD992F546AB}" name="Tabela334" displayName="Tabela334" ref="A1:G25" totalsRowShown="0">
  <autoFilter ref="A1:G25" xr:uid="{00000000-0009-0000-0100-000003000000}"/>
  <tableColumns count="7">
    <tableColumn id="1" xr3:uid="{D23AB11B-EDD6-4B49-B300-56ADD285ED27}" name="dia semana" dataDxfId="45"/>
    <tableColumn id="2" xr3:uid="{90AD803C-BFBE-4DB3-A466-AA7821802636}" name="Semana" dataDxfId="44">
      <calculatedColumnFormula>WEEKNUM(Tabela334[[#This Row],[dia semana]])&amp;"-"&amp;YEAR(Tabela334[[#This Row],[dia semana]])</calculatedColumnFormula>
    </tableColumn>
    <tableColumn id="4" xr3:uid="{DE1D0D8B-5B92-480A-83FE-17DB81590F23}" name="Ton limite" dataCellStyle="Vírgula">
      <calculatedColumnFormula>#REF!*#REF!</calculatedColumnFormula>
    </tableColumn>
    <tableColumn id="5" xr3:uid="{35F2B6A7-508B-469C-B7A2-36B4C8EEC717}" name="Programado" dataDxfId="43">
      <calculatedColumnFormula>IFERROR(GETPIVOTDATA("Soma de Peso bruto",$I$31,"Semana",Tabela334[[#This Row],[Semana]]),0)-Tabela334[[#This Row],[Atrasado]]</calculatedColumnFormula>
    </tableColumn>
    <tableColumn id="10" xr3:uid="{F62A513A-460D-4151-ABD0-6FBED0C03867}" name="Atrasado" dataDxfId="42">
      <calculatedColumnFormula>IFERROR(GETPIVOTDATA(TEXT($I$1,),'Resumo da Carteira'!$A$11,"Semana",Tabela334[[#This Row],[Semana]],"Anos",#REF!),0)</calculatedColumnFormula>
    </tableColumn>
    <tableColumn id="3" xr3:uid="{151F939D-6B59-4AAD-ACCC-BAFBC0DF5E60}" name="Balizador" dataDxfId="41" dataCellStyle="Vírgula 5 2">
      <calculatedColumnFormula>IF(SUM($F$2:F2)&gt;$D$27,0,Tonelagemlimite_2)</calculatedColumnFormula>
    </tableColumn>
    <tableColumn id="9" xr3:uid="{1F1A3A5D-3AEA-4062-8ED3-AE980656C17D}" name="CONSULTA PARA VENDA" dataDxfId="40">
      <calculatedColumnFormula>C2-F2</calculatedColumnFormula>
    </tableColumn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213D6F-9D65-4E76-82E9-0E3F37BE2135}" name="Tabela3345" displayName="Tabela3345" ref="A1:G25" totalsRowShown="0">
  <autoFilter ref="A1:G25" xr:uid="{00000000-0009-0000-0100-000003000000}"/>
  <tableColumns count="7">
    <tableColumn id="1" xr3:uid="{31390782-B8E1-406A-AF04-D8D202EB7BAE}" name="dia semana" dataDxfId="35"/>
    <tableColumn id="2" xr3:uid="{2F81908E-65C1-41BA-B7F0-0C42A8DD83DD}" name="Semana" dataDxfId="34">
      <calculatedColumnFormula>WEEKNUM(Tabela3345[[#This Row],[dia semana]])&amp;"-"&amp;YEAR(Tabela3345[[#This Row],[dia semana]])</calculatedColumnFormula>
    </tableColumn>
    <tableColumn id="4" xr3:uid="{077747AD-CB84-4B68-B3C2-AF0A7D6D976C}" name="Ton limite" dataCellStyle="Vírgula">
      <calculatedColumnFormula>#REF!*#REF!</calculatedColumnFormula>
    </tableColumn>
    <tableColumn id="5" xr3:uid="{5855A8E1-74DD-4B9D-83CD-C47BC749D11A}" name="Programado" dataDxfId="33">
      <calculatedColumnFormula>IFERROR(GETPIVOTDATA("Soma de Peso bruto",$I$31,"Semana",Tabela3345[[#This Row],[Semana]]),0)-Tabela3345[[#This Row],[Atrasado]]</calculatedColumnFormula>
    </tableColumn>
    <tableColumn id="10" xr3:uid="{6C7BE288-3432-457E-BA2C-1204D67C5092}" name="Atrasado" dataDxfId="32">
      <calculatedColumnFormula>IFERROR(GETPIVOTDATA(TEXT($I$1,),'Resumo da Carteira'!$A$11,"Semana",Tabela3345[[#This Row],[Semana]],"Anos",#REF!),0)</calculatedColumnFormula>
    </tableColumn>
    <tableColumn id="3" xr3:uid="{AD2B60CC-C7D4-4FFC-B3B6-8A1933A7B656}" name="Balizador" dataDxfId="31" dataCellStyle="Vírgula 5 2">
      <calculatedColumnFormula>IF(SUM($F$2:F2)&gt;$D$27,0,Tonelagemlimite_2)</calculatedColumnFormula>
    </tableColumn>
    <tableColumn id="9" xr3:uid="{6D918D0F-5B58-4E64-9282-4E88A8262D01}" name="CONSULTA PARA VENDA" dataDxfId="30">
      <calculatedColumnFormula>C2-F2</calculatedColumnFormula>
    </tableColumn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E9769BE-D010-42E1-8E7F-169F41C226F6}" name="TabelaDRI" displayName="TabelaDRI" ref="A1:G25" totalsRowShown="0">
  <autoFilter ref="A1:G25" xr:uid="{00000000-0009-0000-0100-000003000000}"/>
  <tableColumns count="7">
    <tableColumn id="1" xr3:uid="{54288BAA-98EA-4459-B5ED-6951D5119180}" name="dia semana" dataDxfId="25"/>
    <tableColumn id="2" xr3:uid="{0D26490C-05E5-4F5C-99B0-7099F2EF3EE0}" name="Semana" dataDxfId="24">
      <calculatedColumnFormula>WEEKNUM(TabelaDRI[[#This Row],[dia semana]])&amp;"-"&amp;YEAR(TabelaDRI[[#This Row],[dia semana]])</calculatedColumnFormula>
    </tableColumn>
    <tableColumn id="4" xr3:uid="{8F4CB644-862D-491B-9159-5086C1E7DE96}" name="Ton limite" dataCellStyle="Vírgula">
      <calculatedColumnFormula>#REF!*#REF!</calculatedColumnFormula>
    </tableColumn>
    <tableColumn id="5" xr3:uid="{5825F324-FF70-47B8-8005-DE8CB94FF718}" name="Programado" dataDxfId="23">
      <calculatedColumnFormula>IFERROR(GETPIVOTDATA("Soma de Peso bruto",$I$31,"Semana",TabelaDRI[[#This Row],[Semana]]),0)-TabelaDRI[[#This Row],[Atrasado]]</calculatedColumnFormula>
    </tableColumn>
    <tableColumn id="10" xr3:uid="{1B778FCA-D9B3-409E-BD8C-53C4B1F8A05B}" name="Atrasado" dataDxfId="22">
      <calculatedColumnFormula>IFERROR(GETPIVOTDATA(TEXT($I$1,),'Resumo da Carteira'!$A$11,"Semana",TabelaDRI[[#This Row],[Semana]],"Anos",#REF!),0)</calculatedColumnFormula>
    </tableColumn>
    <tableColumn id="3" xr3:uid="{E37CF26A-CC81-4BE2-8C3F-448316617014}" name="Balizador" dataDxfId="21" dataCellStyle="Vírgula 5 2">
      <calculatedColumnFormula>IF(SUM($F$2:F2)&gt;$D$27,0,Tonelagemlimite_2)</calculatedColumnFormula>
    </tableColumn>
    <tableColumn id="9" xr3:uid="{D32F154A-38A7-4557-AB14-5871904D1949}" name="CONSULTA PARA VENDA" dataDxfId="20">
      <calculatedColumnFormula>C2-F2</calculatedColumnFormula>
    </tableColumn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976D54E-5DE9-489E-B694-656EFE4715E5}" name="Tabela334567" displayName="Tabela334567" ref="A1:G25" totalsRowShown="0">
  <autoFilter ref="A1:G25" xr:uid="{00000000-0009-0000-0100-000003000000}"/>
  <tableColumns count="7">
    <tableColumn id="1" xr3:uid="{E1ABEF3D-E4AF-431F-B8E2-7E1ACCB16C18}" name="dia semana" dataDxfId="15"/>
    <tableColumn id="2" xr3:uid="{C9F364ED-1603-4CEA-999C-0567CD1ED94F}" name="Semana" dataDxfId="14">
      <calculatedColumnFormula>WEEKNUM(Tabela334567[[#This Row],[dia semana]])&amp;"-"&amp;YEAR(Tabela334567[[#This Row],[dia semana]])</calculatedColumnFormula>
    </tableColumn>
    <tableColumn id="4" xr3:uid="{000643C4-EEB2-415A-A741-7973D9E423C9}" name="Ton limite" dataCellStyle="Vírgula">
      <calculatedColumnFormula>#REF!*#REF!</calculatedColumnFormula>
    </tableColumn>
    <tableColumn id="5" xr3:uid="{9AD936AB-CB8F-491B-83B9-DD60FCC255C4}" name="Programado" dataDxfId="13">
      <calculatedColumnFormula>IFERROR(GETPIVOTDATA("Soma de Peso bruto",$I$31,"Semana",Tabela334567[[#This Row],[Semana]]),0)-Tabela334567[[#This Row],[Atrasado]]</calculatedColumnFormula>
    </tableColumn>
    <tableColumn id="10" xr3:uid="{753FCD8D-1514-4B71-85C5-C70EB8A743E8}" name="Atrasado" dataDxfId="12">
      <calculatedColumnFormula>IFERROR(GETPIVOTDATA(TEXT($I$1,),'Resumo da Carteira'!$A$11,"Semana",Tabela334567[[#This Row],[Semana]],"Anos",#REF!),0)</calculatedColumnFormula>
    </tableColumn>
    <tableColumn id="3" xr3:uid="{1C9CBD72-9AAD-4AA3-9CBB-E28AFA4C0471}" name="Balizador" dataDxfId="11" dataCellStyle="Vírgula 5 2">
      <calculatedColumnFormula>IF(SUM($F$2:F2)&gt;$D$27,0,Tonelagemlimite_2)</calculatedColumnFormula>
    </tableColumn>
    <tableColumn id="9" xr3:uid="{B1D3A15F-4BD2-4569-BED4-29EE4CCB7A1F}" name="CONSULTA PARA VENDA" dataDxfId="10">
      <calculatedColumnFormula>C2-F2</calculatedColumnFormula>
    </tableColumn>
  </tableColumns>
  <tableStyleInfo name="TableStyleMedium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6E7E07C-9675-4429-97E0-8A1ADBF2FEBC}" name="Tabela3345678" displayName="Tabela3345678" ref="A1:G25" totalsRowShown="0">
  <autoFilter ref="A1:G25" xr:uid="{00000000-0009-0000-0100-000003000000}"/>
  <tableColumns count="7">
    <tableColumn id="1" xr3:uid="{5D706D29-7AD1-4FAB-A90C-2B28FD49CEEA}" name="dia semana" dataDxfId="5"/>
    <tableColumn id="2" xr3:uid="{BBB126C1-8CF2-4832-BEEA-3461BE6E7C48}" name="Semana" dataDxfId="4">
      <calculatedColumnFormula>WEEKNUM(Tabela3345678[[#This Row],[dia semana]])&amp;"-"&amp;YEAR(Tabela3345678[[#This Row],[dia semana]])</calculatedColumnFormula>
    </tableColumn>
    <tableColumn id="4" xr3:uid="{249D9209-F24E-4EEF-B401-1A3DCA931067}" name="Ton limite" dataCellStyle="Vírgula">
      <calculatedColumnFormula>#REF!*#REF!</calculatedColumnFormula>
    </tableColumn>
    <tableColumn id="5" xr3:uid="{5A20E80C-0D97-4D2C-8B69-1C0685509441}" name="Programado" dataDxfId="3">
      <calculatedColumnFormula>IFERROR(GETPIVOTDATA("Soma de Peso bruto",$I$31,"Semana",Tabela3345678[[#This Row],[Semana]]),0)-Tabela3345678[[#This Row],[Atrasado]]</calculatedColumnFormula>
    </tableColumn>
    <tableColumn id="10" xr3:uid="{0D76D3CD-5D67-494D-B805-BB5F3E94F82A}" name="Atrasado" dataDxfId="2">
      <calculatedColumnFormula>IFERROR(GETPIVOTDATA(TEXT($I$1,),'Resumo da Carteira'!$A$11,"Semana",Tabela3345678[[#This Row],[Semana]],"Anos",#REF!),0)</calculatedColumnFormula>
    </tableColumn>
    <tableColumn id="3" xr3:uid="{C929FB3D-7CE1-48B1-925B-E713A0274215}" name="Balizador" dataDxfId="1" dataCellStyle="Vírgula 5 2">
      <calculatedColumnFormula>IF(SUM($F$2:F2)&gt;$D$27,0,Tonelagemlimite_2)</calculatedColumnFormula>
    </tableColumn>
    <tableColumn id="9" xr3:uid="{990DA3EA-6D48-41D7-A113-A6C084BF3A08}" name="CONSULTA PARA VENDA" dataDxfId="0">
      <calculatedColumnFormula>C2-F2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tabColor theme="6" tint="0.59999389629810485"/>
  </sheetPr>
  <dimension ref="A1:L26"/>
  <sheetViews>
    <sheetView showGridLines="0" topLeftCell="A10" zoomScale="85" zoomScaleNormal="85" workbookViewId="0">
      <selection activeCell="C6" sqref="C6"/>
    </sheetView>
  </sheetViews>
  <sheetFormatPr defaultRowHeight="14.5" x14ac:dyDescent="0.35"/>
  <cols>
    <col min="1" max="1" width="18.6328125" bestFit="1" customWidth="1"/>
    <col min="2" max="2" width="15.81640625" bestFit="1" customWidth="1"/>
    <col min="3" max="3" width="18.6328125" bestFit="1" customWidth="1"/>
    <col min="4" max="4" width="5.7265625" customWidth="1"/>
    <col min="5" max="5" width="18.6328125" bestFit="1" customWidth="1"/>
    <col min="6" max="6" width="20.1796875" bestFit="1" customWidth="1"/>
    <col min="7" max="7" width="11.1796875" bestFit="1" customWidth="1"/>
    <col min="8" max="8" width="10.1796875" bestFit="1" customWidth="1"/>
    <col min="9" max="9" width="7.7265625" bestFit="1" customWidth="1"/>
    <col min="10" max="10" width="11.1796875" bestFit="1" customWidth="1"/>
    <col min="11" max="11" width="10.1796875" bestFit="1" customWidth="1"/>
    <col min="12" max="12" width="12.81640625" bestFit="1" customWidth="1"/>
    <col min="13" max="15" width="13.453125" bestFit="1" customWidth="1"/>
    <col min="16" max="16" width="9.7265625" bestFit="1" customWidth="1"/>
    <col min="17" max="17" width="11.7265625" bestFit="1" customWidth="1"/>
    <col min="18" max="18" width="10.7265625" bestFit="1" customWidth="1"/>
    <col min="19" max="21" width="11.7265625" bestFit="1" customWidth="1"/>
    <col min="22" max="22" width="7.1796875" bestFit="1" customWidth="1"/>
    <col min="23" max="23" width="9.7265625" bestFit="1" customWidth="1"/>
    <col min="24" max="24" width="12.81640625" bestFit="1" customWidth="1"/>
    <col min="25" max="25" width="10.7265625" bestFit="1" customWidth="1"/>
    <col min="26" max="27" width="13.453125" bestFit="1" customWidth="1"/>
    <col min="28" max="30" width="14.453125" bestFit="1" customWidth="1"/>
  </cols>
  <sheetData>
    <row r="1" spans="1:12" x14ac:dyDescent="0.35">
      <c r="A1" s="9" t="s">
        <v>101</v>
      </c>
    </row>
    <row r="2" spans="1:12" x14ac:dyDescent="0.35">
      <c r="A2" s="6">
        <f ca="1">TODAY()</f>
        <v>44733</v>
      </c>
    </row>
    <row r="3" spans="1:12" x14ac:dyDescent="0.35">
      <c r="A3" s="9" t="s">
        <v>102</v>
      </c>
      <c r="B3" s="5"/>
    </row>
    <row r="4" spans="1:12" x14ac:dyDescent="0.35">
      <c r="A4" s="7">
        <f ca="1">WEEKNUM(A2)</f>
        <v>26</v>
      </c>
      <c r="B4" s="5"/>
    </row>
    <row r="5" spans="1:12" x14ac:dyDescent="0.35">
      <c r="A5" s="9" t="s">
        <v>113</v>
      </c>
      <c r="B5" s="5"/>
    </row>
    <row r="6" spans="1:12" x14ac:dyDescent="0.35">
      <c r="A6" s="10" t="s">
        <v>115</v>
      </c>
      <c r="B6" s="11" t="s">
        <v>114</v>
      </c>
    </row>
    <row r="7" spans="1:12" x14ac:dyDescent="0.35">
      <c r="B7" s="5"/>
    </row>
    <row r="8" spans="1:12" x14ac:dyDescent="0.35">
      <c r="A8" s="1" t="s">
        <v>2</v>
      </c>
      <c r="B8" t="s">
        <v>260</v>
      </c>
      <c r="E8" s="1" t="s">
        <v>2</v>
      </c>
      <c r="F8" t="s">
        <v>260</v>
      </c>
    </row>
    <row r="9" spans="1:12" x14ac:dyDescent="0.35">
      <c r="A9" s="1" t="s">
        <v>85</v>
      </c>
      <c r="B9" t="s">
        <v>260</v>
      </c>
    </row>
    <row r="10" spans="1:12" x14ac:dyDescent="0.35">
      <c r="A10">
        <v>2</v>
      </c>
      <c r="E10" s="1" t="s">
        <v>84</v>
      </c>
      <c r="F10" s="1" t="s">
        <v>99</v>
      </c>
    </row>
    <row r="11" spans="1:12" x14ac:dyDescent="0.35">
      <c r="A11" s="1" t="s">
        <v>82</v>
      </c>
      <c r="B11" s="4" t="s">
        <v>98</v>
      </c>
      <c r="C11" s="4" t="s">
        <v>84</v>
      </c>
      <c r="E11" s="1" t="s">
        <v>82</v>
      </c>
      <c r="F11" s="4" t="s">
        <v>92</v>
      </c>
      <c r="G11" s="4" t="s">
        <v>97</v>
      </c>
      <c r="H11" s="4" t="s">
        <v>112</v>
      </c>
      <c r="I11" s="4" t="s">
        <v>124</v>
      </c>
      <c r="J11" s="4" t="s">
        <v>116</v>
      </c>
      <c r="K11" s="4" t="s">
        <v>134</v>
      </c>
      <c r="L11" t="s">
        <v>83</v>
      </c>
    </row>
    <row r="12" spans="1:12" x14ac:dyDescent="0.35">
      <c r="A12" s="8" t="s">
        <v>360</v>
      </c>
      <c r="B12" s="2">
        <v>1260831.07</v>
      </c>
      <c r="C12" s="3">
        <v>65262.671000000002</v>
      </c>
      <c r="E12" s="8" t="s">
        <v>360</v>
      </c>
      <c r="F12" s="3">
        <v>0</v>
      </c>
      <c r="G12" s="3">
        <v>65262.671000000002</v>
      </c>
      <c r="H12" s="3"/>
      <c r="I12" s="3"/>
      <c r="J12" s="3"/>
      <c r="K12" s="3"/>
      <c r="L12" s="3">
        <v>65262.671000000002</v>
      </c>
    </row>
    <row r="13" spans="1:12" x14ac:dyDescent="0.35">
      <c r="A13" s="8" t="s">
        <v>352</v>
      </c>
      <c r="B13" s="2">
        <v>13.459999999999999</v>
      </c>
      <c r="C13" s="3">
        <v>0</v>
      </c>
      <c r="E13" s="8" t="s">
        <v>352</v>
      </c>
      <c r="F13" s="3">
        <v>0</v>
      </c>
      <c r="G13" s="3">
        <v>0</v>
      </c>
      <c r="H13" s="3"/>
      <c r="I13" s="3"/>
      <c r="J13" s="3">
        <v>0</v>
      </c>
      <c r="K13" s="3">
        <v>0</v>
      </c>
      <c r="L13" s="3">
        <v>0</v>
      </c>
    </row>
    <row r="14" spans="1:12" x14ac:dyDescent="0.35">
      <c r="A14" s="8" t="s">
        <v>364</v>
      </c>
      <c r="B14" s="2">
        <v>14890685.060000002</v>
      </c>
      <c r="C14" s="3">
        <v>613537.64000000013</v>
      </c>
      <c r="E14" s="8" t="s">
        <v>364</v>
      </c>
      <c r="F14" s="3">
        <v>598305.31000000006</v>
      </c>
      <c r="G14" s="3">
        <v>192.28</v>
      </c>
      <c r="H14" s="3"/>
      <c r="I14" s="3"/>
      <c r="J14" s="3">
        <v>11142.05</v>
      </c>
      <c r="K14" s="3">
        <v>3898</v>
      </c>
      <c r="L14" s="3">
        <v>613537.64000000013</v>
      </c>
    </row>
    <row r="15" spans="1:12" x14ac:dyDescent="0.35">
      <c r="A15" s="8" t="s">
        <v>356</v>
      </c>
      <c r="B15" s="2">
        <v>0</v>
      </c>
      <c r="C15" s="3">
        <v>0</v>
      </c>
      <c r="E15" s="8" t="s">
        <v>356</v>
      </c>
      <c r="F15" s="3"/>
      <c r="G15" s="3">
        <v>0</v>
      </c>
      <c r="H15" s="3"/>
      <c r="I15" s="3"/>
      <c r="J15" s="3"/>
      <c r="K15" s="3"/>
      <c r="L15" s="3">
        <v>0</v>
      </c>
    </row>
    <row r="16" spans="1:12" x14ac:dyDescent="0.35">
      <c r="A16" s="8" t="s">
        <v>357</v>
      </c>
      <c r="B16" s="2">
        <v>1.1000000000000001</v>
      </c>
      <c r="C16" s="3">
        <v>0</v>
      </c>
      <c r="E16" s="8" t="s">
        <v>357</v>
      </c>
      <c r="F16" s="3"/>
      <c r="G16" s="3">
        <v>0</v>
      </c>
      <c r="H16" s="3"/>
      <c r="I16" s="3"/>
      <c r="J16" s="3"/>
      <c r="K16" s="3"/>
      <c r="L16" s="3">
        <v>0</v>
      </c>
    </row>
    <row r="17" spans="1:12" x14ac:dyDescent="0.35">
      <c r="A17" s="8" t="s">
        <v>363</v>
      </c>
      <c r="B17" s="2">
        <v>12062788.43</v>
      </c>
      <c r="C17" s="3">
        <v>336297.43999999994</v>
      </c>
      <c r="E17" s="8" t="s">
        <v>363</v>
      </c>
      <c r="F17" s="3">
        <v>247569.55999999997</v>
      </c>
      <c r="G17" s="3">
        <v>17.259999999999998</v>
      </c>
      <c r="H17" s="3">
        <v>46606.74</v>
      </c>
      <c r="I17" s="3"/>
      <c r="J17" s="3">
        <v>40875.880000000012</v>
      </c>
      <c r="K17" s="3">
        <v>1228</v>
      </c>
      <c r="L17" s="3">
        <v>336297.44</v>
      </c>
    </row>
    <row r="18" spans="1:12" x14ac:dyDescent="0.35">
      <c r="A18" s="8" t="s">
        <v>362</v>
      </c>
      <c r="B18" s="2">
        <v>8666335.120000001</v>
      </c>
      <c r="C18" s="3">
        <v>127663.86</v>
      </c>
      <c r="E18" s="8" t="s">
        <v>362</v>
      </c>
      <c r="F18" s="3">
        <v>33696.579999999994</v>
      </c>
      <c r="G18" s="3">
        <v>78818.87</v>
      </c>
      <c r="H18" s="3">
        <v>9842.66</v>
      </c>
      <c r="I18" s="3">
        <v>85.47</v>
      </c>
      <c r="J18" s="3">
        <v>5220.28</v>
      </c>
      <c r="K18" s="3">
        <v>0</v>
      </c>
      <c r="L18" s="3">
        <v>127663.85999999999</v>
      </c>
    </row>
    <row r="19" spans="1:12" x14ac:dyDescent="0.35">
      <c r="A19" s="8" t="s">
        <v>349</v>
      </c>
      <c r="B19" s="2">
        <v>36800</v>
      </c>
      <c r="C19" s="3">
        <v>0</v>
      </c>
      <c r="E19" s="8" t="s">
        <v>349</v>
      </c>
      <c r="F19" s="3"/>
      <c r="G19" s="3">
        <v>0</v>
      </c>
      <c r="H19" s="3"/>
      <c r="I19" s="3"/>
      <c r="J19" s="3"/>
      <c r="K19" s="3"/>
      <c r="L19" s="3">
        <v>0</v>
      </c>
    </row>
    <row r="20" spans="1:12" x14ac:dyDescent="0.35">
      <c r="A20" s="8" t="s">
        <v>361</v>
      </c>
      <c r="B20" s="2">
        <v>49690.06</v>
      </c>
      <c r="C20" s="3">
        <v>583.22</v>
      </c>
      <c r="E20" s="8" t="s">
        <v>361</v>
      </c>
      <c r="F20" s="3">
        <v>583.22</v>
      </c>
      <c r="G20" s="3"/>
      <c r="H20" s="3">
        <v>0</v>
      </c>
      <c r="I20" s="3"/>
      <c r="J20" s="3"/>
      <c r="K20" s="3"/>
      <c r="L20" s="3">
        <v>583.22</v>
      </c>
    </row>
    <row r="21" spans="1:12" x14ac:dyDescent="0.35">
      <c r="A21" s="8" t="s">
        <v>359</v>
      </c>
      <c r="B21" s="2">
        <v>12487.06</v>
      </c>
      <c r="C21" s="3">
        <v>0</v>
      </c>
      <c r="E21" s="8" t="s">
        <v>359</v>
      </c>
      <c r="F21" s="3">
        <v>0</v>
      </c>
      <c r="G21" s="3"/>
      <c r="H21" s="3"/>
      <c r="I21" s="3"/>
      <c r="J21" s="3"/>
      <c r="K21" s="3"/>
      <c r="L21" s="3">
        <v>0</v>
      </c>
    </row>
    <row r="22" spans="1:12" x14ac:dyDescent="0.35">
      <c r="A22" s="8" t="s">
        <v>367</v>
      </c>
      <c r="B22" s="2">
        <v>117000</v>
      </c>
      <c r="C22" s="3">
        <v>0</v>
      </c>
      <c r="E22" s="8" t="s">
        <v>367</v>
      </c>
      <c r="F22" s="3"/>
      <c r="G22" s="3"/>
      <c r="H22" s="3">
        <v>0</v>
      </c>
      <c r="I22" s="3"/>
      <c r="J22" s="3"/>
      <c r="K22" s="3"/>
      <c r="L22" s="3">
        <v>0</v>
      </c>
    </row>
    <row r="23" spans="1:12" x14ac:dyDescent="0.35">
      <c r="A23" s="8" t="s">
        <v>354</v>
      </c>
      <c r="B23" s="2">
        <v>4.0600000000000005</v>
      </c>
      <c r="C23" s="3">
        <v>0</v>
      </c>
      <c r="E23" s="8" t="s">
        <v>354</v>
      </c>
      <c r="F23" s="3"/>
      <c r="G23" s="3">
        <v>0</v>
      </c>
      <c r="H23" s="3"/>
      <c r="I23" s="3"/>
      <c r="J23" s="3">
        <v>0</v>
      </c>
      <c r="K23" s="3"/>
      <c r="L23" s="3">
        <v>0</v>
      </c>
    </row>
    <row r="24" spans="1:12" x14ac:dyDescent="0.35">
      <c r="A24" s="8" t="s">
        <v>366</v>
      </c>
      <c r="B24" s="2">
        <v>92213</v>
      </c>
      <c r="C24" s="3">
        <v>274.11</v>
      </c>
      <c r="E24" s="8" t="s">
        <v>366</v>
      </c>
      <c r="F24" s="3"/>
      <c r="G24" s="3"/>
      <c r="H24" s="3"/>
      <c r="I24" s="3">
        <v>274.11</v>
      </c>
      <c r="J24" s="3"/>
      <c r="K24" s="3"/>
      <c r="L24" s="3">
        <v>274.11</v>
      </c>
    </row>
    <row r="25" spans="1:12" x14ac:dyDescent="0.35">
      <c r="A25" s="8" t="s">
        <v>365</v>
      </c>
      <c r="B25" s="2">
        <v>8288671.8700000001</v>
      </c>
      <c r="C25" s="3">
        <v>366012.87000000005</v>
      </c>
      <c r="E25" s="8" t="s">
        <v>365</v>
      </c>
      <c r="F25" s="3">
        <v>56763.39</v>
      </c>
      <c r="G25" s="3"/>
      <c r="H25" s="3">
        <v>586.80999999999995</v>
      </c>
      <c r="I25" s="3"/>
      <c r="J25" s="3">
        <v>265902.08000000002</v>
      </c>
      <c r="K25" s="3">
        <v>42760.59</v>
      </c>
      <c r="L25" s="3">
        <v>366012.87</v>
      </c>
    </row>
    <row r="26" spans="1:12" x14ac:dyDescent="0.35">
      <c r="A26" s="8" t="s">
        <v>83</v>
      </c>
      <c r="B26" s="2">
        <v>45477520.290000007</v>
      </c>
      <c r="C26" s="3">
        <v>1509631.8110000002</v>
      </c>
      <c r="E26" s="8" t="s">
        <v>83</v>
      </c>
      <c r="F26" s="3">
        <v>936918.05999999994</v>
      </c>
      <c r="G26" s="3">
        <v>144291.08100000001</v>
      </c>
      <c r="H26" s="3">
        <v>57036.209999999992</v>
      </c>
      <c r="I26" s="3">
        <v>359.58000000000004</v>
      </c>
      <c r="J26" s="3">
        <v>323140.29000000004</v>
      </c>
      <c r="K26" s="3">
        <v>47886.59</v>
      </c>
      <c r="L26" s="3">
        <v>1509631.8110000002</v>
      </c>
    </row>
  </sheetData>
  <conditionalFormatting pivot="1" sqref="C12:C26">
    <cfRule type="cellIs" dxfId="135" priority="2" operator="greaterThan">
      <formula>375000</formula>
    </cfRule>
  </conditionalFormatting>
  <conditionalFormatting pivot="1" sqref="C12:C26">
    <cfRule type="cellIs" dxfId="134" priority="1" operator="between">
      <formula>0</formula>
      <formula>374999</formula>
    </cfRule>
  </conditionalFormatting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id="{8E00697F-447A-4512-90C5-34B381578E1F}">
            <xm:f>NOT(ISERROR(SEARCH($A$4,A12)))</xm:f>
            <xm:f>$A$4</xm:f>
            <x14:dxf>
              <font>
                <b/>
                <i val="0"/>
              </font>
              <fill>
                <patternFill patternType="darkUp">
                  <fgColor theme="5" tint="0.79998168889431442"/>
                  <bgColor auto="1"/>
                </patternFill>
              </fill>
              <border>
                <top style="dashed">
                  <color rgb="FFC00000"/>
                </top>
                <bottom style="dashed">
                  <color rgb="FFC00000"/>
                </bottom>
                <vertical/>
                <horizontal/>
              </border>
            </x14:dxf>
          </x14:cfRule>
          <xm:sqref>A12:A49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6" tint="0.59999389629810485"/>
  </sheetPr>
  <dimension ref="A1:AM486"/>
  <sheetViews>
    <sheetView showGridLines="0" tabSelected="1" zoomScale="80" zoomScaleNormal="80" workbookViewId="0">
      <selection activeCell="AJ13" sqref="AJ13"/>
    </sheetView>
  </sheetViews>
  <sheetFormatPr defaultColWidth="9.1796875" defaultRowHeight="13" x14ac:dyDescent="0.35"/>
  <cols>
    <col min="1" max="1" width="20.81640625" style="73" bestFit="1" customWidth="1"/>
    <col min="2" max="2" width="44.453125" style="73" bestFit="1" customWidth="1"/>
    <col min="3" max="3" width="13" style="74" bestFit="1" customWidth="1"/>
    <col min="4" max="4" width="45.7265625" style="73" bestFit="1" customWidth="1"/>
    <col min="5" max="5" width="32.81640625" style="73" bestFit="1" customWidth="1"/>
    <col min="6" max="6" width="6.54296875" style="73" bestFit="1" customWidth="1"/>
    <col min="7" max="7" width="10" style="73" bestFit="1" customWidth="1"/>
    <col min="8" max="8" width="27.7265625" style="73" bestFit="1" customWidth="1"/>
    <col min="9" max="9" width="7.81640625" style="73" bestFit="1" customWidth="1"/>
    <col min="10" max="10" width="11.54296875" style="73" bestFit="1" customWidth="1"/>
    <col min="11" max="11" width="28.81640625" style="73" bestFit="1" customWidth="1"/>
    <col min="12" max="12" width="16.54296875" style="73" bestFit="1" customWidth="1"/>
    <col min="13" max="13" width="22.453125" style="73" bestFit="1" customWidth="1"/>
    <col min="14" max="14" width="16.26953125" style="91" bestFit="1" customWidth="1"/>
    <col min="15" max="15" width="15.7265625" style="91" bestFit="1" customWidth="1"/>
    <col min="16" max="16" width="17.1796875" style="91" bestFit="1" customWidth="1"/>
    <col min="17" max="17" width="23.54296875" style="91" bestFit="1" customWidth="1"/>
    <col min="18" max="18" width="16" style="73" bestFit="1" customWidth="1"/>
    <col min="19" max="19" width="18.453125" style="91" bestFit="1" customWidth="1"/>
    <col min="20" max="20" width="14.54296875" style="73" bestFit="1" customWidth="1"/>
    <col min="21" max="21" width="23.1796875" style="73" bestFit="1" customWidth="1"/>
    <col min="22" max="22" width="31.453125" style="91" bestFit="1" customWidth="1"/>
    <col min="23" max="23" width="12.7265625" style="73" bestFit="1" customWidth="1"/>
    <col min="24" max="24" width="17.7265625" style="91" bestFit="1" customWidth="1"/>
    <col min="25" max="25" width="16" style="73" bestFit="1" customWidth="1"/>
    <col min="26" max="26" width="8" style="73" bestFit="1" customWidth="1"/>
    <col min="27" max="27" width="34.1796875" style="73" bestFit="1" customWidth="1"/>
    <col min="28" max="28" width="16.54296875" style="73" bestFit="1" customWidth="1"/>
    <col min="29" max="29" width="13.7265625" style="73" bestFit="1" customWidth="1"/>
    <col min="30" max="30" width="13.453125" style="73" bestFit="1" customWidth="1"/>
    <col min="31" max="31" width="22.7265625" style="73" bestFit="1" customWidth="1"/>
    <col min="32" max="32" width="8.7265625" style="73" bestFit="1" customWidth="1"/>
    <col min="33" max="33" width="13.453125" style="93" bestFit="1" customWidth="1"/>
    <col min="34" max="34" width="17" style="96" bestFit="1" customWidth="1"/>
    <col min="35" max="35" width="16.453125" style="73" bestFit="1" customWidth="1"/>
    <col min="36" max="36" width="15.81640625" style="77" bestFit="1" customWidth="1"/>
    <col min="37" max="16384" width="9.1796875" style="73"/>
  </cols>
  <sheetData>
    <row r="1" spans="1:39" s="79" customFormat="1" ht="38.25" customHeight="1" x14ac:dyDescent="0.35">
      <c r="A1" s="80" t="s">
        <v>1</v>
      </c>
      <c r="B1" s="80" t="s">
        <v>2</v>
      </c>
      <c r="C1" s="80" t="s">
        <v>3</v>
      </c>
      <c r="D1" s="80" t="s">
        <v>4</v>
      </c>
      <c r="E1" s="80" t="s">
        <v>5</v>
      </c>
      <c r="F1" s="80" t="s">
        <v>0</v>
      </c>
      <c r="G1" s="80" t="s">
        <v>6</v>
      </c>
      <c r="H1" s="80" t="s">
        <v>85</v>
      </c>
      <c r="I1" s="80" t="s">
        <v>7</v>
      </c>
      <c r="J1" s="80" t="s">
        <v>8</v>
      </c>
      <c r="K1" s="80" t="s">
        <v>9</v>
      </c>
      <c r="L1" s="80" t="s">
        <v>10</v>
      </c>
      <c r="M1" s="80" t="s">
        <v>11</v>
      </c>
      <c r="N1" s="89" t="s">
        <v>12</v>
      </c>
      <c r="O1" s="89" t="s">
        <v>13</v>
      </c>
      <c r="P1" s="89" t="s">
        <v>14</v>
      </c>
      <c r="Q1" s="89" t="s">
        <v>15</v>
      </c>
      <c r="R1" s="80" t="s">
        <v>16</v>
      </c>
      <c r="S1" s="89" t="s">
        <v>17</v>
      </c>
      <c r="T1" s="80" t="s">
        <v>18</v>
      </c>
      <c r="U1" s="80" t="s">
        <v>19</v>
      </c>
      <c r="V1" s="89" t="s">
        <v>20</v>
      </c>
      <c r="W1" s="80" t="s">
        <v>21</v>
      </c>
      <c r="X1" s="89" t="s">
        <v>22</v>
      </c>
      <c r="Y1" s="80" t="s">
        <v>23</v>
      </c>
      <c r="Z1" s="80" t="s">
        <v>24</v>
      </c>
      <c r="AA1" s="80" t="s">
        <v>25</v>
      </c>
      <c r="AB1" s="80" t="s">
        <v>26</v>
      </c>
      <c r="AC1" s="80" t="s">
        <v>96</v>
      </c>
      <c r="AD1" s="80" t="s">
        <v>27</v>
      </c>
      <c r="AE1" s="80" t="s">
        <v>28</v>
      </c>
      <c r="AF1" s="80" t="s">
        <v>29</v>
      </c>
      <c r="AG1" s="92" t="s">
        <v>30</v>
      </c>
      <c r="AH1" s="94" t="s">
        <v>31</v>
      </c>
      <c r="AI1" s="80" t="s">
        <v>100</v>
      </c>
      <c r="AJ1" s="78" t="s">
        <v>1392</v>
      </c>
      <c r="AM1" s="79" t="s">
        <v>30</v>
      </c>
    </row>
    <row r="2" spans="1:39" ht="14.5" x14ac:dyDescent="0.35">
      <c r="A2" s="81">
        <v>15057</v>
      </c>
      <c r="B2" s="81" t="s">
        <v>60</v>
      </c>
      <c r="C2" s="81">
        <v>1453846000140</v>
      </c>
      <c r="D2" s="81" t="s">
        <v>65</v>
      </c>
      <c r="E2" s="81" t="s">
        <v>66</v>
      </c>
      <c r="F2" s="81" t="s">
        <v>44</v>
      </c>
      <c r="G2" s="81">
        <v>19036</v>
      </c>
      <c r="H2" s="81" t="s">
        <v>125</v>
      </c>
      <c r="I2" s="81" t="s">
        <v>32</v>
      </c>
      <c r="J2" s="81" t="s">
        <v>33</v>
      </c>
      <c r="K2" s="81" t="s">
        <v>34</v>
      </c>
      <c r="L2" s="81" t="s">
        <v>108</v>
      </c>
      <c r="M2" s="81">
        <v>48954</v>
      </c>
      <c r="N2" s="90">
        <v>43840</v>
      </c>
      <c r="O2" s="90">
        <v>43850</v>
      </c>
      <c r="P2" s="90">
        <v>44509</v>
      </c>
      <c r="Q2" s="90" t="s">
        <v>35</v>
      </c>
      <c r="R2" s="81">
        <v>0</v>
      </c>
      <c r="S2" s="90" t="s">
        <v>35</v>
      </c>
      <c r="T2" s="81">
        <v>0</v>
      </c>
      <c r="U2" s="81" t="s">
        <v>36</v>
      </c>
      <c r="V2" s="90" t="s">
        <v>35</v>
      </c>
      <c r="W2" s="81"/>
      <c r="X2" s="90" t="s">
        <v>37</v>
      </c>
      <c r="Y2" s="81" t="s">
        <v>38</v>
      </c>
      <c r="Z2" s="81">
        <v>208</v>
      </c>
      <c r="AA2" s="81" t="s">
        <v>150</v>
      </c>
      <c r="AB2" s="81">
        <v>0</v>
      </c>
      <c r="AC2" s="81"/>
      <c r="AD2" s="81">
        <v>0</v>
      </c>
      <c r="AE2" s="81"/>
      <c r="AF2" s="81" t="s">
        <v>39</v>
      </c>
      <c r="AG2" s="83">
        <v>0</v>
      </c>
      <c r="AH2" s="95">
        <v>9000</v>
      </c>
      <c r="AI2" s="82" t="str">
        <f>CONCATENATE((TEXT(Tabela1[[#This Row],[Data entrega]],"mmmm")),"_",(YEAR(Tabela1[[#This Row],[Data entrega]])))</f>
        <v>janeiro_2020</v>
      </c>
      <c r="AJ2" s="77">
        <f>IFERROR(IF(Tabela1[[#This Row],[Programa]]="",Tabela1[[#This Row],[Peso bruto]],VLOOKUP(Tabela1[[#This Row],[Pedido]],'Saldo a Produzir'!$A:$D,4,0)),"")</f>
        <v>0</v>
      </c>
      <c r="AM2" s="73">
        <v>0</v>
      </c>
    </row>
    <row r="3" spans="1:39" ht="14.5" x14ac:dyDescent="0.35">
      <c r="A3" s="81">
        <v>15062</v>
      </c>
      <c r="B3" s="81" t="s">
        <v>50</v>
      </c>
      <c r="C3" s="81">
        <v>4954351000605</v>
      </c>
      <c r="D3" s="81" t="s">
        <v>110</v>
      </c>
      <c r="E3" s="81" t="s">
        <v>111</v>
      </c>
      <c r="F3" s="81" t="s">
        <v>51</v>
      </c>
      <c r="G3" s="81">
        <v>19623</v>
      </c>
      <c r="H3" s="81" t="s">
        <v>109</v>
      </c>
      <c r="I3" s="81" t="s">
        <v>32</v>
      </c>
      <c r="J3" s="81" t="s">
        <v>33</v>
      </c>
      <c r="K3" s="81" t="s">
        <v>34</v>
      </c>
      <c r="L3" s="81"/>
      <c r="M3" s="81">
        <v>4300278137</v>
      </c>
      <c r="N3" s="90">
        <v>43906</v>
      </c>
      <c r="O3" s="90">
        <v>43906</v>
      </c>
      <c r="P3" s="90">
        <v>44075</v>
      </c>
      <c r="Q3" s="90" t="s">
        <v>35</v>
      </c>
      <c r="R3" s="81">
        <v>0</v>
      </c>
      <c r="S3" s="90" t="s">
        <v>35</v>
      </c>
      <c r="T3" s="81">
        <v>0</v>
      </c>
      <c r="U3" s="81" t="s">
        <v>36</v>
      </c>
      <c r="V3" s="90" t="s">
        <v>35</v>
      </c>
      <c r="W3" s="81"/>
      <c r="X3" s="90" t="s">
        <v>37</v>
      </c>
      <c r="Y3" s="81" t="s">
        <v>38</v>
      </c>
      <c r="Z3" s="81">
        <v>44</v>
      </c>
      <c r="AA3" s="81" t="s">
        <v>151</v>
      </c>
      <c r="AB3" s="81">
        <v>0</v>
      </c>
      <c r="AC3" s="81"/>
      <c r="AD3" s="81">
        <v>0</v>
      </c>
      <c r="AE3" s="81"/>
      <c r="AF3" s="81" t="s">
        <v>39</v>
      </c>
      <c r="AG3" s="83">
        <v>0</v>
      </c>
      <c r="AH3" s="95">
        <v>13346</v>
      </c>
      <c r="AI3" s="82" t="str">
        <f>CONCATENATE((TEXT(Tabela1[[#This Row],[Data entrega]],"mmmm")),"_",(YEAR(Tabela1[[#This Row],[Data entrega]])))</f>
        <v>março_2020</v>
      </c>
      <c r="AJ3" s="77">
        <f>IFERROR(IF(Tabela1[[#This Row],[Programa]]="",Tabela1[[#This Row],[Peso bruto]],VLOOKUP(Tabela1[[#This Row],[Pedido]],'Saldo a Produzir'!$A:$D,4,0)),"")</f>
        <v>0</v>
      </c>
      <c r="AM3" s="73">
        <v>0</v>
      </c>
    </row>
    <row r="4" spans="1:39" ht="14.5" x14ac:dyDescent="0.35">
      <c r="A4" s="81">
        <v>15054</v>
      </c>
      <c r="B4" s="81" t="s">
        <v>70</v>
      </c>
      <c r="C4" s="81">
        <v>1838723030891</v>
      </c>
      <c r="D4" s="81" t="s">
        <v>41</v>
      </c>
      <c r="E4" s="81" t="s">
        <v>145</v>
      </c>
      <c r="F4" s="81" t="s">
        <v>132</v>
      </c>
      <c r="G4" s="81">
        <v>20955</v>
      </c>
      <c r="H4" s="81" t="s">
        <v>109</v>
      </c>
      <c r="I4" s="81" t="s">
        <v>32</v>
      </c>
      <c r="J4" s="81" t="s">
        <v>156</v>
      </c>
      <c r="K4" s="81" t="s">
        <v>34</v>
      </c>
      <c r="L4" s="81" t="s">
        <v>146</v>
      </c>
      <c r="M4" s="81">
        <v>103490019</v>
      </c>
      <c r="N4" s="90">
        <v>44046</v>
      </c>
      <c r="O4" s="90">
        <v>44046</v>
      </c>
      <c r="P4" s="90">
        <v>44075</v>
      </c>
      <c r="Q4" s="90">
        <v>44426</v>
      </c>
      <c r="R4" s="81">
        <v>125</v>
      </c>
      <c r="S4" s="90">
        <v>44426</v>
      </c>
      <c r="T4" s="81">
        <v>125</v>
      </c>
      <c r="U4" s="81" t="s">
        <v>36</v>
      </c>
      <c r="V4" s="90" t="s">
        <v>35</v>
      </c>
      <c r="W4" s="81"/>
      <c r="X4" s="90" t="s">
        <v>37</v>
      </c>
      <c r="Y4" s="81" t="s">
        <v>38</v>
      </c>
      <c r="Z4" s="81">
        <v>0</v>
      </c>
      <c r="AA4" s="81"/>
      <c r="AB4" s="81">
        <v>0</v>
      </c>
      <c r="AC4" s="81"/>
      <c r="AD4" s="81">
        <v>0</v>
      </c>
      <c r="AE4" s="81"/>
      <c r="AF4" s="81" t="s">
        <v>39</v>
      </c>
      <c r="AG4" s="83">
        <v>0</v>
      </c>
      <c r="AH4" s="95">
        <v>87</v>
      </c>
      <c r="AI4" s="82" t="str">
        <f>CONCATENATE((TEXT(Tabela1[[#This Row],[Data entrega]],"mmmm")),"_",(YEAR(Tabela1[[#This Row],[Data entrega]])))</f>
        <v>agosto_2020</v>
      </c>
      <c r="AJ4" s="77">
        <f>IFERROR(IF(Tabela1[[#This Row],[Programa]]="",Tabela1[[#This Row],[Peso bruto]],VLOOKUP(Tabela1[[#This Row],[Pedido]],'Saldo a Produzir'!$A:$D,4,0)),"")</f>
        <v>0</v>
      </c>
      <c r="AM4" s="73">
        <v>0</v>
      </c>
    </row>
    <row r="5" spans="1:39" ht="14.5" x14ac:dyDescent="0.35">
      <c r="A5" s="81">
        <v>15067</v>
      </c>
      <c r="B5" s="81" t="s">
        <v>59</v>
      </c>
      <c r="C5" s="81">
        <v>42150391000170</v>
      </c>
      <c r="D5" s="81" t="s">
        <v>107</v>
      </c>
      <c r="E5" s="81" t="s">
        <v>133</v>
      </c>
      <c r="F5" s="81" t="s">
        <v>53</v>
      </c>
      <c r="G5" s="81">
        <v>22470</v>
      </c>
      <c r="H5" s="81" t="s">
        <v>109</v>
      </c>
      <c r="I5" s="81" t="s">
        <v>32</v>
      </c>
      <c r="J5" s="81" t="s">
        <v>33</v>
      </c>
      <c r="K5" s="81" t="s">
        <v>34</v>
      </c>
      <c r="L5" s="81" t="s">
        <v>165</v>
      </c>
      <c r="M5" s="81"/>
      <c r="N5" s="90">
        <v>44119</v>
      </c>
      <c r="O5" s="90">
        <v>44120</v>
      </c>
      <c r="P5" s="90">
        <v>44524</v>
      </c>
      <c r="Q5" s="90" t="s">
        <v>35</v>
      </c>
      <c r="R5" s="81">
        <v>0</v>
      </c>
      <c r="S5" s="90" t="s">
        <v>35</v>
      </c>
      <c r="T5" s="81">
        <v>0</v>
      </c>
      <c r="U5" s="81" t="s">
        <v>36</v>
      </c>
      <c r="V5" s="90" t="s">
        <v>35</v>
      </c>
      <c r="W5" s="81"/>
      <c r="X5" s="90" t="s">
        <v>37</v>
      </c>
      <c r="Y5" s="81" t="s">
        <v>38</v>
      </c>
      <c r="Z5" s="81">
        <v>13</v>
      </c>
      <c r="AA5" s="81" t="s">
        <v>149</v>
      </c>
      <c r="AB5" s="81">
        <v>0</v>
      </c>
      <c r="AC5" s="81"/>
      <c r="AD5" s="81">
        <v>0</v>
      </c>
      <c r="AE5" s="81"/>
      <c r="AF5" s="81" t="s">
        <v>39</v>
      </c>
      <c r="AG5" s="83">
        <v>0</v>
      </c>
      <c r="AH5" s="95">
        <v>68941</v>
      </c>
      <c r="AI5" s="82" t="str">
        <f>CONCATENATE((TEXT(Tabela1[[#This Row],[Data entrega]],"mmmm")),"_",(YEAR(Tabela1[[#This Row],[Data entrega]])))</f>
        <v>outubro_2020</v>
      </c>
      <c r="AJ5" s="77">
        <f>IFERROR(IF(Tabela1[[#This Row],[Programa]]="",Tabela1[[#This Row],[Peso bruto]],VLOOKUP(Tabela1[[#This Row],[Pedido]],'Saldo a Produzir'!$A:$D,4,0)),"")</f>
        <v>0</v>
      </c>
      <c r="AM5" s="73">
        <v>0</v>
      </c>
    </row>
    <row r="6" spans="1:39" ht="14.5" x14ac:dyDescent="0.35">
      <c r="A6" s="81">
        <v>15055</v>
      </c>
      <c r="B6" s="81" t="s">
        <v>61</v>
      </c>
      <c r="C6" s="81">
        <v>2290277002507</v>
      </c>
      <c r="D6" s="81" t="s">
        <v>188</v>
      </c>
      <c r="E6" s="81" t="s">
        <v>133</v>
      </c>
      <c r="F6" s="81" t="s">
        <v>53</v>
      </c>
      <c r="G6" s="81">
        <v>23256</v>
      </c>
      <c r="H6" s="81" t="s">
        <v>125</v>
      </c>
      <c r="I6" s="81" t="s">
        <v>32</v>
      </c>
      <c r="J6" s="81" t="s">
        <v>33</v>
      </c>
      <c r="K6" s="81" t="s">
        <v>34</v>
      </c>
      <c r="L6" s="81" t="s">
        <v>189</v>
      </c>
      <c r="M6" s="81">
        <v>6200155242</v>
      </c>
      <c r="N6" s="90">
        <v>44237</v>
      </c>
      <c r="O6" s="90">
        <v>44244</v>
      </c>
      <c r="P6" s="90">
        <v>44257</v>
      </c>
      <c r="Q6" s="90" t="s">
        <v>35</v>
      </c>
      <c r="R6" s="81">
        <v>0</v>
      </c>
      <c r="S6" s="90" t="s">
        <v>35</v>
      </c>
      <c r="T6" s="81">
        <v>0</v>
      </c>
      <c r="U6" s="81" t="s">
        <v>36</v>
      </c>
      <c r="V6" s="90" t="s">
        <v>35</v>
      </c>
      <c r="W6" s="81"/>
      <c r="X6" s="90" t="s">
        <v>37</v>
      </c>
      <c r="Y6" s="81" t="s">
        <v>38</v>
      </c>
      <c r="Z6" s="81">
        <v>944</v>
      </c>
      <c r="AA6" s="81" t="s">
        <v>152</v>
      </c>
      <c r="AB6" s="81">
        <v>0</v>
      </c>
      <c r="AC6" s="81"/>
      <c r="AD6" s="81">
        <v>0</v>
      </c>
      <c r="AE6" s="81" t="s">
        <v>190</v>
      </c>
      <c r="AF6" s="81" t="s">
        <v>39</v>
      </c>
      <c r="AG6" s="83">
        <v>0</v>
      </c>
      <c r="AH6" s="95">
        <v>6505</v>
      </c>
      <c r="AI6" s="82" t="str">
        <f>CONCATENATE((TEXT(Tabela1[[#This Row],[Data entrega]],"mmmm")),"_",(YEAR(Tabela1[[#This Row],[Data entrega]])))</f>
        <v>fevereiro_2021</v>
      </c>
      <c r="AJ6" s="77">
        <f>IFERROR(IF(Tabela1[[#This Row],[Programa]]="",Tabela1[[#This Row],[Peso bruto]],VLOOKUP(Tabela1[[#This Row],[Pedido]],'Saldo a Produzir'!$A:$D,4,0)),"")</f>
        <v>0</v>
      </c>
      <c r="AM6" s="73">
        <v>0</v>
      </c>
    </row>
    <row r="7" spans="1:39" ht="14.5" x14ac:dyDescent="0.35">
      <c r="A7" s="81">
        <v>15075</v>
      </c>
      <c r="B7" s="81" t="s">
        <v>166</v>
      </c>
      <c r="C7" s="81">
        <v>1808103000307</v>
      </c>
      <c r="D7" s="81" t="s">
        <v>217</v>
      </c>
      <c r="E7" s="81" t="s">
        <v>224</v>
      </c>
      <c r="F7" s="81" t="s">
        <v>58</v>
      </c>
      <c r="G7" s="81">
        <v>23804</v>
      </c>
      <c r="H7" s="81" t="s">
        <v>109</v>
      </c>
      <c r="I7" s="81" t="s">
        <v>32</v>
      </c>
      <c r="J7" s="81" t="s">
        <v>156</v>
      </c>
      <c r="K7" s="81" t="s">
        <v>34</v>
      </c>
      <c r="L7" s="81" t="s">
        <v>225</v>
      </c>
      <c r="M7" s="81">
        <v>4502293964</v>
      </c>
      <c r="N7" s="90">
        <v>44327</v>
      </c>
      <c r="O7" s="90">
        <v>44333</v>
      </c>
      <c r="P7" s="90">
        <v>44327</v>
      </c>
      <c r="Q7" s="90">
        <v>44454</v>
      </c>
      <c r="R7" s="81">
        <v>138</v>
      </c>
      <c r="S7" s="90">
        <v>44454</v>
      </c>
      <c r="T7" s="81">
        <v>138</v>
      </c>
      <c r="U7" s="81" t="s">
        <v>36</v>
      </c>
      <c r="V7" s="90" t="s">
        <v>35</v>
      </c>
      <c r="W7" s="81"/>
      <c r="X7" s="90" t="s">
        <v>37</v>
      </c>
      <c r="Y7" s="81" t="s">
        <v>38</v>
      </c>
      <c r="Z7" s="81">
        <v>2000</v>
      </c>
      <c r="AA7" s="81" t="s">
        <v>154</v>
      </c>
      <c r="AB7" s="81">
        <v>0</v>
      </c>
      <c r="AC7" s="81"/>
      <c r="AD7" s="81">
        <v>0</v>
      </c>
      <c r="AE7" s="81"/>
      <c r="AF7" s="81" t="s">
        <v>39</v>
      </c>
      <c r="AG7" s="83">
        <v>0</v>
      </c>
      <c r="AH7" s="95">
        <v>8000</v>
      </c>
      <c r="AI7" s="82" t="str">
        <f>CONCATENATE((TEXT(Tabela1[[#This Row],[Data entrega]],"mmmm")),"_",(YEAR(Tabela1[[#This Row],[Data entrega]])))</f>
        <v>maio_2021</v>
      </c>
      <c r="AJ7" s="77">
        <f>IFERROR(IF(Tabela1[[#This Row],[Programa]]="",Tabela1[[#This Row],[Peso bruto]],VLOOKUP(Tabela1[[#This Row],[Pedido]],'Saldo a Produzir'!$A:$D,4,0)),"")</f>
        <v>0</v>
      </c>
      <c r="AM7" s="73">
        <v>0</v>
      </c>
    </row>
    <row r="8" spans="1:39" ht="14.5" x14ac:dyDescent="0.35">
      <c r="A8" s="81">
        <v>15069</v>
      </c>
      <c r="B8" s="81" t="s">
        <v>297</v>
      </c>
      <c r="C8" s="81">
        <v>1615814008005</v>
      </c>
      <c r="D8" s="81" t="s">
        <v>235</v>
      </c>
      <c r="E8" s="81" t="s">
        <v>236</v>
      </c>
      <c r="F8" s="81" t="s">
        <v>33</v>
      </c>
      <c r="G8" s="81">
        <v>23906</v>
      </c>
      <c r="H8" s="81" t="s">
        <v>125</v>
      </c>
      <c r="I8" s="81" t="s">
        <v>32</v>
      </c>
      <c r="J8" s="81" t="s">
        <v>33</v>
      </c>
      <c r="K8" s="81" t="s">
        <v>34</v>
      </c>
      <c r="L8" s="81" t="s">
        <v>237</v>
      </c>
      <c r="M8" s="81" t="s">
        <v>238</v>
      </c>
      <c r="N8" s="90">
        <v>44348</v>
      </c>
      <c r="O8" s="90">
        <v>44362</v>
      </c>
      <c r="P8" s="90">
        <v>44348</v>
      </c>
      <c r="Q8" s="90" t="s">
        <v>35</v>
      </c>
      <c r="R8" s="81">
        <v>0</v>
      </c>
      <c r="S8" s="90" t="s">
        <v>35</v>
      </c>
      <c r="T8" s="81">
        <v>0</v>
      </c>
      <c r="U8" s="81" t="s">
        <v>36</v>
      </c>
      <c r="V8" s="90" t="s">
        <v>35</v>
      </c>
      <c r="W8" s="81"/>
      <c r="X8" s="90" t="s">
        <v>37</v>
      </c>
      <c r="Y8" s="81" t="s">
        <v>38</v>
      </c>
      <c r="Z8" s="81">
        <v>944</v>
      </c>
      <c r="AA8" s="81" t="s">
        <v>152</v>
      </c>
      <c r="AB8" s="81">
        <v>0</v>
      </c>
      <c r="AC8" s="81"/>
      <c r="AD8" s="81">
        <v>0</v>
      </c>
      <c r="AE8" s="81"/>
      <c r="AF8" s="81" t="s">
        <v>39</v>
      </c>
      <c r="AG8" s="83">
        <v>0</v>
      </c>
      <c r="AH8" s="95">
        <v>40000</v>
      </c>
      <c r="AI8" s="82" t="str">
        <f>CONCATENATE((TEXT(Tabela1[[#This Row],[Data entrega]],"mmmm")),"_",(YEAR(Tabela1[[#This Row],[Data entrega]])))</f>
        <v>junho_2021</v>
      </c>
      <c r="AJ8" s="77">
        <f>IFERROR(IF(Tabela1[[#This Row],[Programa]]="",Tabela1[[#This Row],[Peso bruto]],VLOOKUP(Tabela1[[#This Row],[Pedido]],'Saldo a Produzir'!$A:$D,4,0)),"")</f>
        <v>0</v>
      </c>
      <c r="AM8" s="73">
        <v>0</v>
      </c>
    </row>
    <row r="9" spans="1:39" ht="14.5" x14ac:dyDescent="0.35">
      <c r="A9" s="81">
        <v>15057</v>
      </c>
      <c r="B9" s="81" t="s">
        <v>60</v>
      </c>
      <c r="C9" s="81">
        <v>88587357003001</v>
      </c>
      <c r="D9" s="81" t="s">
        <v>245</v>
      </c>
      <c r="E9" s="81" t="s">
        <v>130</v>
      </c>
      <c r="F9" s="81" t="s">
        <v>58</v>
      </c>
      <c r="G9" s="81">
        <v>23964</v>
      </c>
      <c r="H9" s="81" t="s">
        <v>125</v>
      </c>
      <c r="I9" s="81" t="s">
        <v>32</v>
      </c>
      <c r="J9" s="81" t="s">
        <v>33</v>
      </c>
      <c r="K9" s="81" t="s">
        <v>34</v>
      </c>
      <c r="L9" s="81" t="s">
        <v>246</v>
      </c>
      <c r="M9" s="81"/>
      <c r="N9" s="90">
        <v>44363</v>
      </c>
      <c r="O9" s="90">
        <v>44363</v>
      </c>
      <c r="P9" s="90">
        <v>44363</v>
      </c>
      <c r="Q9" s="90" t="s">
        <v>35</v>
      </c>
      <c r="R9" s="81">
        <v>0</v>
      </c>
      <c r="S9" s="90" t="s">
        <v>35</v>
      </c>
      <c r="T9" s="81">
        <v>0</v>
      </c>
      <c r="U9" s="81" t="s">
        <v>36</v>
      </c>
      <c r="V9" s="90" t="s">
        <v>35</v>
      </c>
      <c r="W9" s="81"/>
      <c r="X9" s="90" t="s">
        <v>37</v>
      </c>
      <c r="Y9" s="81" t="s">
        <v>38</v>
      </c>
      <c r="Z9" s="81">
        <v>2000</v>
      </c>
      <c r="AA9" s="81" t="s">
        <v>154</v>
      </c>
      <c r="AB9" s="81">
        <v>0</v>
      </c>
      <c r="AC9" s="81"/>
      <c r="AD9" s="81">
        <v>0</v>
      </c>
      <c r="AE9" s="81"/>
      <c r="AF9" s="81" t="s">
        <v>39</v>
      </c>
      <c r="AG9" s="83">
        <v>0</v>
      </c>
      <c r="AH9" s="95">
        <v>5040</v>
      </c>
      <c r="AI9" s="82" t="str">
        <f>CONCATENATE((TEXT(Tabela1[[#This Row],[Data entrega]],"mmmm")),"_",(YEAR(Tabela1[[#This Row],[Data entrega]])))</f>
        <v>junho_2021</v>
      </c>
      <c r="AJ9" s="77">
        <f>IFERROR(IF(Tabela1[[#This Row],[Programa]]="",Tabela1[[#This Row],[Peso bruto]],VLOOKUP(Tabela1[[#This Row],[Pedido]],'Saldo a Produzir'!$A:$D,4,0)),"")</f>
        <v>0</v>
      </c>
      <c r="AM9" s="73">
        <v>0</v>
      </c>
    </row>
    <row r="10" spans="1:39" ht="14.5" x14ac:dyDescent="0.35">
      <c r="A10" s="81">
        <v>15055</v>
      </c>
      <c r="B10" s="81" t="s">
        <v>61</v>
      </c>
      <c r="C10" s="81">
        <v>2290277002507</v>
      </c>
      <c r="D10" s="81" t="s">
        <v>188</v>
      </c>
      <c r="E10" s="81" t="s">
        <v>133</v>
      </c>
      <c r="F10" s="81" t="s">
        <v>53</v>
      </c>
      <c r="G10" s="81">
        <v>23973</v>
      </c>
      <c r="H10" s="81" t="s">
        <v>125</v>
      </c>
      <c r="I10" s="81" t="s">
        <v>32</v>
      </c>
      <c r="J10" s="81" t="s">
        <v>33</v>
      </c>
      <c r="K10" s="81" t="s">
        <v>34</v>
      </c>
      <c r="L10" s="81" t="s">
        <v>251</v>
      </c>
      <c r="M10" s="81">
        <v>6200170591</v>
      </c>
      <c r="N10" s="90">
        <v>44368</v>
      </c>
      <c r="O10" s="90">
        <v>44372</v>
      </c>
      <c r="P10" s="90">
        <v>44369</v>
      </c>
      <c r="Q10" s="90" t="s">
        <v>35</v>
      </c>
      <c r="R10" s="81">
        <v>0</v>
      </c>
      <c r="S10" s="90" t="s">
        <v>35</v>
      </c>
      <c r="T10" s="81">
        <v>0</v>
      </c>
      <c r="U10" s="81" t="s">
        <v>36</v>
      </c>
      <c r="V10" s="90" t="s">
        <v>35</v>
      </c>
      <c r="W10" s="81"/>
      <c r="X10" s="90" t="s">
        <v>37</v>
      </c>
      <c r="Y10" s="81" t="s">
        <v>38</v>
      </c>
      <c r="Z10" s="81">
        <v>944</v>
      </c>
      <c r="AA10" s="81" t="s">
        <v>152</v>
      </c>
      <c r="AB10" s="81">
        <v>0</v>
      </c>
      <c r="AC10" s="81"/>
      <c r="AD10" s="81">
        <v>0</v>
      </c>
      <c r="AE10" s="81" t="s">
        <v>190</v>
      </c>
      <c r="AF10" s="81" t="s">
        <v>39</v>
      </c>
      <c r="AG10" s="83">
        <v>0</v>
      </c>
      <c r="AH10" s="95">
        <v>11925</v>
      </c>
      <c r="AI10" s="82" t="str">
        <f>CONCATENATE((TEXT(Tabela1[[#This Row],[Data entrega]],"mmmm")),"_",(YEAR(Tabela1[[#This Row],[Data entrega]])))</f>
        <v>junho_2021</v>
      </c>
      <c r="AJ10" s="77">
        <f>IFERROR(IF(Tabela1[[#This Row],[Programa]]="",Tabela1[[#This Row],[Peso bruto]],VLOOKUP(Tabela1[[#This Row],[Pedido]],'Saldo a Produzir'!$A:$D,4,0)),"")</f>
        <v>0</v>
      </c>
      <c r="AM10" s="73">
        <v>0</v>
      </c>
    </row>
    <row r="11" spans="1:39" ht="14.5" x14ac:dyDescent="0.35">
      <c r="A11" s="81">
        <v>15020</v>
      </c>
      <c r="B11" s="81" t="s">
        <v>46</v>
      </c>
      <c r="C11" s="81">
        <v>671</v>
      </c>
      <c r="D11" s="81" t="s">
        <v>47</v>
      </c>
      <c r="E11" s="81" t="s">
        <v>48</v>
      </c>
      <c r="F11" s="81" t="s">
        <v>49</v>
      </c>
      <c r="G11" s="81">
        <v>24053</v>
      </c>
      <c r="H11" s="81" t="s">
        <v>109</v>
      </c>
      <c r="I11" s="81" t="s">
        <v>32</v>
      </c>
      <c r="J11" s="81" t="s">
        <v>156</v>
      </c>
      <c r="K11" s="81" t="s">
        <v>34</v>
      </c>
      <c r="L11" s="81" t="s">
        <v>258</v>
      </c>
      <c r="M11" s="81">
        <v>4500492668</v>
      </c>
      <c r="N11" s="90">
        <v>44385</v>
      </c>
      <c r="O11" s="90">
        <v>44392</v>
      </c>
      <c r="P11" s="90">
        <v>44714</v>
      </c>
      <c r="Q11" s="90">
        <v>44594</v>
      </c>
      <c r="R11" s="81">
        <v>5306</v>
      </c>
      <c r="S11" s="90">
        <v>44714</v>
      </c>
      <c r="T11" s="81">
        <v>7017</v>
      </c>
      <c r="U11" s="81" t="s">
        <v>36</v>
      </c>
      <c r="V11" s="90" t="s">
        <v>35</v>
      </c>
      <c r="W11" s="81"/>
      <c r="X11" s="90" t="s">
        <v>37</v>
      </c>
      <c r="Y11" s="81" t="s">
        <v>38</v>
      </c>
      <c r="Z11" s="81">
        <v>0</v>
      </c>
      <c r="AA11" s="81"/>
      <c r="AB11" s="81">
        <v>0</v>
      </c>
      <c r="AC11" s="81"/>
      <c r="AD11" s="81">
        <v>0</v>
      </c>
      <c r="AE11" s="81"/>
      <c r="AF11" s="81" t="s">
        <v>39</v>
      </c>
      <c r="AG11" s="83">
        <v>0</v>
      </c>
      <c r="AH11" s="95">
        <v>62351.33</v>
      </c>
      <c r="AI11" s="82" t="str">
        <f>CONCATENATE((TEXT(Tabela1[[#This Row],[Data entrega]],"mmmm")),"_",(YEAR(Tabela1[[#This Row],[Data entrega]])))</f>
        <v>julho_2021</v>
      </c>
      <c r="AJ11" s="77">
        <f>IFERROR(IF(Tabela1[[#This Row],[Programa]]="",Tabela1[[#This Row],[Peso bruto]],VLOOKUP(Tabela1[[#This Row],[Pedido]],'Saldo a Produzir'!$A:$D,4,0)),"")</f>
        <v>0</v>
      </c>
      <c r="AM11" s="73">
        <v>0</v>
      </c>
    </row>
    <row r="12" spans="1:39" ht="14.5" x14ac:dyDescent="0.35">
      <c r="A12" s="81">
        <v>15907</v>
      </c>
      <c r="B12" s="81" t="s">
        <v>272</v>
      </c>
      <c r="C12" s="81">
        <v>8380701000105</v>
      </c>
      <c r="D12" s="81" t="s">
        <v>273</v>
      </c>
      <c r="E12" s="81" t="s">
        <v>180</v>
      </c>
      <c r="F12" s="81" t="s">
        <v>181</v>
      </c>
      <c r="G12" s="81">
        <v>24140</v>
      </c>
      <c r="H12" s="81" t="s">
        <v>274</v>
      </c>
      <c r="I12" s="81" t="s">
        <v>32</v>
      </c>
      <c r="J12" s="81" t="s">
        <v>33</v>
      </c>
      <c r="K12" s="81" t="s">
        <v>34</v>
      </c>
      <c r="L12" s="81" t="s">
        <v>275</v>
      </c>
      <c r="M12" s="81"/>
      <c r="N12" s="90">
        <v>44405</v>
      </c>
      <c r="O12" s="90">
        <v>44410</v>
      </c>
      <c r="P12" s="90">
        <v>44405</v>
      </c>
      <c r="Q12" s="90" t="s">
        <v>35</v>
      </c>
      <c r="R12" s="81">
        <v>0</v>
      </c>
      <c r="S12" s="90" t="s">
        <v>35</v>
      </c>
      <c r="T12" s="81">
        <v>0</v>
      </c>
      <c r="U12" s="81" t="s">
        <v>36</v>
      </c>
      <c r="V12" s="90" t="s">
        <v>35</v>
      </c>
      <c r="W12" s="81"/>
      <c r="X12" s="90" t="s">
        <v>37</v>
      </c>
      <c r="Y12" s="81" t="s">
        <v>38</v>
      </c>
      <c r="Z12" s="81">
        <v>0</v>
      </c>
      <c r="AA12" s="81"/>
      <c r="AB12" s="81">
        <v>0</v>
      </c>
      <c r="AC12" s="81"/>
      <c r="AD12" s="81">
        <v>0</v>
      </c>
      <c r="AE12" s="81"/>
      <c r="AF12" s="81" t="s">
        <v>39</v>
      </c>
      <c r="AG12" s="83">
        <v>0</v>
      </c>
      <c r="AH12" s="95">
        <v>586800</v>
      </c>
      <c r="AI12" s="82" t="str">
        <f>CONCATENATE((TEXT(Tabela1[[#This Row],[Data entrega]],"mmmm")),"_",(YEAR(Tabela1[[#This Row],[Data entrega]])))</f>
        <v>agosto_2021</v>
      </c>
      <c r="AJ12" s="77">
        <f>IFERROR(IF(Tabela1[[#This Row],[Programa]]="",Tabela1[[#This Row],[Peso bruto]],VLOOKUP(Tabela1[[#This Row],[Pedido]],'Saldo a Produzir'!$A:$D,4,0)),"")</f>
        <v>0</v>
      </c>
      <c r="AM12" s="73">
        <v>0</v>
      </c>
    </row>
    <row r="13" spans="1:39" ht="14.5" x14ac:dyDescent="0.35">
      <c r="A13" s="81">
        <v>15061</v>
      </c>
      <c r="B13" s="81" t="s">
        <v>55</v>
      </c>
      <c r="C13" s="81">
        <v>8334818001043</v>
      </c>
      <c r="D13" s="81" t="s">
        <v>212</v>
      </c>
      <c r="E13" s="81" t="s">
        <v>193</v>
      </c>
      <c r="F13" s="81" t="s">
        <v>56</v>
      </c>
      <c r="G13" s="81">
        <v>24169</v>
      </c>
      <c r="H13" s="81" t="s">
        <v>109</v>
      </c>
      <c r="I13" s="81" t="s">
        <v>32</v>
      </c>
      <c r="J13" s="81" t="s">
        <v>156</v>
      </c>
      <c r="K13" s="81" t="s">
        <v>34</v>
      </c>
      <c r="L13" s="81" t="s">
        <v>277</v>
      </c>
      <c r="M13" s="81">
        <v>4566782408</v>
      </c>
      <c r="N13" s="90">
        <v>44411</v>
      </c>
      <c r="O13" s="90">
        <v>44424</v>
      </c>
      <c r="P13" s="90">
        <v>44627</v>
      </c>
      <c r="Q13" s="90">
        <v>44627</v>
      </c>
      <c r="R13" s="81">
        <v>214</v>
      </c>
      <c r="S13" s="90">
        <v>44627</v>
      </c>
      <c r="T13" s="81">
        <v>214</v>
      </c>
      <c r="U13" s="81" t="s">
        <v>36</v>
      </c>
      <c r="V13" s="90" t="s">
        <v>35</v>
      </c>
      <c r="W13" s="81"/>
      <c r="X13" s="90" t="s">
        <v>37</v>
      </c>
      <c r="Y13" s="81" t="s">
        <v>38</v>
      </c>
      <c r="Z13" s="81">
        <v>944</v>
      </c>
      <c r="AA13" s="81" t="s">
        <v>152</v>
      </c>
      <c r="AB13" s="81">
        <v>0</v>
      </c>
      <c r="AC13" s="81"/>
      <c r="AD13" s="81">
        <v>0</v>
      </c>
      <c r="AE13" s="81"/>
      <c r="AF13" s="81" t="s">
        <v>39</v>
      </c>
      <c r="AG13" s="83">
        <v>0</v>
      </c>
      <c r="AH13" s="95">
        <v>10465</v>
      </c>
      <c r="AI13" s="82" t="str">
        <f>CONCATENATE((TEXT(Tabela1[[#This Row],[Data entrega]],"mmmm")),"_",(YEAR(Tabela1[[#This Row],[Data entrega]])))</f>
        <v>agosto_2021</v>
      </c>
      <c r="AJ13" s="77">
        <f>IFERROR(IF(Tabela1[[#This Row],[Programa]]="",Tabela1[[#This Row],[Peso bruto]],VLOOKUP(Tabela1[[#This Row],[Pedido]],'Saldo a Produzir'!$A:$D,4,0)),"")</f>
        <v>0</v>
      </c>
      <c r="AM13" s="73">
        <v>0</v>
      </c>
    </row>
    <row r="14" spans="1:39" ht="14.5" x14ac:dyDescent="0.35">
      <c r="A14" s="81">
        <v>15020</v>
      </c>
      <c r="B14" s="81" t="s">
        <v>46</v>
      </c>
      <c r="C14" s="81">
        <v>140</v>
      </c>
      <c r="D14" s="81" t="s">
        <v>290</v>
      </c>
      <c r="E14" s="81" t="s">
        <v>291</v>
      </c>
      <c r="F14" s="81" t="s">
        <v>49</v>
      </c>
      <c r="G14" s="81">
        <v>24307</v>
      </c>
      <c r="H14" s="81" t="s">
        <v>109</v>
      </c>
      <c r="I14" s="81" t="s">
        <v>32</v>
      </c>
      <c r="J14" s="81" t="s">
        <v>33</v>
      </c>
      <c r="K14" s="81" t="s">
        <v>34</v>
      </c>
      <c r="L14" s="81" t="s">
        <v>292</v>
      </c>
      <c r="M14" s="81"/>
      <c r="N14" s="90">
        <v>44432</v>
      </c>
      <c r="O14" s="90">
        <v>44439</v>
      </c>
      <c r="P14" s="90">
        <v>44432</v>
      </c>
      <c r="Q14" s="90" t="s">
        <v>35</v>
      </c>
      <c r="R14" s="81">
        <v>0</v>
      </c>
      <c r="S14" s="90" t="s">
        <v>35</v>
      </c>
      <c r="T14" s="81">
        <v>0</v>
      </c>
      <c r="U14" s="81" t="s">
        <v>36</v>
      </c>
      <c r="V14" s="90" t="s">
        <v>35</v>
      </c>
      <c r="W14" s="81"/>
      <c r="X14" s="90" t="s">
        <v>37</v>
      </c>
      <c r="Y14" s="81" t="s">
        <v>293</v>
      </c>
      <c r="Z14" s="81">
        <v>0</v>
      </c>
      <c r="AA14" s="81"/>
      <c r="AB14" s="81">
        <v>0</v>
      </c>
      <c r="AC14" s="81"/>
      <c r="AD14" s="81">
        <v>0</v>
      </c>
      <c r="AE14" s="81"/>
      <c r="AF14" s="81" t="s">
        <v>39</v>
      </c>
      <c r="AG14" s="83">
        <v>0</v>
      </c>
      <c r="AH14" s="95">
        <v>29341.8</v>
      </c>
      <c r="AI14" s="82" t="str">
        <f>CONCATENATE((TEXT(Tabela1[[#This Row],[Data entrega]],"mmmm")),"_",(YEAR(Tabela1[[#This Row],[Data entrega]])))</f>
        <v>agosto_2021</v>
      </c>
      <c r="AJ14" s="77">
        <f>IFERROR(IF(Tabela1[[#This Row],[Programa]]="",Tabela1[[#This Row],[Peso bruto]],VLOOKUP(Tabela1[[#This Row],[Pedido]],'Saldo a Produzir'!$A:$D,4,0)),"")</f>
        <v>0</v>
      </c>
      <c r="AM14" s="73">
        <v>0</v>
      </c>
    </row>
    <row r="15" spans="1:39" ht="14.5" x14ac:dyDescent="0.35">
      <c r="A15" s="81">
        <v>15908</v>
      </c>
      <c r="B15" s="81" t="s">
        <v>230</v>
      </c>
      <c r="C15" s="81">
        <v>577604000448</v>
      </c>
      <c r="D15" s="81" t="s">
        <v>222</v>
      </c>
      <c r="E15" s="81" t="s">
        <v>121</v>
      </c>
      <c r="F15" s="81" t="s">
        <v>42</v>
      </c>
      <c r="G15" s="81">
        <v>24389</v>
      </c>
      <c r="H15" s="81" t="s">
        <v>274</v>
      </c>
      <c r="I15" s="81" t="s">
        <v>32</v>
      </c>
      <c r="J15" s="81" t="s">
        <v>33</v>
      </c>
      <c r="K15" s="81" t="s">
        <v>34</v>
      </c>
      <c r="L15" s="81" t="s">
        <v>304</v>
      </c>
      <c r="M15" s="81"/>
      <c r="N15" s="90">
        <v>44442</v>
      </c>
      <c r="O15" s="90">
        <v>44454</v>
      </c>
      <c r="P15" s="90">
        <v>44442</v>
      </c>
      <c r="Q15" s="90" t="s">
        <v>35</v>
      </c>
      <c r="R15" s="81">
        <v>0</v>
      </c>
      <c r="S15" s="90" t="s">
        <v>35</v>
      </c>
      <c r="T15" s="81">
        <v>0</v>
      </c>
      <c r="U15" s="81" t="s">
        <v>36</v>
      </c>
      <c r="V15" s="90" t="s">
        <v>35</v>
      </c>
      <c r="W15" s="81"/>
      <c r="X15" s="90" t="s">
        <v>37</v>
      </c>
      <c r="Y15" s="81" t="s">
        <v>38</v>
      </c>
      <c r="Z15" s="81">
        <v>0</v>
      </c>
      <c r="AA15" s="81"/>
      <c r="AB15" s="81">
        <v>0</v>
      </c>
      <c r="AC15" s="81"/>
      <c r="AD15" s="81">
        <v>0</v>
      </c>
      <c r="AE15" s="81"/>
      <c r="AF15" s="81" t="s">
        <v>39</v>
      </c>
      <c r="AG15" s="83">
        <v>0</v>
      </c>
      <c r="AH15" s="95">
        <v>162000</v>
      </c>
      <c r="AI15" s="82" t="str">
        <f>CONCATENATE((TEXT(Tabela1[[#This Row],[Data entrega]],"mmmm")),"_",(YEAR(Tabela1[[#This Row],[Data entrega]])))</f>
        <v>setembro_2021</v>
      </c>
      <c r="AJ15" s="77">
        <f>IFERROR(IF(Tabela1[[#This Row],[Programa]]="",Tabela1[[#This Row],[Peso bruto]],VLOOKUP(Tabela1[[#This Row],[Pedido]],'Saldo a Produzir'!$A:$D,4,0)),"")</f>
        <v>0</v>
      </c>
      <c r="AM15" s="73">
        <v>0</v>
      </c>
    </row>
    <row r="16" spans="1:39" ht="14.5" x14ac:dyDescent="0.35">
      <c r="A16" s="81">
        <v>15910</v>
      </c>
      <c r="B16" s="81" t="s">
        <v>261</v>
      </c>
      <c r="C16" s="81">
        <v>4416849003036</v>
      </c>
      <c r="D16" s="81" t="s">
        <v>262</v>
      </c>
      <c r="E16" s="81" t="s">
        <v>68</v>
      </c>
      <c r="F16" s="81" t="s">
        <v>54</v>
      </c>
      <c r="G16" s="81">
        <v>24066</v>
      </c>
      <c r="H16" s="81" t="s">
        <v>263</v>
      </c>
      <c r="I16" s="81" t="s">
        <v>32</v>
      </c>
      <c r="J16" s="81" t="s">
        <v>156</v>
      </c>
      <c r="K16" s="81" t="s">
        <v>34</v>
      </c>
      <c r="L16" s="81" t="s">
        <v>264</v>
      </c>
      <c r="M16" s="81">
        <v>1539</v>
      </c>
      <c r="N16" s="90">
        <v>44389</v>
      </c>
      <c r="O16" s="90">
        <v>44456</v>
      </c>
      <c r="P16" s="90">
        <v>44454</v>
      </c>
      <c r="Q16" s="90">
        <v>44433</v>
      </c>
      <c r="R16" s="81">
        <v>130</v>
      </c>
      <c r="S16" s="90">
        <v>44699</v>
      </c>
      <c r="T16" s="81">
        <v>245</v>
      </c>
      <c r="U16" s="81" t="s">
        <v>36</v>
      </c>
      <c r="V16" s="90" t="s">
        <v>35</v>
      </c>
      <c r="W16" s="81"/>
      <c r="X16" s="90" t="s">
        <v>37</v>
      </c>
      <c r="Y16" s="81" t="s">
        <v>38</v>
      </c>
      <c r="Z16" s="81">
        <v>2</v>
      </c>
      <c r="AA16" s="81" t="s">
        <v>315</v>
      </c>
      <c r="AB16" s="81">
        <v>0</v>
      </c>
      <c r="AC16" s="81"/>
      <c r="AD16" s="81">
        <v>0</v>
      </c>
      <c r="AE16" s="81"/>
      <c r="AF16" s="81" t="s">
        <v>39</v>
      </c>
      <c r="AG16" s="83">
        <v>0</v>
      </c>
      <c r="AH16" s="95">
        <v>259350</v>
      </c>
      <c r="AI16" s="82" t="str">
        <f>CONCATENATE((TEXT(Tabela1[[#This Row],[Data entrega]],"mmmm")),"_",(YEAR(Tabela1[[#This Row],[Data entrega]])))</f>
        <v>setembro_2021</v>
      </c>
      <c r="AJ16" s="77">
        <f>IFERROR(IF(Tabela1[[#This Row],[Programa]]="",Tabela1[[#This Row],[Peso bruto]],VLOOKUP(Tabela1[[#This Row],[Pedido]],'Saldo a Produzir'!$A:$D,4,0)),"")</f>
        <v>0</v>
      </c>
      <c r="AM16" s="73">
        <v>0</v>
      </c>
    </row>
    <row r="17" spans="1:39" ht="14.5" x14ac:dyDescent="0.35">
      <c r="A17" s="81">
        <v>15908</v>
      </c>
      <c r="B17" s="81" t="s">
        <v>230</v>
      </c>
      <c r="C17" s="81">
        <v>92754738047983</v>
      </c>
      <c r="D17" s="81" t="s">
        <v>80</v>
      </c>
      <c r="E17" s="81" t="s">
        <v>177</v>
      </c>
      <c r="F17" s="81" t="s">
        <v>44</v>
      </c>
      <c r="G17" s="81">
        <v>24482</v>
      </c>
      <c r="H17" s="81" t="s">
        <v>125</v>
      </c>
      <c r="I17" s="81" t="s">
        <v>32</v>
      </c>
      <c r="J17" s="81" t="s">
        <v>33</v>
      </c>
      <c r="K17" s="81" t="s">
        <v>34</v>
      </c>
      <c r="L17" s="81" t="s">
        <v>316</v>
      </c>
      <c r="M17" s="81"/>
      <c r="N17" s="90">
        <v>44456</v>
      </c>
      <c r="O17" s="90">
        <v>44460</v>
      </c>
      <c r="P17" s="90">
        <v>44720</v>
      </c>
      <c r="Q17" s="90" t="s">
        <v>35</v>
      </c>
      <c r="R17" s="81">
        <v>0</v>
      </c>
      <c r="S17" s="90" t="s">
        <v>35</v>
      </c>
      <c r="T17" s="81">
        <v>0</v>
      </c>
      <c r="U17" s="81" t="s">
        <v>36</v>
      </c>
      <c r="V17" s="90" t="s">
        <v>35</v>
      </c>
      <c r="W17" s="81"/>
      <c r="X17" s="90" t="s">
        <v>37</v>
      </c>
      <c r="Y17" s="81" t="s">
        <v>38</v>
      </c>
      <c r="Z17" s="81">
        <v>2000</v>
      </c>
      <c r="AA17" s="81" t="s">
        <v>154</v>
      </c>
      <c r="AB17" s="81">
        <v>0</v>
      </c>
      <c r="AC17" s="81"/>
      <c r="AD17" s="81">
        <v>0</v>
      </c>
      <c r="AE17" s="81"/>
      <c r="AF17" s="81" t="s">
        <v>39</v>
      </c>
      <c r="AG17" s="83">
        <v>0</v>
      </c>
      <c r="AH17" s="95">
        <v>470880</v>
      </c>
      <c r="AI17" s="82" t="str">
        <f>CONCATENATE((TEXT(Tabela1[[#This Row],[Data entrega]],"mmmm")),"_",(YEAR(Tabela1[[#This Row],[Data entrega]])))</f>
        <v>setembro_2021</v>
      </c>
      <c r="AJ17" s="77">
        <f>IFERROR(IF(Tabela1[[#This Row],[Programa]]="",Tabela1[[#This Row],[Peso bruto]],VLOOKUP(Tabela1[[#This Row],[Pedido]],'Saldo a Produzir'!$A:$D,4,0)),"")</f>
        <v>0</v>
      </c>
      <c r="AM17" s="73">
        <v>0</v>
      </c>
    </row>
    <row r="18" spans="1:39" ht="14.5" x14ac:dyDescent="0.35">
      <c r="A18" s="81">
        <v>1</v>
      </c>
      <c r="B18" s="81" t="s">
        <v>974</v>
      </c>
      <c r="C18" s="81">
        <v>87556650001682</v>
      </c>
      <c r="D18" s="81" t="s">
        <v>975</v>
      </c>
      <c r="E18" s="81" t="s">
        <v>233</v>
      </c>
      <c r="F18" s="81" t="s">
        <v>54</v>
      </c>
      <c r="G18" s="81">
        <v>23850</v>
      </c>
      <c r="H18" s="81" t="s">
        <v>414</v>
      </c>
      <c r="I18" s="81" t="s">
        <v>976</v>
      </c>
      <c r="J18" s="81" t="s">
        <v>33</v>
      </c>
      <c r="K18" s="81" t="s">
        <v>34</v>
      </c>
      <c r="L18" s="81"/>
      <c r="M18" s="81"/>
      <c r="N18" s="90">
        <v>44336</v>
      </c>
      <c r="O18" s="90">
        <v>44473</v>
      </c>
      <c r="P18" s="90">
        <v>44690</v>
      </c>
      <c r="Q18" s="90" t="s">
        <v>35</v>
      </c>
      <c r="R18" s="81">
        <v>0</v>
      </c>
      <c r="S18" s="90" t="s">
        <v>35</v>
      </c>
      <c r="T18" s="81">
        <v>0</v>
      </c>
      <c r="U18" s="81" t="s">
        <v>36</v>
      </c>
      <c r="V18" s="90" t="s">
        <v>35</v>
      </c>
      <c r="W18" s="81" t="s">
        <v>977</v>
      </c>
      <c r="X18" s="90">
        <v>44447</v>
      </c>
      <c r="Y18" s="81" t="s">
        <v>38</v>
      </c>
      <c r="Z18" s="81">
        <v>0</v>
      </c>
      <c r="AA18" s="81"/>
      <c r="AB18" s="81">
        <v>0</v>
      </c>
      <c r="AC18" s="81"/>
      <c r="AD18" s="81">
        <v>0</v>
      </c>
      <c r="AE18" s="81" t="s">
        <v>153</v>
      </c>
      <c r="AF18" s="81" t="s">
        <v>39</v>
      </c>
      <c r="AG18" s="83">
        <v>0</v>
      </c>
      <c r="AH18" s="95">
        <v>1.03</v>
      </c>
      <c r="AI18" s="82" t="str">
        <f>CONCATENATE((TEXT(Tabela1[[#This Row],[Data entrega]],"mmmm")),"_",(YEAR(Tabela1[[#This Row],[Data entrega]])))</f>
        <v>outubro_2021</v>
      </c>
      <c r="AJ18" s="77">
        <f>IFERROR(IF(Tabela1[[#This Row],[Programa]]="",Tabela1[[#This Row],[Peso bruto]],VLOOKUP(Tabela1[[#This Row],[Pedido]],'Saldo a Produzir'!$A:$D,4,0)),"")</f>
        <v>0</v>
      </c>
      <c r="AM18" s="73">
        <v>280</v>
      </c>
    </row>
    <row r="19" spans="1:39" ht="14.5" x14ac:dyDescent="0.35">
      <c r="A19" s="81">
        <v>15051</v>
      </c>
      <c r="B19" s="81" t="s">
        <v>40</v>
      </c>
      <c r="C19" s="81">
        <v>577604000448</v>
      </c>
      <c r="D19" s="81" t="s">
        <v>222</v>
      </c>
      <c r="E19" s="81" t="s">
        <v>121</v>
      </c>
      <c r="F19" s="81" t="s">
        <v>42</v>
      </c>
      <c r="G19" s="81">
        <v>23776</v>
      </c>
      <c r="H19" s="81" t="s">
        <v>221</v>
      </c>
      <c r="I19" s="81" t="s">
        <v>32</v>
      </c>
      <c r="J19" s="81" t="s">
        <v>156</v>
      </c>
      <c r="K19" s="81" t="s">
        <v>34</v>
      </c>
      <c r="L19" s="81" t="s">
        <v>249</v>
      </c>
      <c r="M19" s="81"/>
      <c r="N19" s="90">
        <v>44321</v>
      </c>
      <c r="O19" s="90">
        <v>44477</v>
      </c>
      <c r="P19" s="90">
        <v>44680</v>
      </c>
      <c r="Q19" s="90">
        <v>44499</v>
      </c>
      <c r="R19" s="81">
        <v>4318</v>
      </c>
      <c r="S19" s="90">
        <v>44539</v>
      </c>
      <c r="T19" s="81">
        <v>4771</v>
      </c>
      <c r="U19" s="81" t="s">
        <v>36</v>
      </c>
      <c r="V19" s="90" t="s">
        <v>35</v>
      </c>
      <c r="W19" s="81" t="s">
        <v>280</v>
      </c>
      <c r="X19" s="90">
        <v>44419</v>
      </c>
      <c r="Y19" s="81" t="s">
        <v>38</v>
      </c>
      <c r="Z19" s="81">
        <v>0</v>
      </c>
      <c r="AA19" s="81"/>
      <c r="AB19" s="81">
        <v>0</v>
      </c>
      <c r="AC19" s="81"/>
      <c r="AD19" s="81">
        <v>0</v>
      </c>
      <c r="AE19" s="81" t="s">
        <v>153</v>
      </c>
      <c r="AF19" s="81" t="s">
        <v>39</v>
      </c>
      <c r="AG19" s="83">
        <v>0</v>
      </c>
      <c r="AH19" s="95">
        <v>245900</v>
      </c>
      <c r="AI19" s="82" t="str">
        <f>CONCATENATE((TEXT(Tabela1[[#This Row],[Data entrega]],"mmmm")),"_",(YEAR(Tabela1[[#This Row],[Data entrega]])))</f>
        <v>outubro_2021</v>
      </c>
      <c r="AJ19" s="77">
        <f>IFERROR(IF(Tabela1[[#This Row],[Programa]]="",Tabela1[[#This Row],[Peso bruto]],VLOOKUP(Tabela1[[#This Row],[Pedido]],'Saldo a Produzir'!$A:$D,4,0)),"")</f>
        <v>0</v>
      </c>
      <c r="AM19" s="73">
        <v>11.154999999999999</v>
      </c>
    </row>
    <row r="20" spans="1:39" ht="14.5" x14ac:dyDescent="0.35">
      <c r="A20" s="81">
        <v>15067</v>
      </c>
      <c r="B20" s="81" t="s">
        <v>59</v>
      </c>
      <c r="C20" s="81">
        <v>1838723005358</v>
      </c>
      <c r="D20" s="81" t="s">
        <v>139</v>
      </c>
      <c r="E20" s="81" t="s">
        <v>268</v>
      </c>
      <c r="F20" s="81" t="s">
        <v>58</v>
      </c>
      <c r="G20" s="81">
        <v>24111</v>
      </c>
      <c r="H20" s="81" t="s">
        <v>125</v>
      </c>
      <c r="I20" s="81" t="s">
        <v>32</v>
      </c>
      <c r="J20" s="81" t="s">
        <v>33</v>
      </c>
      <c r="K20" s="81" t="s">
        <v>34</v>
      </c>
      <c r="L20" s="81" t="s">
        <v>269</v>
      </c>
      <c r="M20" s="81">
        <v>103985243</v>
      </c>
      <c r="N20" s="90">
        <v>44399</v>
      </c>
      <c r="O20" s="90">
        <v>44505</v>
      </c>
      <c r="P20" s="90">
        <v>44399</v>
      </c>
      <c r="Q20" s="90" t="s">
        <v>35</v>
      </c>
      <c r="R20" s="81">
        <v>0</v>
      </c>
      <c r="S20" s="90" t="s">
        <v>35</v>
      </c>
      <c r="T20" s="81">
        <v>0</v>
      </c>
      <c r="U20" s="81" t="s">
        <v>36</v>
      </c>
      <c r="V20" s="90" t="s">
        <v>35</v>
      </c>
      <c r="W20" s="81"/>
      <c r="X20" s="90" t="s">
        <v>37</v>
      </c>
      <c r="Y20" s="81" t="s">
        <v>38</v>
      </c>
      <c r="Z20" s="81">
        <v>0</v>
      </c>
      <c r="AA20" s="81"/>
      <c r="AB20" s="81">
        <v>0</v>
      </c>
      <c r="AC20" s="81"/>
      <c r="AD20" s="81">
        <v>0</v>
      </c>
      <c r="AE20" s="81"/>
      <c r="AF20" s="81" t="s">
        <v>39</v>
      </c>
      <c r="AG20" s="83">
        <v>0</v>
      </c>
      <c r="AH20" s="95">
        <v>590000</v>
      </c>
      <c r="AI20" s="82" t="str">
        <f>CONCATENATE((TEXT(Tabela1[[#This Row],[Data entrega]],"mmmm")),"_",(YEAR(Tabela1[[#This Row],[Data entrega]])))</f>
        <v>novembro_2021</v>
      </c>
      <c r="AJ20" s="77">
        <f>IFERROR(IF(Tabela1[[#This Row],[Programa]]="",Tabela1[[#This Row],[Peso bruto]],VLOOKUP(Tabela1[[#This Row],[Pedido]],'Saldo a Produzir'!$A:$D,4,0)),"")</f>
        <v>0</v>
      </c>
      <c r="AM20" s="73">
        <v>0</v>
      </c>
    </row>
    <row r="21" spans="1:39" ht="14.5" x14ac:dyDescent="0.35">
      <c r="A21" s="81">
        <v>15908</v>
      </c>
      <c r="B21" s="81" t="s">
        <v>230</v>
      </c>
      <c r="C21" s="81">
        <v>92754738047983</v>
      </c>
      <c r="D21" s="81" t="s">
        <v>80</v>
      </c>
      <c r="E21" s="81" t="s">
        <v>177</v>
      </c>
      <c r="F21" s="81" t="s">
        <v>44</v>
      </c>
      <c r="G21" s="81">
        <v>24956</v>
      </c>
      <c r="H21" s="81" t="s">
        <v>125</v>
      </c>
      <c r="I21" s="81" t="s">
        <v>32</v>
      </c>
      <c r="J21" s="81" t="s">
        <v>33</v>
      </c>
      <c r="K21" s="81" t="s">
        <v>34</v>
      </c>
      <c r="L21" s="81" t="s">
        <v>397</v>
      </c>
      <c r="M21" s="81"/>
      <c r="N21" s="90">
        <v>44522</v>
      </c>
      <c r="O21" s="90">
        <v>44532</v>
      </c>
      <c r="P21" s="90">
        <v>44522</v>
      </c>
      <c r="Q21" s="90" t="s">
        <v>35</v>
      </c>
      <c r="R21" s="81">
        <v>0</v>
      </c>
      <c r="S21" s="90" t="s">
        <v>35</v>
      </c>
      <c r="T21" s="81">
        <v>0</v>
      </c>
      <c r="U21" s="81" t="s">
        <v>36</v>
      </c>
      <c r="V21" s="90" t="s">
        <v>35</v>
      </c>
      <c r="W21" s="81"/>
      <c r="X21" s="90" t="s">
        <v>37</v>
      </c>
      <c r="Y21" s="81" t="s">
        <v>38</v>
      </c>
      <c r="Z21" s="81">
        <v>0</v>
      </c>
      <c r="AA21" s="81"/>
      <c r="AB21" s="81">
        <v>0</v>
      </c>
      <c r="AC21" s="81"/>
      <c r="AD21" s="81">
        <v>0</v>
      </c>
      <c r="AE21" s="81"/>
      <c r="AF21" s="81" t="s">
        <v>39</v>
      </c>
      <c r="AG21" s="83">
        <v>0</v>
      </c>
      <c r="AH21" s="95">
        <v>25200</v>
      </c>
      <c r="AI21" s="82" t="str">
        <f>CONCATENATE((TEXT(Tabela1[[#This Row],[Data entrega]],"mmmm")),"_",(YEAR(Tabela1[[#This Row],[Data entrega]])))</f>
        <v>dezembro_2021</v>
      </c>
      <c r="AJ21" s="77">
        <f>IFERROR(IF(Tabela1[[#This Row],[Programa]]="",Tabela1[[#This Row],[Peso bruto]],VLOOKUP(Tabela1[[#This Row],[Pedido]],'Saldo a Produzir'!$A:$D,4,0)),"")</f>
        <v>0</v>
      </c>
      <c r="AM21" s="73">
        <v>0</v>
      </c>
    </row>
    <row r="22" spans="1:39" ht="14.5" x14ac:dyDescent="0.35">
      <c r="A22" s="81">
        <v>15067</v>
      </c>
      <c r="B22" s="81" t="s">
        <v>59</v>
      </c>
      <c r="C22" s="81">
        <v>7358761000754</v>
      </c>
      <c r="D22" s="81" t="s">
        <v>287</v>
      </c>
      <c r="E22" s="81" t="s">
        <v>210</v>
      </c>
      <c r="F22" s="81" t="s">
        <v>58</v>
      </c>
      <c r="G22" s="81">
        <v>24290</v>
      </c>
      <c r="H22" s="81" t="s">
        <v>125</v>
      </c>
      <c r="I22" s="81" t="s">
        <v>32</v>
      </c>
      <c r="J22" s="81" t="s">
        <v>33</v>
      </c>
      <c r="K22" s="81" t="s">
        <v>34</v>
      </c>
      <c r="L22" s="81" t="s">
        <v>288</v>
      </c>
      <c r="M22" s="81">
        <v>3007369286</v>
      </c>
      <c r="N22" s="90">
        <v>44431</v>
      </c>
      <c r="O22" s="90">
        <v>44547</v>
      </c>
      <c r="P22" s="90">
        <v>44643</v>
      </c>
      <c r="Q22" s="90" t="s">
        <v>35</v>
      </c>
      <c r="R22" s="81">
        <v>0</v>
      </c>
      <c r="S22" s="90" t="s">
        <v>35</v>
      </c>
      <c r="T22" s="81">
        <v>0</v>
      </c>
      <c r="U22" s="81" t="s">
        <v>36</v>
      </c>
      <c r="V22" s="90" t="s">
        <v>35</v>
      </c>
      <c r="W22" s="81"/>
      <c r="X22" s="90" t="s">
        <v>37</v>
      </c>
      <c r="Y22" s="81" t="s">
        <v>38</v>
      </c>
      <c r="Z22" s="81">
        <v>2000</v>
      </c>
      <c r="AA22" s="81" t="s">
        <v>154</v>
      </c>
      <c r="AB22" s="81">
        <v>0</v>
      </c>
      <c r="AC22" s="81"/>
      <c r="AD22" s="81">
        <v>0</v>
      </c>
      <c r="AE22" s="81"/>
      <c r="AF22" s="81" t="s">
        <v>39</v>
      </c>
      <c r="AG22" s="83">
        <v>0</v>
      </c>
      <c r="AH22" s="95">
        <v>15277.56</v>
      </c>
      <c r="AI22" s="82" t="str">
        <f>CONCATENATE((TEXT(Tabela1[[#This Row],[Data entrega]],"mmmm")),"_",(YEAR(Tabela1[[#This Row],[Data entrega]])))</f>
        <v>dezembro_2021</v>
      </c>
      <c r="AJ22" s="77">
        <f>IFERROR(IF(Tabela1[[#This Row],[Programa]]="",Tabela1[[#This Row],[Peso bruto]],VLOOKUP(Tabela1[[#This Row],[Pedido]],'Saldo a Produzir'!$A:$D,4,0)),"")</f>
        <v>0</v>
      </c>
      <c r="AM22" s="73">
        <v>0</v>
      </c>
    </row>
    <row r="23" spans="1:39" ht="14.5" x14ac:dyDescent="0.35">
      <c r="A23" s="81">
        <v>15069</v>
      </c>
      <c r="B23" s="81" t="s">
        <v>297</v>
      </c>
      <c r="C23" s="81">
        <v>1615814008005</v>
      </c>
      <c r="D23" s="81" t="s">
        <v>235</v>
      </c>
      <c r="E23" s="81" t="s">
        <v>236</v>
      </c>
      <c r="F23" s="81" t="s">
        <v>33</v>
      </c>
      <c r="G23" s="81">
        <v>23928</v>
      </c>
      <c r="H23" s="81" t="s">
        <v>125</v>
      </c>
      <c r="I23" s="81" t="s">
        <v>32</v>
      </c>
      <c r="J23" s="81" t="s">
        <v>33</v>
      </c>
      <c r="K23" s="81" t="s">
        <v>34</v>
      </c>
      <c r="L23" s="81" t="s">
        <v>241</v>
      </c>
      <c r="M23" s="81" t="s">
        <v>692</v>
      </c>
      <c r="N23" s="90">
        <v>44355</v>
      </c>
      <c r="O23" s="90">
        <v>44547</v>
      </c>
      <c r="P23" s="90">
        <v>44659</v>
      </c>
      <c r="Q23" s="90" t="s">
        <v>35</v>
      </c>
      <c r="R23" s="81">
        <v>0</v>
      </c>
      <c r="S23" s="90" t="s">
        <v>35</v>
      </c>
      <c r="T23" s="81">
        <v>0</v>
      </c>
      <c r="U23" s="81" t="s">
        <v>36</v>
      </c>
      <c r="V23" s="90" t="s">
        <v>35</v>
      </c>
      <c r="W23" s="81"/>
      <c r="X23" s="90" t="s">
        <v>37</v>
      </c>
      <c r="Y23" s="81" t="s">
        <v>38</v>
      </c>
      <c r="Z23" s="81">
        <v>0</v>
      </c>
      <c r="AA23" s="81"/>
      <c r="AB23" s="81">
        <v>0</v>
      </c>
      <c r="AC23" s="81"/>
      <c r="AD23" s="81">
        <v>0</v>
      </c>
      <c r="AE23" s="81"/>
      <c r="AF23" s="81" t="s">
        <v>39</v>
      </c>
      <c r="AG23" s="83">
        <v>0</v>
      </c>
      <c r="AH23" s="95">
        <v>62000</v>
      </c>
      <c r="AI23" s="82" t="str">
        <f>CONCATENATE((TEXT(Tabela1[[#This Row],[Data entrega]],"mmmm")),"_",(YEAR(Tabela1[[#This Row],[Data entrega]])))</f>
        <v>dezembro_2021</v>
      </c>
      <c r="AJ23" s="77">
        <f>IFERROR(IF(Tabela1[[#This Row],[Programa]]="",Tabela1[[#This Row],[Peso bruto]],VLOOKUP(Tabela1[[#This Row],[Pedido]],'Saldo a Produzir'!$A:$D,4,0)),"")</f>
        <v>0</v>
      </c>
      <c r="AM23" s="73">
        <v>0</v>
      </c>
    </row>
    <row r="24" spans="1:39" ht="14.5" x14ac:dyDescent="0.35">
      <c r="A24" s="81">
        <v>15070</v>
      </c>
      <c r="B24" s="81" t="s">
        <v>140</v>
      </c>
      <c r="C24" s="81">
        <v>77595395000228</v>
      </c>
      <c r="D24" s="81" t="s">
        <v>207</v>
      </c>
      <c r="E24" s="81" t="s">
        <v>285</v>
      </c>
      <c r="F24" s="81" t="s">
        <v>42</v>
      </c>
      <c r="G24" s="81">
        <v>24279</v>
      </c>
      <c r="H24" s="81" t="s">
        <v>125</v>
      </c>
      <c r="I24" s="81" t="s">
        <v>32</v>
      </c>
      <c r="J24" s="81" t="s">
        <v>33</v>
      </c>
      <c r="K24" s="81" t="s">
        <v>34</v>
      </c>
      <c r="L24" s="81" t="s">
        <v>286</v>
      </c>
      <c r="M24" s="81">
        <v>2372747</v>
      </c>
      <c r="N24" s="90">
        <v>44427</v>
      </c>
      <c r="O24" s="90">
        <v>44568</v>
      </c>
      <c r="P24" s="90">
        <v>44657</v>
      </c>
      <c r="Q24" s="90" t="s">
        <v>35</v>
      </c>
      <c r="R24" s="81">
        <v>0</v>
      </c>
      <c r="S24" s="90" t="s">
        <v>35</v>
      </c>
      <c r="T24" s="81">
        <v>0</v>
      </c>
      <c r="U24" s="81" t="s">
        <v>36</v>
      </c>
      <c r="V24" s="90" t="s">
        <v>35</v>
      </c>
      <c r="W24" s="81"/>
      <c r="X24" s="90" t="s">
        <v>37</v>
      </c>
      <c r="Y24" s="81" t="s">
        <v>38</v>
      </c>
      <c r="Z24" s="81">
        <v>0</v>
      </c>
      <c r="AA24" s="81"/>
      <c r="AB24" s="81">
        <v>0</v>
      </c>
      <c r="AC24" s="81"/>
      <c r="AD24" s="81">
        <v>0</v>
      </c>
      <c r="AE24" s="81"/>
      <c r="AF24" s="81" t="s">
        <v>39</v>
      </c>
      <c r="AG24" s="83">
        <v>0</v>
      </c>
      <c r="AH24" s="95">
        <v>187500</v>
      </c>
      <c r="AI24" s="82" t="str">
        <f>CONCATENATE((TEXT(Tabela1[[#This Row],[Data entrega]],"mmmm")),"_",(YEAR(Tabela1[[#This Row],[Data entrega]])))</f>
        <v>janeiro_2022</v>
      </c>
      <c r="AJ24" s="77">
        <f>IFERROR(IF(Tabela1[[#This Row],[Programa]]="",Tabela1[[#This Row],[Peso bruto]],VLOOKUP(Tabela1[[#This Row],[Pedido]],'Saldo a Produzir'!$A:$D,4,0)),"")</f>
        <v>0</v>
      </c>
      <c r="AM24" s="73">
        <v>0</v>
      </c>
    </row>
    <row r="25" spans="1:39" ht="14.5" x14ac:dyDescent="0.35">
      <c r="A25" s="81">
        <v>15908</v>
      </c>
      <c r="B25" s="81" t="s">
        <v>230</v>
      </c>
      <c r="C25" s="81">
        <v>3853896006776</v>
      </c>
      <c r="D25" s="81" t="s">
        <v>320</v>
      </c>
      <c r="E25" s="81" t="s">
        <v>321</v>
      </c>
      <c r="F25" s="81" t="s">
        <v>103</v>
      </c>
      <c r="G25" s="81">
        <v>24514</v>
      </c>
      <c r="H25" s="81" t="s">
        <v>125</v>
      </c>
      <c r="I25" s="81" t="s">
        <v>32</v>
      </c>
      <c r="J25" s="81" t="s">
        <v>33</v>
      </c>
      <c r="K25" s="81" t="s">
        <v>34</v>
      </c>
      <c r="L25" s="81" t="s">
        <v>322</v>
      </c>
      <c r="M25" s="81"/>
      <c r="N25" s="90">
        <v>44462</v>
      </c>
      <c r="O25" s="90">
        <v>44568</v>
      </c>
      <c r="P25" s="90">
        <v>44510</v>
      </c>
      <c r="Q25" s="90" t="s">
        <v>35</v>
      </c>
      <c r="R25" s="81">
        <v>0</v>
      </c>
      <c r="S25" s="90" t="s">
        <v>35</v>
      </c>
      <c r="T25" s="81">
        <v>0</v>
      </c>
      <c r="U25" s="81" t="s">
        <v>36</v>
      </c>
      <c r="V25" s="90" t="s">
        <v>35</v>
      </c>
      <c r="W25" s="81"/>
      <c r="X25" s="90" t="s">
        <v>37</v>
      </c>
      <c r="Y25" s="81" t="s">
        <v>38</v>
      </c>
      <c r="Z25" s="81">
        <v>44</v>
      </c>
      <c r="AA25" s="81" t="s">
        <v>151</v>
      </c>
      <c r="AB25" s="81">
        <v>0</v>
      </c>
      <c r="AC25" s="81"/>
      <c r="AD25" s="81">
        <v>0</v>
      </c>
      <c r="AE25" s="81"/>
      <c r="AF25" s="81" t="s">
        <v>39</v>
      </c>
      <c r="AG25" s="83">
        <v>0</v>
      </c>
      <c r="AH25" s="95">
        <v>54000</v>
      </c>
      <c r="AI25" s="82" t="str">
        <f>CONCATENATE((TEXT(Tabela1[[#This Row],[Data entrega]],"mmmm")),"_",(YEAR(Tabela1[[#This Row],[Data entrega]])))</f>
        <v>janeiro_2022</v>
      </c>
      <c r="AJ25" s="77">
        <f>IFERROR(IF(Tabela1[[#This Row],[Programa]]="",Tabela1[[#This Row],[Peso bruto]],VLOOKUP(Tabela1[[#This Row],[Pedido]],'Saldo a Produzir'!$A:$D,4,0)),"")</f>
        <v>0</v>
      </c>
      <c r="AM25" s="73">
        <v>0</v>
      </c>
    </row>
    <row r="26" spans="1:39" ht="14.5" x14ac:dyDescent="0.35">
      <c r="A26" s="81">
        <v>15057</v>
      </c>
      <c r="B26" s="81" t="s">
        <v>60</v>
      </c>
      <c r="C26" s="81">
        <v>3853896000220</v>
      </c>
      <c r="D26" s="81" t="s">
        <v>320</v>
      </c>
      <c r="E26" s="81" t="s">
        <v>323</v>
      </c>
      <c r="F26" s="81" t="s">
        <v>136</v>
      </c>
      <c r="G26" s="81">
        <v>24516</v>
      </c>
      <c r="H26" s="81" t="s">
        <v>125</v>
      </c>
      <c r="I26" s="81" t="s">
        <v>32</v>
      </c>
      <c r="J26" s="81" t="s">
        <v>33</v>
      </c>
      <c r="K26" s="81" t="s">
        <v>34</v>
      </c>
      <c r="L26" s="81" t="s">
        <v>324</v>
      </c>
      <c r="M26" s="81"/>
      <c r="N26" s="90">
        <v>44462</v>
      </c>
      <c r="O26" s="90">
        <v>44568</v>
      </c>
      <c r="P26" s="90">
        <v>44712</v>
      </c>
      <c r="Q26" s="90" t="s">
        <v>35</v>
      </c>
      <c r="R26" s="81">
        <v>0</v>
      </c>
      <c r="S26" s="90" t="s">
        <v>35</v>
      </c>
      <c r="T26" s="81">
        <v>0</v>
      </c>
      <c r="U26" s="81" t="s">
        <v>36</v>
      </c>
      <c r="V26" s="90" t="s">
        <v>35</v>
      </c>
      <c r="W26" s="81"/>
      <c r="X26" s="90" t="s">
        <v>37</v>
      </c>
      <c r="Y26" s="81" t="s">
        <v>38</v>
      </c>
      <c r="Z26" s="81">
        <v>44</v>
      </c>
      <c r="AA26" s="81" t="s">
        <v>151</v>
      </c>
      <c r="AB26" s="81">
        <v>0</v>
      </c>
      <c r="AC26" s="81"/>
      <c r="AD26" s="81">
        <v>0</v>
      </c>
      <c r="AE26" s="81" t="s">
        <v>325</v>
      </c>
      <c r="AF26" s="81" t="s">
        <v>39</v>
      </c>
      <c r="AG26" s="83">
        <v>0</v>
      </c>
      <c r="AH26" s="95">
        <v>32000</v>
      </c>
      <c r="AI26" s="82" t="str">
        <f>CONCATENATE((TEXT(Tabela1[[#This Row],[Data entrega]],"mmmm")),"_",(YEAR(Tabela1[[#This Row],[Data entrega]])))</f>
        <v>janeiro_2022</v>
      </c>
      <c r="AJ26" s="77">
        <f>IFERROR(IF(Tabela1[[#This Row],[Programa]]="",Tabela1[[#This Row],[Peso bruto]],VLOOKUP(Tabela1[[#This Row],[Pedido]],'Saldo a Produzir'!$A:$D,4,0)),"")</f>
        <v>0</v>
      </c>
      <c r="AM26" s="73">
        <v>0</v>
      </c>
    </row>
    <row r="27" spans="1:39" ht="14.5" x14ac:dyDescent="0.35">
      <c r="A27" s="81">
        <v>15909</v>
      </c>
      <c r="B27" s="81" t="s">
        <v>223</v>
      </c>
      <c r="C27" s="81">
        <v>6147451000132</v>
      </c>
      <c r="D27" s="81" t="s">
        <v>209</v>
      </c>
      <c r="E27" s="81" t="s">
        <v>78</v>
      </c>
      <c r="F27" s="81" t="s">
        <v>42</v>
      </c>
      <c r="G27" s="81">
        <v>25272</v>
      </c>
      <c r="H27" s="81" t="s">
        <v>125</v>
      </c>
      <c r="I27" s="81" t="s">
        <v>32</v>
      </c>
      <c r="J27" s="81" t="s">
        <v>33</v>
      </c>
      <c r="K27" s="81" t="s">
        <v>34</v>
      </c>
      <c r="L27" s="81" t="s">
        <v>437</v>
      </c>
      <c r="M27" s="81">
        <v>4501264282</v>
      </c>
      <c r="N27" s="90">
        <v>44573</v>
      </c>
      <c r="O27" s="90">
        <v>44581</v>
      </c>
      <c r="P27" s="90">
        <v>44600</v>
      </c>
      <c r="Q27" s="90" t="s">
        <v>35</v>
      </c>
      <c r="R27" s="81">
        <v>0</v>
      </c>
      <c r="S27" s="90" t="s">
        <v>35</v>
      </c>
      <c r="T27" s="81">
        <v>0</v>
      </c>
      <c r="U27" s="81" t="s">
        <v>36</v>
      </c>
      <c r="V27" s="90" t="s">
        <v>35</v>
      </c>
      <c r="W27" s="81"/>
      <c r="X27" s="90" t="s">
        <v>37</v>
      </c>
      <c r="Y27" s="81" t="s">
        <v>38</v>
      </c>
      <c r="Z27" s="81">
        <v>944</v>
      </c>
      <c r="AA27" s="81" t="s">
        <v>152</v>
      </c>
      <c r="AB27" s="81">
        <v>0</v>
      </c>
      <c r="AC27" s="81"/>
      <c r="AD27" s="81">
        <v>0</v>
      </c>
      <c r="AE27" s="81"/>
      <c r="AF27" s="81" t="s">
        <v>39</v>
      </c>
      <c r="AG27" s="83">
        <v>0</v>
      </c>
      <c r="AH27" s="95">
        <v>95680</v>
      </c>
      <c r="AI27" s="82" t="str">
        <f>CONCATENATE((TEXT(Tabela1[[#This Row],[Data entrega]],"mmmm")),"_",(YEAR(Tabela1[[#This Row],[Data entrega]])))</f>
        <v>janeiro_2022</v>
      </c>
      <c r="AJ27" s="77">
        <f>IFERROR(IF(Tabela1[[#This Row],[Programa]]="",Tabela1[[#This Row],[Peso bruto]],VLOOKUP(Tabela1[[#This Row],[Pedido]],'Saldo a Produzir'!$A:$D,4,0)),"")</f>
        <v>0</v>
      </c>
      <c r="AM27" s="73">
        <v>0</v>
      </c>
    </row>
    <row r="28" spans="1:39" ht="14.5" x14ac:dyDescent="0.35">
      <c r="A28" s="81">
        <v>15073</v>
      </c>
      <c r="B28" s="81" t="s">
        <v>172</v>
      </c>
      <c r="C28" s="81">
        <v>1154956000534</v>
      </c>
      <c r="D28" s="81" t="s">
        <v>311</v>
      </c>
      <c r="E28" s="81" t="s">
        <v>312</v>
      </c>
      <c r="F28" s="81" t="s">
        <v>44</v>
      </c>
      <c r="G28" s="81">
        <v>24430</v>
      </c>
      <c r="H28" s="81" t="s">
        <v>125</v>
      </c>
      <c r="I28" s="81" t="s">
        <v>32</v>
      </c>
      <c r="J28" s="81" t="s">
        <v>33</v>
      </c>
      <c r="K28" s="81" t="s">
        <v>34</v>
      </c>
      <c r="L28" s="81" t="s">
        <v>313</v>
      </c>
      <c r="M28" s="81"/>
      <c r="N28" s="90">
        <v>44452</v>
      </c>
      <c r="O28" s="90">
        <v>44582</v>
      </c>
      <c r="P28" s="90">
        <v>44631</v>
      </c>
      <c r="Q28" s="90" t="s">
        <v>35</v>
      </c>
      <c r="R28" s="81">
        <v>0</v>
      </c>
      <c r="S28" s="90" t="s">
        <v>35</v>
      </c>
      <c r="T28" s="81">
        <v>0</v>
      </c>
      <c r="U28" s="81" t="s">
        <v>36</v>
      </c>
      <c r="V28" s="90" t="s">
        <v>35</v>
      </c>
      <c r="W28" s="81"/>
      <c r="X28" s="90" t="s">
        <v>37</v>
      </c>
      <c r="Y28" s="81" t="s">
        <v>38</v>
      </c>
      <c r="Z28" s="81">
        <v>2203</v>
      </c>
      <c r="AA28" s="81" t="s">
        <v>147</v>
      </c>
      <c r="AB28" s="81">
        <v>0</v>
      </c>
      <c r="AC28" s="81"/>
      <c r="AD28" s="81">
        <v>0</v>
      </c>
      <c r="AE28" s="81"/>
      <c r="AF28" s="81" t="s">
        <v>39</v>
      </c>
      <c r="AG28" s="83">
        <v>0</v>
      </c>
      <c r="AH28" s="95">
        <v>3780</v>
      </c>
      <c r="AI28" s="82" t="str">
        <f>CONCATENATE((TEXT(Tabela1[[#This Row],[Data entrega]],"mmmm")),"_",(YEAR(Tabela1[[#This Row],[Data entrega]])))</f>
        <v>janeiro_2022</v>
      </c>
      <c r="AJ28" s="77">
        <f>IFERROR(IF(Tabela1[[#This Row],[Programa]]="",Tabela1[[#This Row],[Peso bruto]],VLOOKUP(Tabela1[[#This Row],[Pedido]],'Saldo a Produzir'!$A:$D,4,0)),"")</f>
        <v>0</v>
      </c>
      <c r="AM28" s="73">
        <v>0</v>
      </c>
    </row>
    <row r="29" spans="1:39" ht="14.5" x14ac:dyDescent="0.35">
      <c r="A29" s="81">
        <v>15910</v>
      </c>
      <c r="B29" s="81" t="s">
        <v>261</v>
      </c>
      <c r="C29" s="81">
        <v>7814284000107</v>
      </c>
      <c r="D29" s="81" t="s">
        <v>398</v>
      </c>
      <c r="E29" s="81" t="s">
        <v>66</v>
      </c>
      <c r="F29" s="81" t="s">
        <v>44</v>
      </c>
      <c r="G29" s="81">
        <v>25145</v>
      </c>
      <c r="H29" s="81" t="s">
        <v>125</v>
      </c>
      <c r="I29" s="81" t="s">
        <v>32</v>
      </c>
      <c r="J29" s="81" t="s">
        <v>33</v>
      </c>
      <c r="K29" s="81" t="s">
        <v>34</v>
      </c>
      <c r="L29" s="81" t="s">
        <v>420</v>
      </c>
      <c r="M29" s="81"/>
      <c r="N29" s="90">
        <v>44545</v>
      </c>
      <c r="O29" s="90">
        <v>44592</v>
      </c>
      <c r="P29" s="90">
        <v>44599</v>
      </c>
      <c r="Q29" s="90" t="s">
        <v>35</v>
      </c>
      <c r="R29" s="81">
        <v>0</v>
      </c>
      <c r="S29" s="90" t="s">
        <v>35</v>
      </c>
      <c r="T29" s="81">
        <v>0</v>
      </c>
      <c r="U29" s="81" t="s">
        <v>36</v>
      </c>
      <c r="V29" s="90" t="s">
        <v>35</v>
      </c>
      <c r="W29" s="81"/>
      <c r="X29" s="90" t="s">
        <v>37</v>
      </c>
      <c r="Y29" s="81" t="s">
        <v>38</v>
      </c>
      <c r="Z29" s="81">
        <v>0</v>
      </c>
      <c r="AA29" s="81"/>
      <c r="AB29" s="81">
        <v>0</v>
      </c>
      <c r="AC29" s="81"/>
      <c r="AD29" s="81">
        <v>0</v>
      </c>
      <c r="AE29" s="81"/>
      <c r="AF29" s="81" t="s">
        <v>39</v>
      </c>
      <c r="AG29" s="83">
        <v>0</v>
      </c>
      <c r="AH29" s="95">
        <v>664726</v>
      </c>
      <c r="AI29" s="82" t="str">
        <f>CONCATENATE((TEXT(Tabela1[[#This Row],[Data entrega]],"mmmm")),"_",(YEAR(Tabela1[[#This Row],[Data entrega]])))</f>
        <v>janeiro_2022</v>
      </c>
      <c r="AJ29" s="77">
        <f>IFERROR(IF(Tabela1[[#This Row],[Programa]]="",Tabela1[[#This Row],[Peso bruto]],VLOOKUP(Tabela1[[#This Row],[Pedido]],'Saldo a Produzir'!$A:$D,4,0)),"")</f>
        <v>0</v>
      </c>
      <c r="AM29" s="73">
        <v>0</v>
      </c>
    </row>
    <row r="30" spans="1:39" ht="14.5" x14ac:dyDescent="0.35">
      <c r="A30" s="81">
        <v>15910</v>
      </c>
      <c r="B30" s="81" t="s">
        <v>261</v>
      </c>
      <c r="C30" s="81">
        <v>7814284000107</v>
      </c>
      <c r="D30" s="81" t="s">
        <v>398</v>
      </c>
      <c r="E30" s="81" t="s">
        <v>66</v>
      </c>
      <c r="F30" s="81" t="s">
        <v>44</v>
      </c>
      <c r="G30" s="81">
        <v>25144</v>
      </c>
      <c r="H30" s="81" t="s">
        <v>91</v>
      </c>
      <c r="I30" s="81" t="s">
        <v>32</v>
      </c>
      <c r="J30" s="81" t="s">
        <v>33</v>
      </c>
      <c r="K30" s="81" t="s">
        <v>34</v>
      </c>
      <c r="L30" s="81" t="s">
        <v>420</v>
      </c>
      <c r="M30" s="81"/>
      <c r="N30" s="90">
        <v>44545</v>
      </c>
      <c r="O30" s="90">
        <v>44636</v>
      </c>
      <c r="P30" s="90">
        <v>44585</v>
      </c>
      <c r="Q30" s="90" t="s">
        <v>35</v>
      </c>
      <c r="R30" s="81">
        <v>0</v>
      </c>
      <c r="S30" s="90" t="s">
        <v>35</v>
      </c>
      <c r="T30" s="81">
        <v>0</v>
      </c>
      <c r="U30" s="81" t="s">
        <v>36</v>
      </c>
      <c r="V30" s="90" t="s">
        <v>35</v>
      </c>
      <c r="W30" s="81" t="s">
        <v>471</v>
      </c>
      <c r="X30" s="90">
        <v>44588</v>
      </c>
      <c r="Y30" s="81" t="s">
        <v>38</v>
      </c>
      <c r="Z30" s="81">
        <v>0</v>
      </c>
      <c r="AA30" s="81"/>
      <c r="AB30" s="81">
        <v>0</v>
      </c>
      <c r="AC30" s="81"/>
      <c r="AD30" s="81">
        <v>0</v>
      </c>
      <c r="AE30" s="81" t="s">
        <v>153</v>
      </c>
      <c r="AF30" s="81" t="s">
        <v>39</v>
      </c>
      <c r="AG30" s="83">
        <v>0</v>
      </c>
      <c r="AH30" s="95">
        <v>40076.49</v>
      </c>
      <c r="AI30" s="82" t="str">
        <f>CONCATENATE((TEXT(Tabela1[[#This Row],[Data entrega]],"mmmm")),"_",(YEAR(Tabela1[[#This Row],[Data entrega]])))</f>
        <v>março_2022</v>
      </c>
      <c r="AJ30" s="77">
        <f>IFERROR(IF(Tabela1[[#This Row],[Programa]]="",Tabela1[[#This Row],[Peso bruto]],VLOOKUP(Tabela1[[#This Row],[Pedido]],'Saldo a Produzir'!$A:$D,4,0)),"")</f>
        <v>0</v>
      </c>
      <c r="AM30" s="73">
        <v>978.98</v>
      </c>
    </row>
    <row r="31" spans="1:39" ht="14.5" x14ac:dyDescent="0.35">
      <c r="A31" s="81">
        <v>15020</v>
      </c>
      <c r="B31" s="81" t="s">
        <v>46</v>
      </c>
      <c r="C31" s="81">
        <v>0</v>
      </c>
      <c r="D31" s="81" t="s">
        <v>306</v>
      </c>
      <c r="E31" s="81" t="s">
        <v>187</v>
      </c>
      <c r="F31" s="81" t="s">
        <v>49</v>
      </c>
      <c r="G31" s="81">
        <v>24803</v>
      </c>
      <c r="H31" s="81" t="s">
        <v>88</v>
      </c>
      <c r="I31" s="81" t="s">
        <v>32</v>
      </c>
      <c r="J31" s="81" t="s">
        <v>33</v>
      </c>
      <c r="K31" s="81" t="s">
        <v>34</v>
      </c>
      <c r="L31" s="81" t="s">
        <v>342</v>
      </c>
      <c r="M31" s="81"/>
      <c r="N31" s="90">
        <v>44498</v>
      </c>
      <c r="O31" s="90">
        <v>44638</v>
      </c>
      <c r="P31" s="90">
        <v>44512</v>
      </c>
      <c r="Q31" s="90" t="s">
        <v>35</v>
      </c>
      <c r="R31" s="81">
        <v>0</v>
      </c>
      <c r="S31" s="90" t="s">
        <v>35</v>
      </c>
      <c r="T31" s="81">
        <v>0</v>
      </c>
      <c r="U31" s="81" t="s">
        <v>36</v>
      </c>
      <c r="V31" s="90" t="s">
        <v>35</v>
      </c>
      <c r="W31" s="81" t="s">
        <v>428</v>
      </c>
      <c r="X31" s="90">
        <v>44553</v>
      </c>
      <c r="Y31" s="81" t="s">
        <v>38</v>
      </c>
      <c r="Z31" s="81">
        <v>0</v>
      </c>
      <c r="AA31" s="81"/>
      <c r="AB31" s="81">
        <v>0</v>
      </c>
      <c r="AC31" s="81"/>
      <c r="AD31" s="81">
        <v>0</v>
      </c>
      <c r="AE31" s="81"/>
      <c r="AF31" s="81" t="s">
        <v>39</v>
      </c>
      <c r="AG31" s="83">
        <v>814.39</v>
      </c>
      <c r="AH31" s="95">
        <v>67755.11</v>
      </c>
      <c r="AI31" s="82" t="str">
        <f>CONCATENATE((TEXT(Tabela1[[#This Row],[Data entrega]],"mmmm")),"_",(YEAR(Tabela1[[#This Row],[Data entrega]])))</f>
        <v>março_2022</v>
      </c>
      <c r="AJ31" s="77">
        <f>IFERROR(IF(Tabela1[[#This Row],[Programa]]="",Tabela1[[#This Row],[Peso bruto]],VLOOKUP(Tabela1[[#This Row],[Pedido]],'Saldo a Produzir'!$A:$D,4,0)),"")</f>
        <v>814.39</v>
      </c>
      <c r="AM31" s="73">
        <v>3905.6570000000002</v>
      </c>
    </row>
    <row r="32" spans="1:39" ht="14.5" x14ac:dyDescent="0.35">
      <c r="A32" s="81">
        <v>15908</v>
      </c>
      <c r="B32" s="81" t="s">
        <v>230</v>
      </c>
      <c r="C32" s="81">
        <v>577604000448</v>
      </c>
      <c r="D32" s="81" t="s">
        <v>222</v>
      </c>
      <c r="E32" s="81" t="s">
        <v>121</v>
      </c>
      <c r="F32" s="81" t="s">
        <v>42</v>
      </c>
      <c r="G32" s="81">
        <v>25477</v>
      </c>
      <c r="H32" s="81" t="s">
        <v>92</v>
      </c>
      <c r="I32" s="81" t="s">
        <v>976</v>
      </c>
      <c r="J32" s="81" t="s">
        <v>156</v>
      </c>
      <c r="K32" s="81" t="s">
        <v>978</v>
      </c>
      <c r="L32" s="81"/>
      <c r="M32" s="81"/>
      <c r="N32" s="90">
        <v>44623</v>
      </c>
      <c r="O32" s="90">
        <v>44638</v>
      </c>
      <c r="P32" s="90">
        <v>44623</v>
      </c>
      <c r="Q32" s="90">
        <v>44652</v>
      </c>
      <c r="R32" s="81">
        <v>6118</v>
      </c>
      <c r="S32" s="90">
        <v>44652</v>
      </c>
      <c r="T32" s="81">
        <v>6118</v>
      </c>
      <c r="U32" s="81" t="s">
        <v>36</v>
      </c>
      <c r="V32" s="90" t="s">
        <v>35</v>
      </c>
      <c r="W32" s="81" t="s">
        <v>979</v>
      </c>
      <c r="X32" s="90">
        <v>44623</v>
      </c>
      <c r="Y32" s="81" t="s">
        <v>38</v>
      </c>
      <c r="Z32" s="81">
        <v>0</v>
      </c>
      <c r="AA32" s="81"/>
      <c r="AB32" s="81">
        <v>0</v>
      </c>
      <c r="AC32" s="81"/>
      <c r="AD32" s="81">
        <v>0</v>
      </c>
      <c r="AE32" s="81" t="s">
        <v>153</v>
      </c>
      <c r="AF32" s="81" t="s">
        <v>39</v>
      </c>
      <c r="AG32" s="83">
        <v>0</v>
      </c>
      <c r="AH32" s="95">
        <v>12487.06</v>
      </c>
      <c r="AI32" s="82" t="str">
        <f>CONCATENATE((TEXT(Tabela1[[#This Row],[Data entrega]],"mmmm")),"_",(YEAR(Tabela1[[#This Row],[Data entrega]])))</f>
        <v>março_2022</v>
      </c>
      <c r="AJ32" s="77">
        <f>IFERROR(IF(Tabela1[[#This Row],[Programa]]="",Tabela1[[#This Row],[Peso bruto]],VLOOKUP(Tabela1[[#This Row],[Pedido]],'Saldo a Produzir'!$A:$D,4,0)),"")</f>
        <v>0</v>
      </c>
      <c r="AM32" s="73">
        <v>-3.86</v>
      </c>
    </row>
    <row r="33" spans="1:39" ht="14.5" x14ac:dyDescent="0.35">
      <c r="A33" s="81">
        <v>15907</v>
      </c>
      <c r="B33" s="81" t="s">
        <v>272</v>
      </c>
      <c r="C33" s="81">
        <v>8380701000105</v>
      </c>
      <c r="D33" s="81" t="s">
        <v>273</v>
      </c>
      <c r="E33" s="81" t="s">
        <v>180</v>
      </c>
      <c r="F33" s="81" t="s">
        <v>181</v>
      </c>
      <c r="G33" s="81">
        <v>24166</v>
      </c>
      <c r="H33" s="81" t="s">
        <v>191</v>
      </c>
      <c r="I33" s="81" t="s">
        <v>976</v>
      </c>
      <c r="J33" s="81" t="s">
        <v>33</v>
      </c>
      <c r="K33" s="81" t="s">
        <v>34</v>
      </c>
      <c r="L33" s="81" t="s">
        <v>302</v>
      </c>
      <c r="M33" s="81"/>
      <c r="N33" s="90">
        <v>44411</v>
      </c>
      <c r="O33" s="90">
        <v>44651</v>
      </c>
      <c r="P33" s="90">
        <v>44665</v>
      </c>
      <c r="Q33" s="90" t="s">
        <v>35</v>
      </c>
      <c r="R33" s="81">
        <v>0</v>
      </c>
      <c r="S33" s="90" t="s">
        <v>35</v>
      </c>
      <c r="T33" s="81">
        <v>0</v>
      </c>
      <c r="U33" s="81" t="s">
        <v>36</v>
      </c>
      <c r="V33" s="90" t="s">
        <v>35</v>
      </c>
      <c r="W33" s="81" t="s">
        <v>985</v>
      </c>
      <c r="X33" s="90">
        <v>44585</v>
      </c>
      <c r="Y33" s="81" t="s">
        <v>38</v>
      </c>
      <c r="Z33" s="81">
        <v>2011</v>
      </c>
      <c r="AA33" s="81" t="s">
        <v>303</v>
      </c>
      <c r="AB33" s="81">
        <v>0</v>
      </c>
      <c r="AC33" s="81"/>
      <c r="AD33" s="81">
        <v>0</v>
      </c>
      <c r="AE33" s="81" t="s">
        <v>153</v>
      </c>
      <c r="AF33" s="81" t="s">
        <v>39</v>
      </c>
      <c r="AG33" s="83">
        <v>0</v>
      </c>
      <c r="AH33" s="95">
        <v>2052312</v>
      </c>
      <c r="AI33" s="82" t="str">
        <f>CONCATENATE((TEXT(Tabela1[[#This Row],[Data entrega]],"mmmm")),"_",(YEAR(Tabela1[[#This Row],[Data entrega]])))</f>
        <v>março_2022</v>
      </c>
      <c r="AJ33" s="77" t="str">
        <f>IFERROR(IF(Tabela1[[#This Row],[Programa]]="",Tabela1[[#This Row],[Peso bruto]],VLOOKUP(Tabela1[[#This Row],[Pedido]],'Saldo a Produzir'!$A:$D,4,0)),"")</f>
        <v/>
      </c>
      <c r="AM33" s="73">
        <v>3129.28</v>
      </c>
    </row>
    <row r="34" spans="1:39" ht="14.5" x14ac:dyDescent="0.35">
      <c r="A34" s="81">
        <v>15064</v>
      </c>
      <c r="B34" s="81" t="s">
        <v>67</v>
      </c>
      <c r="C34" s="81">
        <v>45495694000890</v>
      </c>
      <c r="D34" s="81" t="s">
        <v>416</v>
      </c>
      <c r="E34" s="81" t="s">
        <v>309</v>
      </c>
      <c r="F34" s="81" t="s">
        <v>44</v>
      </c>
      <c r="G34" s="81">
        <v>24420</v>
      </c>
      <c r="H34" s="81" t="s">
        <v>88</v>
      </c>
      <c r="I34" s="81" t="s">
        <v>32</v>
      </c>
      <c r="J34" s="81" t="s">
        <v>156</v>
      </c>
      <c r="K34" s="81" t="s">
        <v>34</v>
      </c>
      <c r="L34" s="81" t="s">
        <v>310</v>
      </c>
      <c r="M34" s="81"/>
      <c r="N34" s="90">
        <v>44449</v>
      </c>
      <c r="O34" s="90">
        <v>44662</v>
      </c>
      <c r="P34" s="90">
        <v>44711</v>
      </c>
      <c r="Q34" s="90">
        <v>44711</v>
      </c>
      <c r="R34" s="81">
        <v>6949</v>
      </c>
      <c r="S34" s="90">
        <v>44712</v>
      </c>
      <c r="T34" s="81">
        <v>6988</v>
      </c>
      <c r="U34" s="81" t="s">
        <v>36</v>
      </c>
      <c r="V34" s="90" t="s">
        <v>35</v>
      </c>
      <c r="W34" s="81" t="s">
        <v>334</v>
      </c>
      <c r="X34" s="90">
        <v>44470</v>
      </c>
      <c r="Y34" s="81" t="s">
        <v>38</v>
      </c>
      <c r="Z34" s="81">
        <v>0</v>
      </c>
      <c r="AA34" s="81"/>
      <c r="AB34" s="81">
        <v>0</v>
      </c>
      <c r="AC34" s="81"/>
      <c r="AD34" s="81">
        <v>0</v>
      </c>
      <c r="AE34" s="81" t="s">
        <v>153</v>
      </c>
      <c r="AF34" s="81" t="s">
        <v>39</v>
      </c>
      <c r="AG34" s="83">
        <v>5664.87</v>
      </c>
      <c r="AH34" s="95">
        <v>150079.18</v>
      </c>
      <c r="AI34" s="82" t="str">
        <f>CONCATENATE((TEXT(Tabela1[[#This Row],[Data entrega]],"mmmm")),"_",(YEAR(Tabela1[[#This Row],[Data entrega]])))</f>
        <v>abril_2022</v>
      </c>
      <c r="AJ34" s="77" t="str">
        <f>IFERROR(IF(Tabela1[[#This Row],[Programa]]="",Tabela1[[#This Row],[Peso bruto]],VLOOKUP(Tabela1[[#This Row],[Pedido]],'Saldo a Produzir'!$A:$D,4,0)),"")</f>
        <v/>
      </c>
      <c r="AM34" s="73">
        <v>5348.4669999999996</v>
      </c>
    </row>
    <row r="35" spans="1:39" ht="14.5" x14ac:dyDescent="0.35">
      <c r="A35" s="81">
        <v>15020</v>
      </c>
      <c r="B35" s="81" t="s">
        <v>46</v>
      </c>
      <c r="C35" s="81">
        <v>0</v>
      </c>
      <c r="D35" s="81" t="s">
        <v>203</v>
      </c>
      <c r="E35" s="81" t="s">
        <v>204</v>
      </c>
      <c r="F35" s="81" t="s">
        <v>49</v>
      </c>
      <c r="G35" s="81">
        <v>23434</v>
      </c>
      <c r="H35" s="81" t="s">
        <v>92</v>
      </c>
      <c r="I35" s="81" t="s">
        <v>32</v>
      </c>
      <c r="J35" s="81" t="s">
        <v>33</v>
      </c>
      <c r="K35" s="81" t="s">
        <v>34</v>
      </c>
      <c r="L35" s="81" t="s">
        <v>205</v>
      </c>
      <c r="M35" s="81"/>
      <c r="N35" s="90">
        <v>44270</v>
      </c>
      <c r="O35" s="90">
        <v>44665</v>
      </c>
      <c r="P35" s="90">
        <v>44680</v>
      </c>
      <c r="Q35" s="90" t="s">
        <v>35</v>
      </c>
      <c r="R35" s="81">
        <v>0</v>
      </c>
      <c r="S35" s="90" t="s">
        <v>35</v>
      </c>
      <c r="T35" s="81">
        <v>0</v>
      </c>
      <c r="U35" s="81" t="s">
        <v>36</v>
      </c>
      <c r="V35" s="90" t="s">
        <v>35</v>
      </c>
      <c r="W35" s="81" t="s">
        <v>202</v>
      </c>
      <c r="X35" s="90">
        <v>44273</v>
      </c>
      <c r="Y35" s="81" t="s">
        <v>38</v>
      </c>
      <c r="Z35" s="81">
        <v>0</v>
      </c>
      <c r="AA35" s="81"/>
      <c r="AB35" s="81">
        <v>0</v>
      </c>
      <c r="AC35" s="81"/>
      <c r="AD35" s="81">
        <v>0</v>
      </c>
      <c r="AE35" s="81"/>
      <c r="AF35" s="81" t="s">
        <v>39</v>
      </c>
      <c r="AG35" s="83">
        <v>0</v>
      </c>
      <c r="AH35" s="95">
        <v>75706.73</v>
      </c>
      <c r="AI35" s="82" t="str">
        <f>CONCATENATE((TEXT(Tabela1[[#This Row],[Data entrega]],"mmmm")),"_",(YEAR(Tabela1[[#This Row],[Data entrega]])))</f>
        <v>abril_2022</v>
      </c>
      <c r="AJ35" s="77">
        <f>IFERROR(IF(Tabela1[[#This Row],[Programa]]="",Tabela1[[#This Row],[Peso bruto]],VLOOKUP(Tabela1[[#This Row],[Pedido]],'Saldo a Produzir'!$A:$D,4,0)),"")</f>
        <v>0</v>
      </c>
      <c r="AM35" s="73">
        <v>6579.482</v>
      </c>
    </row>
    <row r="36" spans="1:39" ht="14.5" x14ac:dyDescent="0.35">
      <c r="A36" s="81">
        <v>15909</v>
      </c>
      <c r="B36" s="81" t="s">
        <v>223</v>
      </c>
      <c r="C36" s="81">
        <v>7526557004601</v>
      </c>
      <c r="D36" s="81" t="s">
        <v>693</v>
      </c>
      <c r="E36" s="81" t="s">
        <v>73</v>
      </c>
      <c r="F36" s="81" t="s">
        <v>51</v>
      </c>
      <c r="G36" s="81">
        <v>25833</v>
      </c>
      <c r="H36" s="81" t="s">
        <v>109</v>
      </c>
      <c r="I36" s="81" t="s">
        <v>32</v>
      </c>
      <c r="J36" s="81" t="s">
        <v>33</v>
      </c>
      <c r="K36" s="81" t="s">
        <v>34</v>
      </c>
      <c r="L36" s="81" t="s">
        <v>694</v>
      </c>
      <c r="M36" s="81"/>
      <c r="N36" s="90">
        <v>44651</v>
      </c>
      <c r="O36" s="90">
        <v>44669</v>
      </c>
      <c r="P36" s="90">
        <v>44657</v>
      </c>
      <c r="Q36" s="90" t="s">
        <v>35</v>
      </c>
      <c r="R36" s="81">
        <v>0</v>
      </c>
      <c r="S36" s="90" t="s">
        <v>35</v>
      </c>
      <c r="T36" s="81">
        <v>0</v>
      </c>
      <c r="U36" s="81" t="s">
        <v>36</v>
      </c>
      <c r="V36" s="90" t="s">
        <v>35</v>
      </c>
      <c r="W36" s="81"/>
      <c r="X36" s="90" t="s">
        <v>37</v>
      </c>
      <c r="Y36" s="81" t="s">
        <v>38</v>
      </c>
      <c r="Z36" s="81">
        <v>944</v>
      </c>
      <c r="AA36" s="81" t="s">
        <v>152</v>
      </c>
      <c r="AB36" s="81">
        <v>0</v>
      </c>
      <c r="AC36" s="81"/>
      <c r="AD36" s="81">
        <v>0</v>
      </c>
      <c r="AE36" s="81"/>
      <c r="AF36" s="81" t="s">
        <v>39</v>
      </c>
      <c r="AG36" s="83">
        <v>0</v>
      </c>
      <c r="AH36" s="95">
        <v>13000</v>
      </c>
      <c r="AI36" s="82" t="str">
        <f>CONCATENATE((TEXT(Tabela1[[#This Row],[Data entrega]],"mmmm")),"_",(YEAR(Tabela1[[#This Row],[Data entrega]])))</f>
        <v>abril_2022</v>
      </c>
      <c r="AJ36" s="77">
        <f>IFERROR(IF(Tabela1[[#This Row],[Programa]]="",Tabela1[[#This Row],[Peso bruto]],VLOOKUP(Tabela1[[#This Row],[Pedido]],'Saldo a Produzir'!$A:$D,4,0)),"")</f>
        <v>0</v>
      </c>
      <c r="AM36" s="73">
        <v>0</v>
      </c>
    </row>
    <row r="37" spans="1:39" ht="14.5" x14ac:dyDescent="0.35">
      <c r="A37" s="81">
        <v>15909</v>
      </c>
      <c r="B37" s="81" t="s">
        <v>223</v>
      </c>
      <c r="C37" s="81">
        <v>56228356004048</v>
      </c>
      <c r="D37" s="81" t="s">
        <v>695</v>
      </c>
      <c r="E37" s="81" t="s">
        <v>696</v>
      </c>
      <c r="F37" s="81" t="s">
        <v>53</v>
      </c>
      <c r="G37" s="81">
        <v>25828</v>
      </c>
      <c r="H37" s="81" t="s">
        <v>109</v>
      </c>
      <c r="I37" s="81" t="s">
        <v>32</v>
      </c>
      <c r="J37" s="81" t="s">
        <v>33</v>
      </c>
      <c r="K37" s="81" t="s">
        <v>34</v>
      </c>
      <c r="L37" s="81" t="s">
        <v>697</v>
      </c>
      <c r="M37" s="81"/>
      <c r="N37" s="90">
        <v>44651</v>
      </c>
      <c r="O37" s="90">
        <v>44669</v>
      </c>
      <c r="P37" s="90">
        <v>44652</v>
      </c>
      <c r="Q37" s="90" t="s">
        <v>35</v>
      </c>
      <c r="R37" s="81">
        <v>0</v>
      </c>
      <c r="S37" s="90" t="s">
        <v>35</v>
      </c>
      <c r="T37" s="81">
        <v>0</v>
      </c>
      <c r="U37" s="81" t="s">
        <v>36</v>
      </c>
      <c r="V37" s="90" t="s">
        <v>35</v>
      </c>
      <c r="W37" s="81"/>
      <c r="X37" s="90" t="s">
        <v>37</v>
      </c>
      <c r="Y37" s="81" t="s">
        <v>38</v>
      </c>
      <c r="Z37" s="81">
        <v>1300</v>
      </c>
      <c r="AA37" s="81" t="s">
        <v>698</v>
      </c>
      <c r="AB37" s="81">
        <v>0</v>
      </c>
      <c r="AC37" s="81"/>
      <c r="AD37" s="81">
        <v>0</v>
      </c>
      <c r="AE37" s="81"/>
      <c r="AF37" s="81" t="s">
        <v>39</v>
      </c>
      <c r="AG37" s="83">
        <v>0</v>
      </c>
      <c r="AH37" s="95">
        <v>13000</v>
      </c>
      <c r="AI37" s="82" t="str">
        <f>CONCATENATE((TEXT(Tabela1[[#This Row],[Data entrega]],"mmmm")),"_",(YEAR(Tabela1[[#This Row],[Data entrega]])))</f>
        <v>abril_2022</v>
      </c>
      <c r="AJ37" s="77">
        <f>IFERROR(IF(Tabela1[[#This Row],[Programa]]="",Tabela1[[#This Row],[Peso bruto]],VLOOKUP(Tabela1[[#This Row],[Pedido]],'Saldo a Produzir'!$A:$D,4,0)),"")</f>
        <v>0</v>
      </c>
      <c r="AM37" s="73">
        <v>0</v>
      </c>
    </row>
    <row r="38" spans="1:39" ht="14.5" x14ac:dyDescent="0.35">
      <c r="A38" s="81">
        <v>15066</v>
      </c>
      <c r="B38" s="81" t="s">
        <v>72</v>
      </c>
      <c r="C38" s="81">
        <v>64858525006771</v>
      </c>
      <c r="D38" s="81" t="s">
        <v>281</v>
      </c>
      <c r="E38" s="81" t="s">
        <v>126</v>
      </c>
      <c r="F38" s="81" t="s">
        <v>56</v>
      </c>
      <c r="G38" s="81">
        <v>25776</v>
      </c>
      <c r="H38" s="81" t="s">
        <v>90</v>
      </c>
      <c r="I38" s="81" t="s">
        <v>32</v>
      </c>
      <c r="J38" s="81" t="s">
        <v>33</v>
      </c>
      <c r="K38" s="81" t="s">
        <v>34</v>
      </c>
      <c r="L38" s="81" t="s">
        <v>656</v>
      </c>
      <c r="M38" s="81">
        <v>6500508283</v>
      </c>
      <c r="N38" s="90">
        <v>44650</v>
      </c>
      <c r="O38" s="90">
        <v>44669</v>
      </c>
      <c r="P38" s="90">
        <v>44650</v>
      </c>
      <c r="Q38" s="90" t="s">
        <v>35</v>
      </c>
      <c r="R38" s="81">
        <v>0</v>
      </c>
      <c r="S38" s="90" t="s">
        <v>35</v>
      </c>
      <c r="T38" s="81">
        <v>0</v>
      </c>
      <c r="U38" s="81" t="s">
        <v>36</v>
      </c>
      <c r="V38" s="90" t="s">
        <v>35</v>
      </c>
      <c r="W38" s="81" t="s">
        <v>720</v>
      </c>
      <c r="X38" s="90">
        <v>44655</v>
      </c>
      <c r="Y38" s="81" t="s">
        <v>38</v>
      </c>
      <c r="Z38" s="81">
        <v>44</v>
      </c>
      <c r="AA38" s="81" t="s">
        <v>151</v>
      </c>
      <c r="AB38" s="81">
        <v>0</v>
      </c>
      <c r="AC38" s="81"/>
      <c r="AD38" s="81">
        <v>0</v>
      </c>
      <c r="AE38" s="81" t="s">
        <v>153</v>
      </c>
      <c r="AF38" s="81" t="s">
        <v>39</v>
      </c>
      <c r="AG38" s="83">
        <v>0</v>
      </c>
      <c r="AH38" s="95">
        <v>189978.01</v>
      </c>
      <c r="AI38" s="82" t="str">
        <f>CONCATENATE((TEXT(Tabela1[[#This Row],[Data entrega]],"mmmm")),"_",(YEAR(Tabela1[[#This Row],[Data entrega]])))</f>
        <v>abril_2022</v>
      </c>
      <c r="AJ38" s="77" t="str">
        <f>IFERROR(IF(Tabela1[[#This Row],[Programa]]="",Tabela1[[#This Row],[Peso bruto]],VLOOKUP(Tabela1[[#This Row],[Pedido]],'Saldo a Produzir'!$A:$D,4,0)),"")</f>
        <v/>
      </c>
      <c r="AM38" s="73">
        <v>403.18</v>
      </c>
    </row>
    <row r="39" spans="1:39" ht="14.5" x14ac:dyDescent="0.35">
      <c r="A39" s="81">
        <v>15066</v>
      </c>
      <c r="B39" s="81" t="s">
        <v>72</v>
      </c>
      <c r="C39" s="81">
        <v>64858525010299</v>
      </c>
      <c r="D39" s="81" t="s">
        <v>281</v>
      </c>
      <c r="E39" s="81" t="s">
        <v>657</v>
      </c>
      <c r="F39" s="81" t="s">
        <v>56</v>
      </c>
      <c r="G39" s="81">
        <v>25777</v>
      </c>
      <c r="H39" s="81" t="s">
        <v>90</v>
      </c>
      <c r="I39" s="81" t="s">
        <v>32</v>
      </c>
      <c r="J39" s="81" t="s">
        <v>33</v>
      </c>
      <c r="K39" s="81" t="s">
        <v>34</v>
      </c>
      <c r="L39" s="81" t="s">
        <v>658</v>
      </c>
      <c r="M39" s="81">
        <v>6500508282</v>
      </c>
      <c r="N39" s="90">
        <v>44650</v>
      </c>
      <c r="O39" s="90">
        <v>44669</v>
      </c>
      <c r="P39" s="90">
        <v>44650</v>
      </c>
      <c r="Q39" s="90" t="s">
        <v>35</v>
      </c>
      <c r="R39" s="81">
        <v>0</v>
      </c>
      <c r="S39" s="90" t="s">
        <v>35</v>
      </c>
      <c r="T39" s="81">
        <v>0</v>
      </c>
      <c r="U39" s="81" t="s">
        <v>36</v>
      </c>
      <c r="V39" s="90" t="s">
        <v>35</v>
      </c>
      <c r="W39" s="81" t="s">
        <v>720</v>
      </c>
      <c r="X39" s="90">
        <v>44655</v>
      </c>
      <c r="Y39" s="81" t="s">
        <v>38</v>
      </c>
      <c r="Z39" s="81">
        <v>44</v>
      </c>
      <c r="AA39" s="81" t="s">
        <v>151</v>
      </c>
      <c r="AB39" s="81">
        <v>0</v>
      </c>
      <c r="AC39" s="81"/>
      <c r="AD39" s="81">
        <v>0</v>
      </c>
      <c r="AE39" s="81" t="s">
        <v>153</v>
      </c>
      <c r="AF39" s="81" t="s">
        <v>39</v>
      </c>
      <c r="AG39" s="83">
        <v>0</v>
      </c>
      <c r="AH39" s="95">
        <v>140276.53</v>
      </c>
      <c r="AI39" s="82" t="str">
        <f>CONCATENATE((TEXT(Tabela1[[#This Row],[Data entrega]],"mmmm")),"_",(YEAR(Tabela1[[#This Row],[Data entrega]])))</f>
        <v>abril_2022</v>
      </c>
      <c r="AJ39" s="77">
        <f>IFERROR(IF(Tabela1[[#This Row],[Programa]]="",Tabela1[[#This Row],[Peso bruto]],VLOOKUP(Tabela1[[#This Row],[Pedido]],'Saldo a Produzir'!$A:$D,4,0)),"")</f>
        <v>0</v>
      </c>
      <c r="AM39" s="73">
        <v>423.12</v>
      </c>
    </row>
    <row r="40" spans="1:39" ht="14.5" x14ac:dyDescent="0.35">
      <c r="A40" s="81">
        <v>15066</v>
      </c>
      <c r="B40" s="81" t="s">
        <v>72</v>
      </c>
      <c r="C40" s="81">
        <v>64858525013638</v>
      </c>
      <c r="D40" s="81" t="s">
        <v>281</v>
      </c>
      <c r="E40" s="81" t="s">
        <v>282</v>
      </c>
      <c r="F40" s="81" t="s">
        <v>103</v>
      </c>
      <c r="G40" s="81">
        <v>25778</v>
      </c>
      <c r="H40" s="81" t="s">
        <v>90</v>
      </c>
      <c r="I40" s="81" t="s">
        <v>32</v>
      </c>
      <c r="J40" s="81" t="s">
        <v>33</v>
      </c>
      <c r="K40" s="81" t="s">
        <v>34</v>
      </c>
      <c r="L40" s="81" t="s">
        <v>659</v>
      </c>
      <c r="M40" s="81">
        <v>6500507889</v>
      </c>
      <c r="N40" s="90">
        <v>44650</v>
      </c>
      <c r="O40" s="90">
        <v>44669</v>
      </c>
      <c r="P40" s="90">
        <v>44650</v>
      </c>
      <c r="Q40" s="90" t="s">
        <v>35</v>
      </c>
      <c r="R40" s="81">
        <v>0</v>
      </c>
      <c r="S40" s="90" t="s">
        <v>35</v>
      </c>
      <c r="T40" s="81">
        <v>0</v>
      </c>
      <c r="U40" s="81" t="s">
        <v>36</v>
      </c>
      <c r="V40" s="90" t="s">
        <v>35</v>
      </c>
      <c r="W40" s="81" t="s">
        <v>720</v>
      </c>
      <c r="X40" s="90">
        <v>44655</v>
      </c>
      <c r="Y40" s="81" t="s">
        <v>38</v>
      </c>
      <c r="Z40" s="81">
        <v>44</v>
      </c>
      <c r="AA40" s="81" t="s">
        <v>151</v>
      </c>
      <c r="AB40" s="81">
        <v>0</v>
      </c>
      <c r="AC40" s="81"/>
      <c r="AD40" s="81">
        <v>0</v>
      </c>
      <c r="AE40" s="81" t="s">
        <v>153</v>
      </c>
      <c r="AF40" s="81" t="s">
        <v>39</v>
      </c>
      <c r="AG40" s="83">
        <v>0</v>
      </c>
      <c r="AH40" s="95">
        <v>178737.17</v>
      </c>
      <c r="AI40" s="82" t="str">
        <f>CONCATENATE((TEXT(Tabela1[[#This Row],[Data entrega]],"mmmm")),"_",(YEAR(Tabela1[[#This Row],[Data entrega]])))</f>
        <v>abril_2022</v>
      </c>
      <c r="AJ40" s="77">
        <f>IFERROR(IF(Tabela1[[#This Row],[Programa]]="",Tabela1[[#This Row],[Peso bruto]],VLOOKUP(Tabela1[[#This Row],[Pedido]],'Saldo a Produzir'!$A:$D,4,0)),"")</f>
        <v>0</v>
      </c>
      <c r="AM40" s="73">
        <v>346.66</v>
      </c>
    </row>
    <row r="41" spans="1:39" ht="14.5" x14ac:dyDescent="0.35">
      <c r="A41" s="81">
        <v>15908</v>
      </c>
      <c r="B41" s="81" t="s">
        <v>230</v>
      </c>
      <c r="C41" s="81">
        <v>2060862002421</v>
      </c>
      <c r="D41" s="81" t="s">
        <v>337</v>
      </c>
      <c r="E41" s="81" t="s">
        <v>74</v>
      </c>
      <c r="F41" s="81" t="s">
        <v>75</v>
      </c>
      <c r="G41" s="81">
        <v>24703</v>
      </c>
      <c r="H41" s="81" t="s">
        <v>125</v>
      </c>
      <c r="I41" s="81" t="s">
        <v>32</v>
      </c>
      <c r="J41" s="81" t="s">
        <v>33</v>
      </c>
      <c r="K41" s="81" t="s">
        <v>34</v>
      </c>
      <c r="L41" s="81" t="s">
        <v>338</v>
      </c>
      <c r="M41" s="81">
        <v>128440</v>
      </c>
      <c r="N41" s="90">
        <v>44487</v>
      </c>
      <c r="O41" s="90">
        <v>44669</v>
      </c>
      <c r="P41" s="90">
        <v>44504</v>
      </c>
      <c r="Q41" s="90" t="s">
        <v>35</v>
      </c>
      <c r="R41" s="81">
        <v>0</v>
      </c>
      <c r="S41" s="90" t="s">
        <v>35</v>
      </c>
      <c r="T41" s="81">
        <v>0</v>
      </c>
      <c r="U41" s="81" t="s">
        <v>36</v>
      </c>
      <c r="V41" s="90" t="s">
        <v>35</v>
      </c>
      <c r="W41" s="81"/>
      <c r="X41" s="90" t="s">
        <v>37</v>
      </c>
      <c r="Y41" s="81" t="s">
        <v>38</v>
      </c>
      <c r="Z41" s="81">
        <v>2000</v>
      </c>
      <c r="AA41" s="81" t="s">
        <v>154</v>
      </c>
      <c r="AB41" s="81">
        <v>0</v>
      </c>
      <c r="AC41" s="81"/>
      <c r="AD41" s="81">
        <v>0</v>
      </c>
      <c r="AE41" s="81"/>
      <c r="AF41" s="81" t="s">
        <v>39</v>
      </c>
      <c r="AG41" s="83">
        <v>0</v>
      </c>
      <c r="AH41" s="95">
        <v>35000</v>
      </c>
      <c r="AI41" s="82" t="str">
        <f>CONCATENATE((TEXT(Tabela1[[#This Row],[Data entrega]],"mmmm")),"_",(YEAR(Tabela1[[#This Row],[Data entrega]])))</f>
        <v>abril_2022</v>
      </c>
      <c r="AJ41" s="77">
        <f>IFERROR(IF(Tabela1[[#This Row],[Programa]]="",Tabela1[[#This Row],[Peso bruto]],VLOOKUP(Tabela1[[#This Row],[Pedido]],'Saldo a Produzir'!$A:$D,4,0)),"")</f>
        <v>0</v>
      </c>
      <c r="AM41" s="73">
        <v>0</v>
      </c>
    </row>
    <row r="42" spans="1:39" ht="14.5" x14ac:dyDescent="0.35">
      <c r="A42" s="81">
        <v>15908</v>
      </c>
      <c r="B42" s="81" t="s">
        <v>230</v>
      </c>
      <c r="C42" s="81">
        <v>2060862002421</v>
      </c>
      <c r="D42" s="81" t="s">
        <v>337</v>
      </c>
      <c r="E42" s="81" t="s">
        <v>74</v>
      </c>
      <c r="F42" s="81" t="s">
        <v>75</v>
      </c>
      <c r="G42" s="81">
        <v>24705</v>
      </c>
      <c r="H42" s="81" t="s">
        <v>125</v>
      </c>
      <c r="I42" s="81" t="s">
        <v>32</v>
      </c>
      <c r="J42" s="81" t="s">
        <v>33</v>
      </c>
      <c r="K42" s="81" t="s">
        <v>34</v>
      </c>
      <c r="L42" s="81" t="s">
        <v>338</v>
      </c>
      <c r="M42" s="81">
        <v>128440</v>
      </c>
      <c r="N42" s="90">
        <v>44487</v>
      </c>
      <c r="O42" s="90">
        <v>44669</v>
      </c>
      <c r="P42" s="90">
        <v>44504</v>
      </c>
      <c r="Q42" s="90" t="s">
        <v>35</v>
      </c>
      <c r="R42" s="81">
        <v>0</v>
      </c>
      <c r="S42" s="90" t="s">
        <v>35</v>
      </c>
      <c r="T42" s="81">
        <v>0</v>
      </c>
      <c r="U42" s="81" t="s">
        <v>36</v>
      </c>
      <c r="V42" s="90" t="s">
        <v>35</v>
      </c>
      <c r="W42" s="81"/>
      <c r="X42" s="90" t="s">
        <v>37</v>
      </c>
      <c r="Y42" s="81" t="s">
        <v>38</v>
      </c>
      <c r="Z42" s="81">
        <v>2257</v>
      </c>
      <c r="AA42" s="81" t="s">
        <v>155</v>
      </c>
      <c r="AB42" s="81">
        <v>0</v>
      </c>
      <c r="AC42" s="81"/>
      <c r="AD42" s="81">
        <v>0</v>
      </c>
      <c r="AE42" s="81"/>
      <c r="AF42" s="81" t="s">
        <v>39</v>
      </c>
      <c r="AG42" s="83">
        <v>0</v>
      </c>
      <c r="AH42" s="95">
        <v>8000</v>
      </c>
      <c r="AI42" s="82" t="str">
        <f>CONCATENATE((TEXT(Tabela1[[#This Row],[Data entrega]],"mmmm")),"_",(YEAR(Tabela1[[#This Row],[Data entrega]])))</f>
        <v>abril_2022</v>
      </c>
      <c r="AJ42" s="77">
        <f>IFERROR(IF(Tabela1[[#This Row],[Programa]]="",Tabela1[[#This Row],[Peso bruto]],VLOOKUP(Tabela1[[#This Row],[Pedido]],'Saldo a Produzir'!$A:$D,4,0)),"")</f>
        <v>0</v>
      </c>
      <c r="AM42" s="73">
        <v>0</v>
      </c>
    </row>
    <row r="43" spans="1:39" ht="14.5" x14ac:dyDescent="0.35">
      <c r="A43" s="81">
        <v>15078</v>
      </c>
      <c r="B43" s="81" t="s">
        <v>341</v>
      </c>
      <c r="C43" s="81">
        <v>84046101024700</v>
      </c>
      <c r="D43" s="81" t="s">
        <v>231</v>
      </c>
      <c r="E43" s="81" t="s">
        <v>388</v>
      </c>
      <c r="F43" s="81" t="s">
        <v>103</v>
      </c>
      <c r="G43" s="81">
        <v>24938</v>
      </c>
      <c r="H43" s="81" t="s">
        <v>125</v>
      </c>
      <c r="I43" s="81" t="s">
        <v>32</v>
      </c>
      <c r="J43" s="81" t="s">
        <v>33</v>
      </c>
      <c r="K43" s="81" t="s">
        <v>34</v>
      </c>
      <c r="L43" s="81" t="s">
        <v>389</v>
      </c>
      <c r="M43" s="81">
        <v>4102657813</v>
      </c>
      <c r="N43" s="90">
        <v>44518</v>
      </c>
      <c r="O43" s="90">
        <v>44673</v>
      </c>
      <c r="P43" s="90">
        <v>44518</v>
      </c>
      <c r="Q43" s="90" t="s">
        <v>35</v>
      </c>
      <c r="R43" s="81">
        <v>0</v>
      </c>
      <c r="S43" s="90" t="s">
        <v>35</v>
      </c>
      <c r="T43" s="81">
        <v>0</v>
      </c>
      <c r="U43" s="81" t="s">
        <v>36</v>
      </c>
      <c r="V43" s="90" t="s">
        <v>35</v>
      </c>
      <c r="W43" s="81"/>
      <c r="X43" s="90" t="s">
        <v>37</v>
      </c>
      <c r="Y43" s="81" t="s">
        <v>38</v>
      </c>
      <c r="Z43" s="81">
        <v>2000</v>
      </c>
      <c r="AA43" s="81" t="s">
        <v>154</v>
      </c>
      <c r="AB43" s="81">
        <v>0</v>
      </c>
      <c r="AC43" s="81"/>
      <c r="AD43" s="81">
        <v>0</v>
      </c>
      <c r="AE43" s="81"/>
      <c r="AF43" s="81" t="s">
        <v>39</v>
      </c>
      <c r="AG43" s="83">
        <v>0</v>
      </c>
      <c r="AH43" s="95">
        <v>160650</v>
      </c>
      <c r="AI43" s="82" t="str">
        <f>CONCATENATE((TEXT(Tabela1[[#This Row],[Data entrega]],"mmmm")),"_",(YEAR(Tabela1[[#This Row],[Data entrega]])))</f>
        <v>abril_2022</v>
      </c>
      <c r="AJ43" s="77">
        <f>IFERROR(IF(Tabela1[[#This Row],[Programa]]="",Tabela1[[#This Row],[Peso bruto]],VLOOKUP(Tabela1[[#This Row],[Pedido]],'Saldo a Produzir'!$A:$D,4,0)),"")</f>
        <v>0</v>
      </c>
      <c r="AM43" s="73">
        <v>0</v>
      </c>
    </row>
    <row r="44" spans="1:39" ht="14.5" x14ac:dyDescent="0.35">
      <c r="A44" s="81">
        <v>15073</v>
      </c>
      <c r="B44" s="81" t="s">
        <v>172</v>
      </c>
      <c r="C44" s="81">
        <v>382468003375</v>
      </c>
      <c r="D44" s="81" t="s">
        <v>773</v>
      </c>
      <c r="E44" s="81" t="s">
        <v>558</v>
      </c>
      <c r="F44" s="81" t="s">
        <v>44</v>
      </c>
      <c r="G44" s="81">
        <v>25909</v>
      </c>
      <c r="H44" s="81" t="s">
        <v>125</v>
      </c>
      <c r="I44" s="81" t="s">
        <v>32</v>
      </c>
      <c r="J44" s="81" t="s">
        <v>33</v>
      </c>
      <c r="K44" s="81" t="s">
        <v>34</v>
      </c>
      <c r="L44" s="81" t="s">
        <v>774</v>
      </c>
      <c r="M44" s="81">
        <v>7503744187</v>
      </c>
      <c r="N44" s="90">
        <v>44665</v>
      </c>
      <c r="O44" s="90">
        <v>44676</v>
      </c>
      <c r="P44" s="90">
        <v>44665</v>
      </c>
      <c r="Q44" s="90" t="s">
        <v>35</v>
      </c>
      <c r="R44" s="81">
        <v>0</v>
      </c>
      <c r="S44" s="90" t="s">
        <v>35</v>
      </c>
      <c r="T44" s="81">
        <v>0</v>
      </c>
      <c r="U44" s="81" t="s">
        <v>36</v>
      </c>
      <c r="V44" s="90" t="s">
        <v>35</v>
      </c>
      <c r="W44" s="81"/>
      <c r="X44" s="90" t="s">
        <v>37</v>
      </c>
      <c r="Y44" s="81" t="s">
        <v>38</v>
      </c>
      <c r="Z44" s="81">
        <v>0</v>
      </c>
      <c r="AA44" s="81"/>
      <c r="AB44" s="81">
        <v>0</v>
      </c>
      <c r="AC44" s="81"/>
      <c r="AD44" s="81">
        <v>0</v>
      </c>
      <c r="AE44" s="81"/>
      <c r="AF44" s="81" t="s">
        <v>39</v>
      </c>
      <c r="AG44" s="83">
        <v>0</v>
      </c>
      <c r="AH44" s="95">
        <v>163800</v>
      </c>
      <c r="AI44" s="82" t="str">
        <f>CONCATENATE((TEXT(Tabela1[[#This Row],[Data entrega]],"mmmm")),"_",(YEAR(Tabela1[[#This Row],[Data entrega]])))</f>
        <v>abril_2022</v>
      </c>
      <c r="AJ44" s="77">
        <f>IFERROR(IF(Tabela1[[#This Row],[Programa]]="",Tabela1[[#This Row],[Peso bruto]],VLOOKUP(Tabela1[[#This Row],[Pedido]],'Saldo a Produzir'!$A:$D,4,0)),"")</f>
        <v>0</v>
      </c>
      <c r="AM44" s="73">
        <v>0</v>
      </c>
    </row>
    <row r="45" spans="1:39" ht="14.5" x14ac:dyDescent="0.35">
      <c r="A45" s="81">
        <v>15067</v>
      </c>
      <c r="B45" s="81" t="s">
        <v>59</v>
      </c>
      <c r="C45" s="81">
        <v>3961151000447</v>
      </c>
      <c r="D45" s="81" t="s">
        <v>409</v>
      </c>
      <c r="E45" s="81" t="s">
        <v>308</v>
      </c>
      <c r="F45" s="81" t="s">
        <v>64</v>
      </c>
      <c r="G45" s="81">
        <v>26022</v>
      </c>
      <c r="H45" s="81"/>
      <c r="I45" s="81" t="s">
        <v>32</v>
      </c>
      <c r="J45" s="81" t="s">
        <v>33</v>
      </c>
      <c r="K45" s="81" t="s">
        <v>997</v>
      </c>
      <c r="L45" s="81" t="s">
        <v>410</v>
      </c>
      <c r="M45" s="81"/>
      <c r="N45" s="90">
        <v>44680</v>
      </c>
      <c r="O45" s="90">
        <v>44680</v>
      </c>
      <c r="P45" s="90">
        <v>44680</v>
      </c>
      <c r="Q45" s="90" t="s">
        <v>35</v>
      </c>
      <c r="R45" s="81">
        <v>0</v>
      </c>
      <c r="S45" s="90" t="s">
        <v>35</v>
      </c>
      <c r="T45" s="81">
        <v>0</v>
      </c>
      <c r="U45" s="81" t="s">
        <v>36</v>
      </c>
      <c r="V45" s="90" t="s">
        <v>35</v>
      </c>
      <c r="W45" s="81"/>
      <c r="X45" s="90" t="s">
        <v>37</v>
      </c>
      <c r="Y45" s="81" t="s">
        <v>38</v>
      </c>
      <c r="Z45" s="81">
        <v>0</v>
      </c>
      <c r="AA45" s="81"/>
      <c r="AB45" s="81">
        <v>0</v>
      </c>
      <c r="AC45" s="81"/>
      <c r="AD45" s="81">
        <v>0</v>
      </c>
      <c r="AE45" s="81" t="s">
        <v>153</v>
      </c>
      <c r="AF45" s="81" t="s">
        <v>39</v>
      </c>
      <c r="AG45" s="83">
        <v>65262.671000000002</v>
      </c>
      <c r="AH45" s="95">
        <v>1185124.3400000001</v>
      </c>
      <c r="AI45" s="82" t="str">
        <f>CONCATENATE((TEXT(Tabela1[[#This Row],[Data entrega]],"mmmm")),"_",(YEAR(Tabela1[[#This Row],[Data entrega]])))</f>
        <v>abril_2022</v>
      </c>
      <c r="AJ45" s="77">
        <f>IFERROR(IF(Tabela1[[#This Row],[Programa]]="",Tabela1[[#This Row],[Peso bruto]],VLOOKUP(Tabela1[[#This Row],[Pedido]],'Saldo a Produzir'!$A:$D,4,0)),"")</f>
        <v>65262.671000000002</v>
      </c>
      <c r="AM45" s="73">
        <v>65262.671000000002</v>
      </c>
    </row>
    <row r="46" spans="1:39" ht="14.5" x14ac:dyDescent="0.35">
      <c r="A46" s="81">
        <v>15066</v>
      </c>
      <c r="B46" s="81" t="s">
        <v>72</v>
      </c>
      <c r="C46" s="81">
        <v>60409075006002</v>
      </c>
      <c r="D46" s="81" t="s">
        <v>811</v>
      </c>
      <c r="E46" s="81" t="s">
        <v>812</v>
      </c>
      <c r="F46" s="81" t="s">
        <v>56</v>
      </c>
      <c r="G46" s="81">
        <v>25969</v>
      </c>
      <c r="H46" s="81" t="s">
        <v>109</v>
      </c>
      <c r="I46" s="81" t="s">
        <v>32</v>
      </c>
      <c r="J46" s="81" t="s">
        <v>33</v>
      </c>
      <c r="K46" s="81" t="s">
        <v>34</v>
      </c>
      <c r="L46" s="81" t="s">
        <v>813</v>
      </c>
      <c r="M46" s="81">
        <v>4569470243</v>
      </c>
      <c r="N46" s="90">
        <v>44676</v>
      </c>
      <c r="O46" s="90">
        <v>44683</v>
      </c>
      <c r="P46" s="90">
        <v>44676</v>
      </c>
      <c r="Q46" s="90" t="s">
        <v>35</v>
      </c>
      <c r="R46" s="81">
        <v>0</v>
      </c>
      <c r="S46" s="90" t="s">
        <v>35</v>
      </c>
      <c r="T46" s="81">
        <v>0</v>
      </c>
      <c r="U46" s="81" t="s">
        <v>36</v>
      </c>
      <c r="V46" s="90" t="s">
        <v>35</v>
      </c>
      <c r="W46" s="81"/>
      <c r="X46" s="90" t="s">
        <v>37</v>
      </c>
      <c r="Y46" s="81" t="s">
        <v>38</v>
      </c>
      <c r="Z46" s="81">
        <v>944</v>
      </c>
      <c r="AA46" s="81" t="s">
        <v>152</v>
      </c>
      <c r="AB46" s="81">
        <v>0</v>
      </c>
      <c r="AC46" s="81"/>
      <c r="AD46" s="81">
        <v>0</v>
      </c>
      <c r="AE46" s="81"/>
      <c r="AF46" s="81" t="s">
        <v>39</v>
      </c>
      <c r="AG46" s="83">
        <v>0</v>
      </c>
      <c r="AH46" s="95">
        <v>21486</v>
      </c>
      <c r="AI46" s="82" t="str">
        <f>CONCATENATE((TEXT(Tabela1[[#This Row],[Data entrega]],"mmmm")),"_",(YEAR(Tabela1[[#This Row],[Data entrega]])))</f>
        <v>maio_2022</v>
      </c>
      <c r="AJ46" s="77">
        <f>IFERROR(IF(Tabela1[[#This Row],[Programa]]="",Tabela1[[#This Row],[Peso bruto]],VLOOKUP(Tabela1[[#This Row],[Pedido]],'Saldo a Produzir'!$A:$D,4,0)),"")</f>
        <v>0</v>
      </c>
      <c r="AM46" s="73">
        <v>0</v>
      </c>
    </row>
    <row r="47" spans="1:39" ht="14.5" x14ac:dyDescent="0.35">
      <c r="A47" s="81">
        <v>15064</v>
      </c>
      <c r="B47" s="81" t="s">
        <v>67</v>
      </c>
      <c r="C47" s="81">
        <v>776574003171</v>
      </c>
      <c r="D47" s="81" t="s">
        <v>721</v>
      </c>
      <c r="E47" s="81" t="s">
        <v>340</v>
      </c>
      <c r="F47" s="81" t="s">
        <v>53</v>
      </c>
      <c r="G47" s="81">
        <v>25849</v>
      </c>
      <c r="H47" s="81" t="s">
        <v>87</v>
      </c>
      <c r="I47" s="81" t="s">
        <v>32</v>
      </c>
      <c r="J47" s="81" t="s">
        <v>156</v>
      </c>
      <c r="K47" s="81" t="s">
        <v>34</v>
      </c>
      <c r="L47" s="81" t="s">
        <v>722</v>
      </c>
      <c r="M47" s="81" t="s">
        <v>723</v>
      </c>
      <c r="N47" s="90">
        <v>44651</v>
      </c>
      <c r="O47" s="90">
        <v>44687</v>
      </c>
      <c r="P47" s="90">
        <v>44655</v>
      </c>
      <c r="Q47" s="90">
        <v>44679</v>
      </c>
      <c r="R47" s="81">
        <v>6485</v>
      </c>
      <c r="S47" s="90">
        <v>44720</v>
      </c>
      <c r="T47" s="81">
        <v>7095</v>
      </c>
      <c r="U47" s="81" t="s">
        <v>36</v>
      </c>
      <c r="V47" s="90" t="s">
        <v>35</v>
      </c>
      <c r="W47" s="81" t="s">
        <v>735</v>
      </c>
      <c r="X47" s="90">
        <v>44657</v>
      </c>
      <c r="Y47" s="81" t="s">
        <v>38</v>
      </c>
      <c r="Z47" s="81">
        <v>0</v>
      </c>
      <c r="AA47" s="81"/>
      <c r="AB47" s="81">
        <v>0</v>
      </c>
      <c r="AC47" s="81"/>
      <c r="AD47" s="81">
        <v>0</v>
      </c>
      <c r="AE47" s="81" t="s">
        <v>153</v>
      </c>
      <c r="AF47" s="81" t="s">
        <v>39</v>
      </c>
      <c r="AG47" s="83">
        <v>3266.11</v>
      </c>
      <c r="AH47" s="95">
        <v>26794.5</v>
      </c>
      <c r="AI47" s="82" t="str">
        <f>CONCATENATE((TEXT(Tabela1[[#This Row],[Data entrega]],"mmmm")),"_",(YEAR(Tabela1[[#This Row],[Data entrega]])))</f>
        <v>maio_2022</v>
      </c>
      <c r="AJ47" s="77">
        <f>IFERROR(IF(Tabela1[[#This Row],[Programa]]="",Tabela1[[#This Row],[Peso bruto]],VLOOKUP(Tabela1[[#This Row],[Pedido]],'Saldo a Produzir'!$A:$D,4,0)),"")</f>
        <v>0</v>
      </c>
      <c r="AM47" s="73">
        <v>4141.0110000000004</v>
      </c>
    </row>
    <row r="48" spans="1:39" ht="14.5" x14ac:dyDescent="0.35">
      <c r="A48" s="81">
        <v>15064</v>
      </c>
      <c r="B48" s="81" t="s">
        <v>67</v>
      </c>
      <c r="C48" s="81">
        <v>776574003171</v>
      </c>
      <c r="D48" s="81" t="s">
        <v>721</v>
      </c>
      <c r="E48" s="81" t="s">
        <v>340</v>
      </c>
      <c r="F48" s="81" t="s">
        <v>53</v>
      </c>
      <c r="G48" s="81">
        <v>25850</v>
      </c>
      <c r="H48" s="81" t="s">
        <v>87</v>
      </c>
      <c r="I48" s="81" t="s">
        <v>32</v>
      </c>
      <c r="J48" s="81" t="s">
        <v>156</v>
      </c>
      <c r="K48" s="81" t="s">
        <v>34</v>
      </c>
      <c r="L48" s="81" t="s">
        <v>722</v>
      </c>
      <c r="M48" s="81" t="s">
        <v>723</v>
      </c>
      <c r="N48" s="90">
        <v>44651</v>
      </c>
      <c r="O48" s="90">
        <v>44687</v>
      </c>
      <c r="P48" s="90">
        <v>44655</v>
      </c>
      <c r="Q48" s="90">
        <v>44679</v>
      </c>
      <c r="R48" s="81">
        <v>6487</v>
      </c>
      <c r="S48" s="90">
        <v>44720</v>
      </c>
      <c r="T48" s="81">
        <v>7096</v>
      </c>
      <c r="U48" s="81" t="s">
        <v>36</v>
      </c>
      <c r="V48" s="90" t="s">
        <v>35</v>
      </c>
      <c r="W48" s="81" t="s">
        <v>735</v>
      </c>
      <c r="X48" s="90">
        <v>44657</v>
      </c>
      <c r="Y48" s="81" t="s">
        <v>38</v>
      </c>
      <c r="Z48" s="81">
        <v>0</v>
      </c>
      <c r="AA48" s="81"/>
      <c r="AB48" s="81">
        <v>0</v>
      </c>
      <c r="AC48" s="81"/>
      <c r="AD48" s="81">
        <v>0</v>
      </c>
      <c r="AE48" s="81" t="s">
        <v>153</v>
      </c>
      <c r="AF48" s="81" t="s">
        <v>39</v>
      </c>
      <c r="AG48" s="83">
        <v>3732.7</v>
      </c>
      <c r="AH48" s="95">
        <v>611964.79</v>
      </c>
      <c r="AI48" s="82" t="str">
        <f>CONCATENATE((TEXT(Tabela1[[#This Row],[Data entrega]],"mmmm")),"_",(YEAR(Tabela1[[#This Row],[Data entrega]])))</f>
        <v>maio_2022</v>
      </c>
      <c r="AJ48" s="77">
        <f>IFERROR(IF(Tabela1[[#This Row],[Programa]]="",Tabela1[[#This Row],[Peso bruto]],VLOOKUP(Tabela1[[#This Row],[Pedido]],'Saldo a Produzir'!$A:$D,4,0)),"")</f>
        <v>3732.7</v>
      </c>
      <c r="AM48" s="73">
        <v>32893.652999999998</v>
      </c>
    </row>
    <row r="49" spans="1:39" ht="14.5" x14ac:dyDescent="0.35">
      <c r="A49" s="81">
        <v>15064</v>
      </c>
      <c r="B49" s="81" t="s">
        <v>67</v>
      </c>
      <c r="C49" s="81">
        <v>776574002523</v>
      </c>
      <c r="D49" s="81" t="s">
        <v>721</v>
      </c>
      <c r="E49" s="81" t="s">
        <v>724</v>
      </c>
      <c r="F49" s="81" t="s">
        <v>252</v>
      </c>
      <c r="G49" s="81">
        <v>25865</v>
      </c>
      <c r="H49" s="81" t="s">
        <v>87</v>
      </c>
      <c r="I49" s="81" t="s">
        <v>32</v>
      </c>
      <c r="J49" s="81" t="s">
        <v>156</v>
      </c>
      <c r="K49" s="81" t="s">
        <v>34</v>
      </c>
      <c r="L49" s="81" t="s">
        <v>725</v>
      </c>
      <c r="M49" s="81" t="s">
        <v>726</v>
      </c>
      <c r="N49" s="90">
        <v>44651</v>
      </c>
      <c r="O49" s="90">
        <v>44687</v>
      </c>
      <c r="P49" s="90">
        <v>44656</v>
      </c>
      <c r="Q49" s="90">
        <v>44679</v>
      </c>
      <c r="R49" s="81">
        <v>6491</v>
      </c>
      <c r="S49" s="90">
        <v>44708</v>
      </c>
      <c r="T49" s="81">
        <v>6923</v>
      </c>
      <c r="U49" s="81" t="s">
        <v>36</v>
      </c>
      <c r="V49" s="90" t="s">
        <v>35</v>
      </c>
      <c r="W49" s="81" t="s">
        <v>736</v>
      </c>
      <c r="X49" s="90">
        <v>44657</v>
      </c>
      <c r="Y49" s="81" t="s">
        <v>38</v>
      </c>
      <c r="Z49" s="81">
        <v>0</v>
      </c>
      <c r="AA49" s="81"/>
      <c r="AB49" s="81">
        <v>0</v>
      </c>
      <c r="AC49" s="81"/>
      <c r="AD49" s="81">
        <v>0</v>
      </c>
      <c r="AE49" s="81" t="s">
        <v>153</v>
      </c>
      <c r="AF49" s="81" t="s">
        <v>39</v>
      </c>
      <c r="AG49" s="83">
        <v>2641.36</v>
      </c>
      <c r="AH49" s="95">
        <v>44095.5</v>
      </c>
      <c r="AI49" s="82" t="str">
        <f>CONCATENATE((TEXT(Tabela1[[#This Row],[Data entrega]],"mmmm")),"_",(YEAR(Tabela1[[#This Row],[Data entrega]])))</f>
        <v>maio_2022</v>
      </c>
      <c r="AJ49" s="77">
        <f>IFERROR(IF(Tabela1[[#This Row],[Programa]]="",Tabela1[[#This Row],[Peso bruto]],VLOOKUP(Tabela1[[#This Row],[Pedido]],'Saldo a Produzir'!$A:$D,4,0)),"")</f>
        <v>2641.36</v>
      </c>
      <c r="AM49" s="73">
        <v>3121.3150000000001</v>
      </c>
    </row>
    <row r="50" spans="1:39" ht="14.5" x14ac:dyDescent="0.35">
      <c r="A50" s="81">
        <v>15051</v>
      </c>
      <c r="B50" s="81" t="s">
        <v>40</v>
      </c>
      <c r="C50" s="81">
        <v>11283356000287</v>
      </c>
      <c r="D50" s="81" t="s">
        <v>299</v>
      </c>
      <c r="E50" s="81" t="s">
        <v>74</v>
      </c>
      <c r="F50" s="81" t="s">
        <v>75</v>
      </c>
      <c r="G50" s="81">
        <v>24575</v>
      </c>
      <c r="H50" s="81" t="s">
        <v>87</v>
      </c>
      <c r="I50" s="81" t="s">
        <v>32</v>
      </c>
      <c r="J50" s="81" t="s">
        <v>33</v>
      </c>
      <c r="K50" s="81" t="s">
        <v>34</v>
      </c>
      <c r="L50" s="81" t="s">
        <v>332</v>
      </c>
      <c r="M50" s="81"/>
      <c r="N50" s="90">
        <v>44469</v>
      </c>
      <c r="O50" s="90">
        <v>44694</v>
      </c>
      <c r="P50" s="90">
        <v>44629</v>
      </c>
      <c r="Q50" s="90" t="s">
        <v>35</v>
      </c>
      <c r="R50" s="81">
        <v>0</v>
      </c>
      <c r="S50" s="90" t="s">
        <v>35</v>
      </c>
      <c r="T50" s="81">
        <v>0</v>
      </c>
      <c r="U50" s="81" t="s">
        <v>36</v>
      </c>
      <c r="V50" s="90" t="s">
        <v>35</v>
      </c>
      <c r="W50" s="81"/>
      <c r="X50" s="90" t="s">
        <v>37</v>
      </c>
      <c r="Y50" s="81" t="s">
        <v>38</v>
      </c>
      <c r="Z50" s="81">
        <v>0</v>
      </c>
      <c r="AA50" s="81"/>
      <c r="AB50" s="81">
        <v>0</v>
      </c>
      <c r="AC50" s="81"/>
      <c r="AD50" s="81">
        <v>0</v>
      </c>
      <c r="AE50" s="81"/>
      <c r="AF50" s="81" t="s">
        <v>62</v>
      </c>
      <c r="AG50" s="83">
        <v>26206.954000000002</v>
      </c>
      <c r="AH50" s="95">
        <v>380000</v>
      </c>
      <c r="AI50" s="82" t="str">
        <f>CONCATENATE((TEXT(Tabela1[[#This Row],[Data entrega]],"mmmm")),"_",(YEAR(Tabela1[[#This Row],[Data entrega]])))</f>
        <v>maio_2022</v>
      </c>
      <c r="AJ50" s="77">
        <f>IFERROR(IF(Tabela1[[#This Row],[Programa]]="",Tabela1[[#This Row],[Peso bruto]],VLOOKUP(Tabela1[[#This Row],[Pedido]],'Saldo a Produzir'!$A:$D,4,0)),"")</f>
        <v>26206.954000000002</v>
      </c>
      <c r="AM50" s="73">
        <v>26206.954000000002</v>
      </c>
    </row>
    <row r="51" spans="1:39" ht="14.5" x14ac:dyDescent="0.35">
      <c r="A51" s="81">
        <v>15059</v>
      </c>
      <c r="B51" s="81" t="s">
        <v>63</v>
      </c>
      <c r="C51" s="81">
        <v>1333984000276</v>
      </c>
      <c r="D51" s="81" t="s">
        <v>163</v>
      </c>
      <c r="E51" s="81" t="s">
        <v>164</v>
      </c>
      <c r="F51" s="81" t="s">
        <v>64</v>
      </c>
      <c r="G51" s="81">
        <v>26055</v>
      </c>
      <c r="H51" s="81" t="s">
        <v>112</v>
      </c>
      <c r="I51" s="81" t="s">
        <v>976</v>
      </c>
      <c r="J51" s="81" t="s">
        <v>33</v>
      </c>
      <c r="K51" s="81" t="s">
        <v>978</v>
      </c>
      <c r="L51" s="81"/>
      <c r="M51" s="81"/>
      <c r="N51" s="90">
        <v>44684</v>
      </c>
      <c r="O51" s="90">
        <v>44698</v>
      </c>
      <c r="P51" s="90">
        <v>44685</v>
      </c>
      <c r="Q51" s="90" t="s">
        <v>35</v>
      </c>
      <c r="R51" s="81">
        <v>0</v>
      </c>
      <c r="S51" s="90" t="s">
        <v>35</v>
      </c>
      <c r="T51" s="81">
        <v>0</v>
      </c>
      <c r="U51" s="81" t="s">
        <v>36</v>
      </c>
      <c r="V51" s="90" t="s">
        <v>35</v>
      </c>
      <c r="W51" s="81" t="s">
        <v>1003</v>
      </c>
      <c r="X51" s="90">
        <v>44685</v>
      </c>
      <c r="Y51" s="81" t="s">
        <v>38</v>
      </c>
      <c r="Z51" s="81">
        <v>0</v>
      </c>
      <c r="AA51" s="81"/>
      <c r="AB51" s="81">
        <v>0</v>
      </c>
      <c r="AC51" s="81"/>
      <c r="AD51" s="81">
        <v>0</v>
      </c>
      <c r="AE51" s="81" t="s">
        <v>153</v>
      </c>
      <c r="AF51" s="81" t="s">
        <v>39</v>
      </c>
      <c r="AG51" s="83">
        <v>0</v>
      </c>
      <c r="AH51" s="95">
        <v>1</v>
      </c>
      <c r="AI51" s="82" t="str">
        <f>CONCATENATE((TEXT(Tabela1[[#This Row],[Data entrega]],"mmmm")),"_",(YEAR(Tabela1[[#This Row],[Data entrega]])))</f>
        <v>maio_2022</v>
      </c>
      <c r="AJ51" s="77">
        <f>IFERROR(IF(Tabela1[[#This Row],[Programa]]="",Tabela1[[#This Row],[Peso bruto]],VLOOKUP(Tabela1[[#This Row],[Pedido]],'Saldo a Produzir'!$A:$D,4,0)),"")</f>
        <v>0</v>
      </c>
      <c r="AM51" s="73">
        <v>24.6</v>
      </c>
    </row>
    <row r="52" spans="1:39" ht="14.5" x14ac:dyDescent="0.35">
      <c r="A52" s="81">
        <v>15064</v>
      </c>
      <c r="B52" s="81" t="s">
        <v>67</v>
      </c>
      <c r="C52" s="81">
        <v>776574003171</v>
      </c>
      <c r="D52" s="81" t="s">
        <v>721</v>
      </c>
      <c r="E52" s="81" t="s">
        <v>340</v>
      </c>
      <c r="F52" s="81" t="s">
        <v>53</v>
      </c>
      <c r="G52" s="81">
        <v>25848</v>
      </c>
      <c r="H52" s="81" t="s">
        <v>87</v>
      </c>
      <c r="I52" s="81" t="s">
        <v>32</v>
      </c>
      <c r="J52" s="81" t="s">
        <v>156</v>
      </c>
      <c r="K52" s="81" t="s">
        <v>34</v>
      </c>
      <c r="L52" s="81" t="s">
        <v>722</v>
      </c>
      <c r="M52" s="81" t="s">
        <v>723</v>
      </c>
      <c r="N52" s="90">
        <v>44651</v>
      </c>
      <c r="O52" s="90">
        <v>44700</v>
      </c>
      <c r="P52" s="90">
        <v>44655</v>
      </c>
      <c r="Q52" s="90">
        <v>44679</v>
      </c>
      <c r="R52" s="81">
        <v>6481</v>
      </c>
      <c r="S52" s="90">
        <v>44686</v>
      </c>
      <c r="T52" s="81">
        <v>6604</v>
      </c>
      <c r="U52" s="81" t="s">
        <v>36</v>
      </c>
      <c r="V52" s="90" t="s">
        <v>35</v>
      </c>
      <c r="W52" s="81" t="s">
        <v>735</v>
      </c>
      <c r="X52" s="90">
        <v>44657</v>
      </c>
      <c r="Y52" s="81" t="s">
        <v>38</v>
      </c>
      <c r="Z52" s="81">
        <v>0</v>
      </c>
      <c r="AA52" s="81"/>
      <c r="AB52" s="81">
        <v>0</v>
      </c>
      <c r="AC52" s="81"/>
      <c r="AD52" s="81">
        <v>0</v>
      </c>
      <c r="AE52" s="81" t="s">
        <v>153</v>
      </c>
      <c r="AF52" s="81" t="s">
        <v>39</v>
      </c>
      <c r="AG52" s="83">
        <v>3196.99</v>
      </c>
      <c r="AH52" s="95">
        <v>15148.49</v>
      </c>
      <c r="AI52" s="82" t="str">
        <f>CONCATENATE((TEXT(Tabela1[[#This Row],[Data entrega]],"mmmm")),"_",(YEAR(Tabela1[[#This Row],[Data entrega]])))</f>
        <v>maio_2022</v>
      </c>
      <c r="AJ52" s="77">
        <f>IFERROR(IF(Tabela1[[#This Row],[Programa]]="",Tabela1[[#This Row],[Peso bruto]],VLOOKUP(Tabela1[[#This Row],[Pedido]],'Saldo a Produzir'!$A:$D,4,0)),"")</f>
        <v>0</v>
      </c>
      <c r="AM52" s="73">
        <v>3712.4850000000001</v>
      </c>
    </row>
    <row r="53" spans="1:39" ht="14.5" x14ac:dyDescent="0.35">
      <c r="A53" s="81">
        <v>15064</v>
      </c>
      <c r="B53" s="81" t="s">
        <v>67</v>
      </c>
      <c r="C53" s="81">
        <v>776574002523</v>
      </c>
      <c r="D53" s="81" t="s">
        <v>721</v>
      </c>
      <c r="E53" s="81" t="s">
        <v>724</v>
      </c>
      <c r="F53" s="81" t="s">
        <v>252</v>
      </c>
      <c r="G53" s="81">
        <v>25852</v>
      </c>
      <c r="H53" s="81" t="s">
        <v>87</v>
      </c>
      <c r="I53" s="81" t="s">
        <v>32</v>
      </c>
      <c r="J53" s="81" t="s">
        <v>156</v>
      </c>
      <c r="K53" s="81" t="s">
        <v>34</v>
      </c>
      <c r="L53" s="81" t="s">
        <v>725</v>
      </c>
      <c r="M53" s="81" t="s">
        <v>726</v>
      </c>
      <c r="N53" s="90">
        <v>44651</v>
      </c>
      <c r="O53" s="90">
        <v>44700</v>
      </c>
      <c r="P53" s="90">
        <v>44655</v>
      </c>
      <c r="Q53" s="90">
        <v>44679</v>
      </c>
      <c r="R53" s="81">
        <v>6478</v>
      </c>
      <c r="S53" s="90">
        <v>44720</v>
      </c>
      <c r="T53" s="81">
        <v>7083</v>
      </c>
      <c r="U53" s="81" t="s">
        <v>36</v>
      </c>
      <c r="V53" s="90" t="s">
        <v>35</v>
      </c>
      <c r="W53" s="81" t="s">
        <v>736</v>
      </c>
      <c r="X53" s="90">
        <v>44657</v>
      </c>
      <c r="Y53" s="81" t="s">
        <v>38</v>
      </c>
      <c r="Z53" s="81">
        <v>0</v>
      </c>
      <c r="AA53" s="81"/>
      <c r="AB53" s="81">
        <v>0</v>
      </c>
      <c r="AC53" s="81"/>
      <c r="AD53" s="81">
        <v>0</v>
      </c>
      <c r="AE53" s="81" t="s">
        <v>153</v>
      </c>
      <c r="AF53" s="81" t="s">
        <v>39</v>
      </c>
      <c r="AG53" s="83">
        <v>2626.71</v>
      </c>
      <c r="AH53" s="95">
        <v>21358.39</v>
      </c>
      <c r="AI53" s="82" t="str">
        <f>CONCATENATE((TEXT(Tabela1[[#This Row],[Data entrega]],"mmmm")),"_",(YEAR(Tabela1[[#This Row],[Data entrega]])))</f>
        <v>maio_2022</v>
      </c>
      <c r="AJ53" s="77">
        <f>IFERROR(IF(Tabela1[[#This Row],[Programa]]="",Tabela1[[#This Row],[Peso bruto]],VLOOKUP(Tabela1[[#This Row],[Pedido]],'Saldo a Produzir'!$A:$D,4,0)),"")</f>
        <v>0</v>
      </c>
      <c r="AM53" s="73">
        <v>2804.6170000000002</v>
      </c>
    </row>
    <row r="54" spans="1:39" ht="14.5" x14ac:dyDescent="0.35">
      <c r="A54" s="81">
        <v>15908</v>
      </c>
      <c r="B54" s="81" t="s">
        <v>230</v>
      </c>
      <c r="C54" s="81">
        <v>92754738047983</v>
      </c>
      <c r="D54" s="81" t="s">
        <v>80</v>
      </c>
      <c r="E54" s="81" t="s">
        <v>177</v>
      </c>
      <c r="F54" s="81" t="s">
        <v>44</v>
      </c>
      <c r="G54" s="81">
        <v>26071</v>
      </c>
      <c r="H54" s="81" t="s">
        <v>86</v>
      </c>
      <c r="I54" s="81" t="s">
        <v>976</v>
      </c>
      <c r="J54" s="81" t="s">
        <v>156</v>
      </c>
      <c r="K54" s="81" t="s">
        <v>982</v>
      </c>
      <c r="L54" s="81"/>
      <c r="M54" s="81"/>
      <c r="N54" s="90">
        <v>44686</v>
      </c>
      <c r="O54" s="90">
        <v>44700</v>
      </c>
      <c r="P54" s="90">
        <v>44687</v>
      </c>
      <c r="Q54" s="90">
        <v>44687</v>
      </c>
      <c r="R54" s="81">
        <v>6628</v>
      </c>
      <c r="S54" s="90">
        <v>44694</v>
      </c>
      <c r="T54" s="81">
        <v>6719</v>
      </c>
      <c r="U54" s="81" t="s">
        <v>36</v>
      </c>
      <c r="V54" s="90" t="s">
        <v>35</v>
      </c>
      <c r="W54" s="81" t="s">
        <v>1009</v>
      </c>
      <c r="X54" s="90">
        <v>44687</v>
      </c>
      <c r="Y54" s="81" t="s">
        <v>38</v>
      </c>
      <c r="Z54" s="81">
        <v>0</v>
      </c>
      <c r="AA54" s="81"/>
      <c r="AB54" s="81">
        <v>0</v>
      </c>
      <c r="AC54" s="81"/>
      <c r="AD54" s="81">
        <v>0</v>
      </c>
      <c r="AE54" s="81" t="s">
        <v>153</v>
      </c>
      <c r="AF54" s="81" t="s">
        <v>39</v>
      </c>
      <c r="AG54" s="83">
        <v>0</v>
      </c>
      <c r="AH54" s="95">
        <v>1032.8699999999999</v>
      </c>
      <c r="AI54" s="82" t="str">
        <f>CONCATENATE((TEXT(Tabela1[[#This Row],[Data entrega]],"mmmm")),"_",(YEAR(Tabela1[[#This Row],[Data entrega]])))</f>
        <v>maio_2022</v>
      </c>
      <c r="AJ54" s="77">
        <f>IFERROR(IF(Tabela1[[#This Row],[Programa]]="",Tabela1[[#This Row],[Peso bruto]],VLOOKUP(Tabela1[[#This Row],[Pedido]],'Saldo a Produzir'!$A:$D,4,0)),"")</f>
        <v>0</v>
      </c>
      <c r="AM54" s="73">
        <v>294.08199999999999</v>
      </c>
    </row>
    <row r="55" spans="1:39" ht="14.5" x14ac:dyDescent="0.35">
      <c r="A55" s="81">
        <v>15070</v>
      </c>
      <c r="B55" s="81" t="s">
        <v>140</v>
      </c>
      <c r="C55" s="81">
        <v>3147206000137</v>
      </c>
      <c r="D55" s="81" t="s">
        <v>411</v>
      </c>
      <c r="E55" s="81" t="s">
        <v>343</v>
      </c>
      <c r="F55" s="81" t="s">
        <v>44</v>
      </c>
      <c r="G55" s="81">
        <v>25048</v>
      </c>
      <c r="H55" s="81" t="s">
        <v>88</v>
      </c>
      <c r="I55" s="81" t="s">
        <v>32</v>
      </c>
      <c r="J55" s="81" t="s">
        <v>33</v>
      </c>
      <c r="K55" s="81" t="s">
        <v>34</v>
      </c>
      <c r="L55" s="81" t="s">
        <v>412</v>
      </c>
      <c r="M55" s="81"/>
      <c r="N55" s="90">
        <v>44532</v>
      </c>
      <c r="O55" s="90">
        <v>44700</v>
      </c>
      <c r="P55" s="90">
        <v>44680</v>
      </c>
      <c r="Q55" s="90" t="s">
        <v>35</v>
      </c>
      <c r="R55" s="81">
        <v>0</v>
      </c>
      <c r="S55" s="90" t="s">
        <v>35</v>
      </c>
      <c r="T55" s="81">
        <v>0</v>
      </c>
      <c r="U55" s="81" t="s">
        <v>36</v>
      </c>
      <c r="V55" s="90" t="s">
        <v>35</v>
      </c>
      <c r="W55" s="81" t="s">
        <v>490</v>
      </c>
      <c r="X55" s="90">
        <v>44596</v>
      </c>
      <c r="Y55" s="81" t="s">
        <v>38</v>
      </c>
      <c r="Z55" s="81">
        <v>0</v>
      </c>
      <c r="AA55" s="81"/>
      <c r="AB55" s="81">
        <v>0</v>
      </c>
      <c r="AC55" s="81"/>
      <c r="AD55" s="81">
        <v>0</v>
      </c>
      <c r="AE55" s="81" t="s">
        <v>153</v>
      </c>
      <c r="AF55" s="81" t="s">
        <v>39</v>
      </c>
      <c r="AG55" s="83">
        <v>1647.76</v>
      </c>
      <c r="AH55" s="95">
        <v>551250</v>
      </c>
      <c r="AI55" s="82" t="str">
        <f>CONCATENATE((TEXT(Tabela1[[#This Row],[Data entrega]],"mmmm")),"_",(YEAR(Tabela1[[#This Row],[Data entrega]])))</f>
        <v>maio_2022</v>
      </c>
      <c r="AJ55" s="77">
        <f>IFERROR(IF(Tabela1[[#This Row],[Programa]]="",Tabela1[[#This Row],[Peso bruto]],VLOOKUP(Tabela1[[#This Row],[Pedido]],'Saldo a Produzir'!$A:$D,4,0)),"")</f>
        <v>1647.76</v>
      </c>
      <c r="AM55" s="73">
        <v>33969.74</v>
      </c>
    </row>
    <row r="56" spans="1:39" ht="14.5" x14ac:dyDescent="0.35">
      <c r="A56" s="81">
        <v>15061</v>
      </c>
      <c r="B56" s="81" t="s">
        <v>55</v>
      </c>
      <c r="C56" s="81">
        <v>85740000178</v>
      </c>
      <c r="D56" s="81" t="s">
        <v>401</v>
      </c>
      <c r="E56" s="81" t="s">
        <v>106</v>
      </c>
      <c r="F56" s="81" t="s">
        <v>56</v>
      </c>
      <c r="G56" s="81">
        <v>24995</v>
      </c>
      <c r="H56" s="81" t="s">
        <v>88</v>
      </c>
      <c r="I56" s="81" t="s">
        <v>32</v>
      </c>
      <c r="J56" s="81" t="s">
        <v>33</v>
      </c>
      <c r="K56" s="81" t="s">
        <v>34</v>
      </c>
      <c r="L56" s="81" t="s">
        <v>402</v>
      </c>
      <c r="M56" s="81"/>
      <c r="N56" s="90">
        <v>44525</v>
      </c>
      <c r="O56" s="90">
        <v>44700</v>
      </c>
      <c r="P56" s="90">
        <v>44692</v>
      </c>
      <c r="Q56" s="90" t="s">
        <v>35</v>
      </c>
      <c r="R56" s="81">
        <v>0</v>
      </c>
      <c r="S56" s="90" t="s">
        <v>35</v>
      </c>
      <c r="T56" s="81">
        <v>0</v>
      </c>
      <c r="U56" s="81" t="s">
        <v>36</v>
      </c>
      <c r="V56" s="90" t="s">
        <v>35</v>
      </c>
      <c r="W56" s="81" t="s">
        <v>491</v>
      </c>
      <c r="X56" s="90">
        <v>44599</v>
      </c>
      <c r="Y56" s="81" t="s">
        <v>38</v>
      </c>
      <c r="Z56" s="81">
        <v>0</v>
      </c>
      <c r="AA56" s="81"/>
      <c r="AB56" s="81">
        <v>0</v>
      </c>
      <c r="AC56" s="81"/>
      <c r="AD56" s="81">
        <v>0</v>
      </c>
      <c r="AE56" s="81" t="s">
        <v>153</v>
      </c>
      <c r="AF56" s="81" t="s">
        <v>39</v>
      </c>
      <c r="AG56" s="83">
        <v>985.02</v>
      </c>
      <c r="AH56" s="95">
        <v>144550</v>
      </c>
      <c r="AI56" s="82" t="str">
        <f>CONCATENATE((TEXT(Tabela1[[#This Row],[Data entrega]],"mmmm")),"_",(YEAR(Tabela1[[#This Row],[Data entrega]])))</f>
        <v>maio_2022</v>
      </c>
      <c r="AJ56" s="77">
        <f>IFERROR(IF(Tabela1[[#This Row],[Programa]]="",Tabela1[[#This Row],[Peso bruto]],VLOOKUP(Tabela1[[#This Row],[Pedido]],'Saldo a Produzir'!$A:$D,4,0)),"")</f>
        <v>985.02</v>
      </c>
      <c r="AM56" s="73">
        <v>6400.43</v>
      </c>
    </row>
    <row r="57" spans="1:39" ht="14.5" x14ac:dyDescent="0.35">
      <c r="A57" s="81">
        <v>15057</v>
      </c>
      <c r="B57" s="81" t="s">
        <v>60</v>
      </c>
      <c r="C57" s="81">
        <v>2290510000419</v>
      </c>
      <c r="D57" s="81" t="s">
        <v>932</v>
      </c>
      <c r="E57" s="81" t="s">
        <v>933</v>
      </c>
      <c r="F57" s="81" t="s">
        <v>58</v>
      </c>
      <c r="G57" s="81">
        <v>26114</v>
      </c>
      <c r="H57" s="81" t="s">
        <v>109</v>
      </c>
      <c r="I57" s="81" t="s">
        <v>32</v>
      </c>
      <c r="J57" s="81" t="s">
        <v>33</v>
      </c>
      <c r="K57" s="81" t="s">
        <v>34</v>
      </c>
      <c r="L57" s="81" t="s">
        <v>934</v>
      </c>
      <c r="M57" s="81">
        <v>4500340149</v>
      </c>
      <c r="N57" s="90">
        <v>44693</v>
      </c>
      <c r="O57" s="90">
        <v>44701</v>
      </c>
      <c r="P57" s="90">
        <v>44693</v>
      </c>
      <c r="Q57" s="90" t="s">
        <v>35</v>
      </c>
      <c r="R57" s="81">
        <v>0</v>
      </c>
      <c r="S57" s="90" t="s">
        <v>35</v>
      </c>
      <c r="T57" s="81">
        <v>0</v>
      </c>
      <c r="U57" s="81" t="s">
        <v>36</v>
      </c>
      <c r="V57" s="90" t="s">
        <v>35</v>
      </c>
      <c r="W57" s="81"/>
      <c r="X57" s="90" t="s">
        <v>37</v>
      </c>
      <c r="Y57" s="81" t="s">
        <v>38</v>
      </c>
      <c r="Z57" s="81">
        <v>13</v>
      </c>
      <c r="AA57" s="81" t="s">
        <v>149</v>
      </c>
      <c r="AB57" s="81">
        <v>0</v>
      </c>
      <c r="AC57" s="81"/>
      <c r="AD57" s="81">
        <v>0</v>
      </c>
      <c r="AE57" s="81"/>
      <c r="AF57" s="81" t="s">
        <v>39</v>
      </c>
      <c r="AG57" s="83">
        <v>0</v>
      </c>
      <c r="AH57" s="95">
        <v>8500</v>
      </c>
      <c r="AI57" s="82" t="str">
        <f>CONCATENATE((TEXT(Tabela1[[#This Row],[Data entrega]],"mmmm")),"_",(YEAR(Tabela1[[#This Row],[Data entrega]])))</f>
        <v>maio_2022</v>
      </c>
      <c r="AJ57" s="77">
        <f>IFERROR(IF(Tabela1[[#This Row],[Programa]]="",Tabela1[[#This Row],[Peso bruto]],VLOOKUP(Tabela1[[#This Row],[Pedido]],'Saldo a Produzir'!$A:$D,4,0)),"")</f>
        <v>0</v>
      </c>
      <c r="AM57" s="73">
        <v>0</v>
      </c>
    </row>
    <row r="58" spans="1:39" ht="14.5" x14ac:dyDescent="0.35">
      <c r="A58" s="81">
        <v>15074</v>
      </c>
      <c r="B58" s="81" t="s">
        <v>161</v>
      </c>
      <c r="C58" s="81">
        <v>48539407000207</v>
      </c>
      <c r="D58" s="81" t="s">
        <v>404</v>
      </c>
      <c r="E58" s="81" t="s">
        <v>405</v>
      </c>
      <c r="F58" s="81" t="s">
        <v>44</v>
      </c>
      <c r="G58" s="81">
        <v>25283</v>
      </c>
      <c r="H58" s="81" t="s">
        <v>125</v>
      </c>
      <c r="I58" s="81" t="s">
        <v>32</v>
      </c>
      <c r="J58" s="81" t="s">
        <v>33</v>
      </c>
      <c r="K58" s="81" t="s">
        <v>34</v>
      </c>
      <c r="L58" s="81" t="s">
        <v>442</v>
      </c>
      <c r="M58" s="81">
        <v>4969531368</v>
      </c>
      <c r="N58" s="90">
        <v>44574</v>
      </c>
      <c r="O58" s="90">
        <v>44701</v>
      </c>
      <c r="P58" s="90">
        <v>44574</v>
      </c>
      <c r="Q58" s="90" t="s">
        <v>35</v>
      </c>
      <c r="R58" s="81">
        <v>0</v>
      </c>
      <c r="S58" s="90" t="s">
        <v>35</v>
      </c>
      <c r="T58" s="81">
        <v>0</v>
      </c>
      <c r="U58" s="81" t="s">
        <v>36</v>
      </c>
      <c r="V58" s="90" t="s">
        <v>35</v>
      </c>
      <c r="W58" s="81"/>
      <c r="X58" s="90" t="s">
        <v>37</v>
      </c>
      <c r="Y58" s="81" t="s">
        <v>38</v>
      </c>
      <c r="Z58" s="81">
        <v>44</v>
      </c>
      <c r="AA58" s="81" t="s">
        <v>151</v>
      </c>
      <c r="AB58" s="81">
        <v>0</v>
      </c>
      <c r="AC58" s="81"/>
      <c r="AD58" s="81">
        <v>0</v>
      </c>
      <c r="AE58" s="81"/>
      <c r="AF58" s="81" t="s">
        <v>39</v>
      </c>
      <c r="AG58" s="83">
        <v>0</v>
      </c>
      <c r="AH58" s="95">
        <v>2550</v>
      </c>
      <c r="AI58" s="82" t="str">
        <f>CONCATENATE((TEXT(Tabela1[[#This Row],[Data entrega]],"mmmm")),"_",(YEAR(Tabela1[[#This Row],[Data entrega]])))</f>
        <v>maio_2022</v>
      </c>
      <c r="AJ58" s="77">
        <f>IFERROR(IF(Tabela1[[#This Row],[Programa]]="",Tabela1[[#This Row],[Peso bruto]],VLOOKUP(Tabela1[[#This Row],[Pedido]],'Saldo a Produzir'!$A:$D,4,0)),"")</f>
        <v>0</v>
      </c>
      <c r="AM58" s="73">
        <v>0</v>
      </c>
    </row>
    <row r="59" spans="1:39" ht="14.5" x14ac:dyDescent="0.35">
      <c r="A59" s="81">
        <v>15064</v>
      </c>
      <c r="B59" s="81" t="s">
        <v>67</v>
      </c>
      <c r="C59" s="81">
        <v>1838723032592</v>
      </c>
      <c r="D59" s="81" t="s">
        <v>139</v>
      </c>
      <c r="E59" s="81" t="s">
        <v>66</v>
      </c>
      <c r="F59" s="81" t="s">
        <v>44</v>
      </c>
      <c r="G59" s="81">
        <v>25526</v>
      </c>
      <c r="H59" s="81" t="s">
        <v>125</v>
      </c>
      <c r="I59" s="81" t="s">
        <v>32</v>
      </c>
      <c r="J59" s="81" t="s">
        <v>33</v>
      </c>
      <c r="K59" s="81" t="s">
        <v>34</v>
      </c>
      <c r="L59" s="81" t="s">
        <v>533</v>
      </c>
      <c r="M59" s="81">
        <v>105059059</v>
      </c>
      <c r="N59" s="90">
        <v>44617</v>
      </c>
      <c r="O59" s="90">
        <v>44701</v>
      </c>
      <c r="P59" s="90">
        <v>44617</v>
      </c>
      <c r="Q59" s="90" t="s">
        <v>35</v>
      </c>
      <c r="R59" s="81">
        <v>0</v>
      </c>
      <c r="S59" s="90" t="s">
        <v>35</v>
      </c>
      <c r="T59" s="81">
        <v>0</v>
      </c>
      <c r="U59" s="81" t="s">
        <v>36</v>
      </c>
      <c r="V59" s="90" t="s">
        <v>35</v>
      </c>
      <c r="W59" s="81"/>
      <c r="X59" s="90" t="s">
        <v>37</v>
      </c>
      <c r="Y59" s="81" t="s">
        <v>38</v>
      </c>
      <c r="Z59" s="81">
        <v>482</v>
      </c>
      <c r="AA59" s="81" t="s">
        <v>200</v>
      </c>
      <c r="AB59" s="81">
        <v>0</v>
      </c>
      <c r="AC59" s="81"/>
      <c r="AD59" s="81">
        <v>0</v>
      </c>
      <c r="AE59" s="81"/>
      <c r="AF59" s="81" t="s">
        <v>39</v>
      </c>
      <c r="AG59" s="83">
        <v>0</v>
      </c>
      <c r="AH59" s="95">
        <v>109530</v>
      </c>
      <c r="AI59" s="82" t="str">
        <f>CONCATENATE((TEXT(Tabela1[[#This Row],[Data entrega]],"mmmm")),"_",(YEAR(Tabela1[[#This Row],[Data entrega]])))</f>
        <v>maio_2022</v>
      </c>
      <c r="AJ59" s="77">
        <f>IFERROR(IF(Tabela1[[#This Row],[Programa]]="",Tabela1[[#This Row],[Peso bruto]],VLOOKUP(Tabela1[[#This Row],[Pedido]],'Saldo a Produzir'!$A:$D,4,0)),"")</f>
        <v>0</v>
      </c>
      <c r="AM59" s="73">
        <v>0</v>
      </c>
    </row>
    <row r="60" spans="1:39" ht="14.5" x14ac:dyDescent="0.35">
      <c r="A60" s="81">
        <v>15054</v>
      </c>
      <c r="B60" s="81" t="s">
        <v>70</v>
      </c>
      <c r="C60" s="81">
        <v>60498706037077</v>
      </c>
      <c r="D60" s="81" t="s">
        <v>935</v>
      </c>
      <c r="E60" s="81" t="s">
        <v>564</v>
      </c>
      <c r="F60" s="81" t="s">
        <v>132</v>
      </c>
      <c r="G60" s="81">
        <v>29163</v>
      </c>
      <c r="H60" s="81" t="s">
        <v>109</v>
      </c>
      <c r="I60" s="81" t="s">
        <v>32</v>
      </c>
      <c r="J60" s="81" t="s">
        <v>33</v>
      </c>
      <c r="K60" s="81" t="s">
        <v>34</v>
      </c>
      <c r="L60" s="81" t="s">
        <v>936</v>
      </c>
      <c r="M60" s="81">
        <v>4511867464</v>
      </c>
      <c r="N60" s="90">
        <v>44694</v>
      </c>
      <c r="O60" s="90">
        <v>44701</v>
      </c>
      <c r="P60" s="90">
        <v>44697</v>
      </c>
      <c r="Q60" s="90" t="s">
        <v>35</v>
      </c>
      <c r="R60" s="81">
        <v>0</v>
      </c>
      <c r="S60" s="90" t="s">
        <v>35</v>
      </c>
      <c r="T60" s="81">
        <v>0</v>
      </c>
      <c r="U60" s="81" t="s">
        <v>36</v>
      </c>
      <c r="V60" s="90" t="s">
        <v>35</v>
      </c>
      <c r="W60" s="81"/>
      <c r="X60" s="90" t="s">
        <v>37</v>
      </c>
      <c r="Y60" s="81" t="s">
        <v>38</v>
      </c>
      <c r="Z60" s="81">
        <v>879</v>
      </c>
      <c r="AA60" s="81" t="s">
        <v>45</v>
      </c>
      <c r="AB60" s="81">
        <v>0</v>
      </c>
      <c r="AC60" s="81"/>
      <c r="AD60" s="81">
        <v>0</v>
      </c>
      <c r="AE60" s="81"/>
      <c r="AF60" s="81" t="s">
        <v>39</v>
      </c>
      <c r="AG60" s="83">
        <v>0</v>
      </c>
      <c r="AH60" s="95">
        <v>22186</v>
      </c>
      <c r="AI60" s="82" t="str">
        <f>CONCATENATE((TEXT(Tabela1[[#This Row],[Data entrega]],"mmmm")),"_",(YEAR(Tabela1[[#This Row],[Data entrega]])))</f>
        <v>maio_2022</v>
      </c>
      <c r="AJ60" s="77">
        <f>IFERROR(IF(Tabela1[[#This Row],[Programa]]="",Tabela1[[#This Row],[Peso bruto]],VLOOKUP(Tabela1[[#This Row],[Pedido]],'Saldo a Produzir'!$A:$D,4,0)),"")</f>
        <v>0</v>
      </c>
      <c r="AM60" s="73">
        <v>0</v>
      </c>
    </row>
    <row r="61" spans="1:39" ht="14.5" x14ac:dyDescent="0.35">
      <c r="A61" s="81">
        <v>15909</v>
      </c>
      <c r="B61" s="81" t="s">
        <v>223</v>
      </c>
      <c r="C61" s="81">
        <v>92754738047983</v>
      </c>
      <c r="D61" s="81" t="s">
        <v>80</v>
      </c>
      <c r="E61" s="81" t="s">
        <v>177</v>
      </c>
      <c r="F61" s="81" t="s">
        <v>44</v>
      </c>
      <c r="G61" s="81">
        <v>26116</v>
      </c>
      <c r="H61" s="81" t="s">
        <v>125</v>
      </c>
      <c r="I61" s="81" t="s">
        <v>32</v>
      </c>
      <c r="J61" s="81" t="s">
        <v>33</v>
      </c>
      <c r="K61" s="81" t="s">
        <v>34</v>
      </c>
      <c r="L61" s="81" t="s">
        <v>937</v>
      </c>
      <c r="M61" s="81">
        <v>2462863</v>
      </c>
      <c r="N61" s="90">
        <v>44693</v>
      </c>
      <c r="O61" s="90">
        <v>44701</v>
      </c>
      <c r="P61" s="90">
        <v>44693</v>
      </c>
      <c r="Q61" s="90" t="s">
        <v>35</v>
      </c>
      <c r="R61" s="81">
        <v>0</v>
      </c>
      <c r="S61" s="90" t="s">
        <v>35</v>
      </c>
      <c r="T61" s="81">
        <v>0</v>
      </c>
      <c r="U61" s="81" t="s">
        <v>36</v>
      </c>
      <c r="V61" s="90" t="s">
        <v>35</v>
      </c>
      <c r="W61" s="81"/>
      <c r="X61" s="90" t="s">
        <v>37</v>
      </c>
      <c r="Y61" s="81" t="s">
        <v>38</v>
      </c>
      <c r="Z61" s="81">
        <v>2000</v>
      </c>
      <c r="AA61" s="81" t="s">
        <v>154</v>
      </c>
      <c r="AB61" s="81">
        <v>0</v>
      </c>
      <c r="AC61" s="81"/>
      <c r="AD61" s="81">
        <v>0</v>
      </c>
      <c r="AE61" s="81"/>
      <c r="AF61" s="81" t="s">
        <v>39</v>
      </c>
      <c r="AG61" s="83">
        <v>0</v>
      </c>
      <c r="AH61" s="95">
        <v>439100</v>
      </c>
      <c r="AI61" s="82" t="str">
        <f>CONCATENATE((TEXT(Tabela1[[#This Row],[Data entrega]],"mmmm")),"_",(YEAR(Tabela1[[#This Row],[Data entrega]])))</f>
        <v>maio_2022</v>
      </c>
      <c r="AJ61" s="77">
        <f>IFERROR(IF(Tabela1[[#This Row],[Programa]]="",Tabela1[[#This Row],[Peso bruto]],VLOOKUP(Tabela1[[#This Row],[Pedido]],'Saldo a Produzir'!$A:$D,4,0)),"")</f>
        <v>0</v>
      </c>
      <c r="AM61" s="73">
        <v>0</v>
      </c>
    </row>
    <row r="62" spans="1:39" ht="14.5" x14ac:dyDescent="0.35">
      <c r="A62" s="81">
        <v>15073</v>
      </c>
      <c r="B62" s="81" t="s">
        <v>172</v>
      </c>
      <c r="C62" s="81">
        <v>60409075010034</v>
      </c>
      <c r="D62" s="81" t="s">
        <v>811</v>
      </c>
      <c r="E62" s="81" t="s">
        <v>558</v>
      </c>
      <c r="F62" s="81" t="s">
        <v>44</v>
      </c>
      <c r="G62" s="81">
        <v>26101</v>
      </c>
      <c r="H62" s="81" t="s">
        <v>109</v>
      </c>
      <c r="I62" s="81" t="s">
        <v>32</v>
      </c>
      <c r="J62" s="81" t="s">
        <v>33</v>
      </c>
      <c r="K62" s="81" t="s">
        <v>34</v>
      </c>
      <c r="L62" s="81" t="s">
        <v>898</v>
      </c>
      <c r="M62" s="81">
        <v>4569692053</v>
      </c>
      <c r="N62" s="90">
        <v>44692</v>
      </c>
      <c r="O62" s="90">
        <v>44701</v>
      </c>
      <c r="P62" s="90">
        <v>44692</v>
      </c>
      <c r="Q62" s="90" t="s">
        <v>35</v>
      </c>
      <c r="R62" s="81">
        <v>0</v>
      </c>
      <c r="S62" s="90" t="s">
        <v>35</v>
      </c>
      <c r="T62" s="81">
        <v>0</v>
      </c>
      <c r="U62" s="81" t="s">
        <v>36</v>
      </c>
      <c r="V62" s="90" t="s">
        <v>35</v>
      </c>
      <c r="W62" s="81"/>
      <c r="X62" s="90" t="s">
        <v>37</v>
      </c>
      <c r="Y62" s="81" t="s">
        <v>38</v>
      </c>
      <c r="Z62" s="81">
        <v>944</v>
      </c>
      <c r="AA62" s="81" t="s">
        <v>152</v>
      </c>
      <c r="AB62" s="81">
        <v>0</v>
      </c>
      <c r="AC62" s="81"/>
      <c r="AD62" s="81">
        <v>0</v>
      </c>
      <c r="AE62" s="81"/>
      <c r="AF62" s="81" t="s">
        <v>39</v>
      </c>
      <c r="AG62" s="83">
        <v>0</v>
      </c>
      <c r="AH62" s="95">
        <v>18600</v>
      </c>
      <c r="AI62" s="82" t="str">
        <f>CONCATENATE((TEXT(Tabela1[[#This Row],[Data entrega]],"mmmm")),"_",(YEAR(Tabela1[[#This Row],[Data entrega]])))</f>
        <v>maio_2022</v>
      </c>
      <c r="AJ62" s="77">
        <f>IFERROR(IF(Tabela1[[#This Row],[Programa]]="",Tabela1[[#This Row],[Peso bruto]],VLOOKUP(Tabela1[[#This Row],[Pedido]],'Saldo a Produzir'!$A:$D,4,0)),"")</f>
        <v>0</v>
      </c>
      <c r="AM62" s="73">
        <v>0</v>
      </c>
    </row>
    <row r="63" spans="1:39" ht="14.5" x14ac:dyDescent="0.35">
      <c r="A63" s="81">
        <v>15064</v>
      </c>
      <c r="B63" s="81" t="s">
        <v>67</v>
      </c>
      <c r="C63" s="81">
        <v>776574003171</v>
      </c>
      <c r="D63" s="81" t="s">
        <v>721</v>
      </c>
      <c r="E63" s="81" t="s">
        <v>340</v>
      </c>
      <c r="F63" s="81" t="s">
        <v>53</v>
      </c>
      <c r="G63" s="81">
        <v>25863</v>
      </c>
      <c r="H63" s="81" t="s">
        <v>87</v>
      </c>
      <c r="I63" s="81" t="s">
        <v>32</v>
      </c>
      <c r="J63" s="81" t="s">
        <v>156</v>
      </c>
      <c r="K63" s="81" t="s">
        <v>34</v>
      </c>
      <c r="L63" s="81" t="s">
        <v>722</v>
      </c>
      <c r="M63" s="81" t="s">
        <v>723</v>
      </c>
      <c r="N63" s="90">
        <v>44651</v>
      </c>
      <c r="O63" s="90">
        <v>44704</v>
      </c>
      <c r="P63" s="90">
        <v>44656</v>
      </c>
      <c r="Q63" s="90">
        <v>44691</v>
      </c>
      <c r="R63" s="81">
        <v>6648</v>
      </c>
      <c r="S63" s="90">
        <v>44691</v>
      </c>
      <c r="T63" s="81">
        <v>6653</v>
      </c>
      <c r="U63" s="81" t="s">
        <v>36</v>
      </c>
      <c r="V63" s="90" t="s">
        <v>35</v>
      </c>
      <c r="W63" s="81" t="s">
        <v>735</v>
      </c>
      <c r="X63" s="90">
        <v>44657</v>
      </c>
      <c r="Y63" s="81" t="s">
        <v>38</v>
      </c>
      <c r="Z63" s="81">
        <v>0</v>
      </c>
      <c r="AA63" s="81"/>
      <c r="AB63" s="81">
        <v>0</v>
      </c>
      <c r="AC63" s="81"/>
      <c r="AD63" s="81">
        <v>0</v>
      </c>
      <c r="AE63" s="81" t="s">
        <v>153</v>
      </c>
      <c r="AF63" s="81" t="s">
        <v>39</v>
      </c>
      <c r="AG63" s="83">
        <v>36952.129999999997</v>
      </c>
      <c r="AH63" s="95">
        <v>803179.22</v>
      </c>
      <c r="AI63" s="82" t="str">
        <f>CONCATENATE((TEXT(Tabela1[[#This Row],[Data entrega]],"mmmm")),"_",(YEAR(Tabela1[[#This Row],[Data entrega]])))</f>
        <v>maio_2022</v>
      </c>
      <c r="AJ63" s="77">
        <f>IFERROR(IF(Tabela1[[#This Row],[Programa]]="",Tabela1[[#This Row],[Peso bruto]],VLOOKUP(Tabela1[[#This Row],[Pedido]],'Saldo a Produzir'!$A:$D,4,0)),"")</f>
        <v>3266.11</v>
      </c>
      <c r="AM63" s="73">
        <v>37721.697999999997</v>
      </c>
    </row>
    <row r="64" spans="1:39" ht="14.5" x14ac:dyDescent="0.35">
      <c r="A64" s="81">
        <v>15064</v>
      </c>
      <c r="B64" s="81" t="s">
        <v>67</v>
      </c>
      <c r="C64" s="81">
        <v>776574003171</v>
      </c>
      <c r="D64" s="81" t="s">
        <v>721</v>
      </c>
      <c r="E64" s="81" t="s">
        <v>340</v>
      </c>
      <c r="F64" s="81" t="s">
        <v>53</v>
      </c>
      <c r="G64" s="81">
        <v>25864</v>
      </c>
      <c r="H64" s="81" t="s">
        <v>87</v>
      </c>
      <c r="I64" s="81" t="s">
        <v>32</v>
      </c>
      <c r="J64" s="81" t="s">
        <v>156</v>
      </c>
      <c r="K64" s="81" t="s">
        <v>34</v>
      </c>
      <c r="L64" s="81" t="s">
        <v>722</v>
      </c>
      <c r="M64" s="81" t="s">
        <v>723</v>
      </c>
      <c r="N64" s="90">
        <v>44651</v>
      </c>
      <c r="O64" s="90">
        <v>44704</v>
      </c>
      <c r="P64" s="90">
        <v>44656</v>
      </c>
      <c r="Q64" s="90">
        <v>44679</v>
      </c>
      <c r="R64" s="81">
        <v>6490</v>
      </c>
      <c r="S64" s="90">
        <v>44714</v>
      </c>
      <c r="T64" s="81">
        <v>7038</v>
      </c>
      <c r="U64" s="81" t="s">
        <v>36</v>
      </c>
      <c r="V64" s="90" t="s">
        <v>35</v>
      </c>
      <c r="W64" s="81" t="s">
        <v>735</v>
      </c>
      <c r="X64" s="90">
        <v>44657</v>
      </c>
      <c r="Y64" s="81" t="s">
        <v>38</v>
      </c>
      <c r="Z64" s="81">
        <v>0</v>
      </c>
      <c r="AA64" s="81"/>
      <c r="AB64" s="81">
        <v>0</v>
      </c>
      <c r="AC64" s="81"/>
      <c r="AD64" s="81">
        <v>0</v>
      </c>
      <c r="AE64" s="81" t="s">
        <v>153</v>
      </c>
      <c r="AF64" s="81" t="s">
        <v>39</v>
      </c>
      <c r="AG64" s="83">
        <v>23946.57</v>
      </c>
      <c r="AH64" s="95">
        <v>420447.93</v>
      </c>
      <c r="AI64" s="82" t="str">
        <f>CONCATENATE((TEXT(Tabela1[[#This Row],[Data entrega]],"mmmm")),"_",(YEAR(Tabela1[[#This Row],[Data entrega]])))</f>
        <v>maio_2022</v>
      </c>
      <c r="AJ64" s="77">
        <f>IFERROR(IF(Tabela1[[#This Row],[Programa]]="",Tabela1[[#This Row],[Peso bruto]],VLOOKUP(Tabela1[[#This Row],[Pedido]],'Saldo a Produzir'!$A:$D,4,0)),"")</f>
        <v>3179.7</v>
      </c>
      <c r="AM64" s="73">
        <v>25818.888999999999</v>
      </c>
    </row>
    <row r="65" spans="1:39" ht="14.5" x14ac:dyDescent="0.35">
      <c r="A65" s="81">
        <v>15064</v>
      </c>
      <c r="B65" s="81" t="s">
        <v>67</v>
      </c>
      <c r="C65" s="81">
        <v>776574002523</v>
      </c>
      <c r="D65" s="81" t="s">
        <v>721</v>
      </c>
      <c r="E65" s="81" t="s">
        <v>724</v>
      </c>
      <c r="F65" s="81" t="s">
        <v>252</v>
      </c>
      <c r="G65" s="81">
        <v>25866</v>
      </c>
      <c r="H65" s="81" t="s">
        <v>87</v>
      </c>
      <c r="I65" s="81" t="s">
        <v>32</v>
      </c>
      <c r="J65" s="81" t="s">
        <v>156</v>
      </c>
      <c r="K65" s="81" t="s">
        <v>34</v>
      </c>
      <c r="L65" s="81" t="s">
        <v>725</v>
      </c>
      <c r="M65" s="81" t="s">
        <v>726</v>
      </c>
      <c r="N65" s="90">
        <v>44651</v>
      </c>
      <c r="O65" s="90">
        <v>44705</v>
      </c>
      <c r="P65" s="90">
        <v>44656</v>
      </c>
      <c r="Q65" s="90">
        <v>44679</v>
      </c>
      <c r="R65" s="81">
        <v>6497</v>
      </c>
      <c r="S65" s="90">
        <v>44708</v>
      </c>
      <c r="T65" s="81">
        <v>6924</v>
      </c>
      <c r="U65" s="81" t="s">
        <v>36</v>
      </c>
      <c r="V65" s="90" t="s">
        <v>35</v>
      </c>
      <c r="W65" s="81" t="s">
        <v>736</v>
      </c>
      <c r="X65" s="90">
        <v>44657</v>
      </c>
      <c r="Y65" s="81" t="s">
        <v>38</v>
      </c>
      <c r="Z65" s="81">
        <v>0</v>
      </c>
      <c r="AA65" s="81"/>
      <c r="AB65" s="81">
        <v>0</v>
      </c>
      <c r="AC65" s="81"/>
      <c r="AD65" s="81">
        <v>0</v>
      </c>
      <c r="AE65" s="81" t="s">
        <v>153</v>
      </c>
      <c r="AF65" s="81" t="s">
        <v>39</v>
      </c>
      <c r="AG65" s="83">
        <v>20409.810000000001</v>
      </c>
      <c r="AH65" s="95">
        <v>676770.11</v>
      </c>
      <c r="AI65" s="82" t="str">
        <f>CONCATENATE((TEXT(Tabela1[[#This Row],[Data entrega]],"mmmm")),"_",(YEAR(Tabela1[[#This Row],[Data entrega]])))</f>
        <v>maio_2022</v>
      </c>
      <c r="AJ65" s="77">
        <f>IFERROR(IF(Tabela1[[#This Row],[Programa]]="",Tabela1[[#This Row],[Peso bruto]],VLOOKUP(Tabela1[[#This Row],[Pedido]],'Saldo a Produzir'!$A:$D,4,0)),"")</f>
        <v>2592.15</v>
      </c>
      <c r="AM65" s="73">
        <v>22844.196</v>
      </c>
    </row>
    <row r="66" spans="1:39" ht="14.5" x14ac:dyDescent="0.35">
      <c r="A66" s="81">
        <v>15917</v>
      </c>
      <c r="B66" s="81" t="s">
        <v>300</v>
      </c>
      <c r="C66" s="81">
        <v>4103609000147</v>
      </c>
      <c r="D66" s="81" t="s">
        <v>406</v>
      </c>
      <c r="E66" s="81" t="s">
        <v>77</v>
      </c>
      <c r="F66" s="81" t="s">
        <v>58</v>
      </c>
      <c r="G66" s="81">
        <v>24989</v>
      </c>
      <c r="H66" s="81"/>
      <c r="I66" s="81" t="s">
        <v>32</v>
      </c>
      <c r="J66" s="81" t="s">
        <v>33</v>
      </c>
      <c r="K66" s="81" t="s">
        <v>34</v>
      </c>
      <c r="L66" s="81"/>
      <c r="M66" s="81"/>
      <c r="N66" s="90">
        <v>44525</v>
      </c>
      <c r="O66" s="90">
        <v>44705</v>
      </c>
      <c r="P66" s="90">
        <v>44525</v>
      </c>
      <c r="Q66" s="90" t="s">
        <v>35</v>
      </c>
      <c r="R66" s="81">
        <v>0</v>
      </c>
      <c r="S66" s="90" t="s">
        <v>35</v>
      </c>
      <c r="T66" s="81">
        <v>0</v>
      </c>
      <c r="U66" s="81" t="s">
        <v>36</v>
      </c>
      <c r="V66" s="90" t="s">
        <v>35</v>
      </c>
      <c r="W66" s="81"/>
      <c r="X66" s="90" t="s">
        <v>37</v>
      </c>
      <c r="Y66" s="81" t="s">
        <v>38</v>
      </c>
      <c r="Z66" s="81">
        <v>168</v>
      </c>
      <c r="AA66" s="81" t="s">
        <v>154</v>
      </c>
      <c r="AB66" s="81">
        <v>0</v>
      </c>
      <c r="AC66" s="81"/>
      <c r="AD66" s="81">
        <v>0</v>
      </c>
      <c r="AE66" s="81"/>
      <c r="AF66" s="81" t="s">
        <v>62</v>
      </c>
      <c r="AG66" s="83">
        <v>0</v>
      </c>
      <c r="AH66" s="95">
        <v>3045</v>
      </c>
      <c r="AI66" s="82" t="str">
        <f>CONCATENATE((TEXT(Tabela1[[#This Row],[Data entrega]],"mmmm")),"_",(YEAR(Tabela1[[#This Row],[Data entrega]])))</f>
        <v>maio_2022</v>
      </c>
      <c r="AJ66" s="77">
        <f>IFERROR(IF(Tabela1[[#This Row],[Programa]]="",Tabela1[[#This Row],[Peso bruto]],VLOOKUP(Tabela1[[#This Row],[Pedido]],'Saldo a Produzir'!$A:$D,4,0)),"")</f>
        <v>0</v>
      </c>
      <c r="AM66" s="73">
        <v>0</v>
      </c>
    </row>
    <row r="67" spans="1:39" ht="14.5" x14ac:dyDescent="0.35">
      <c r="A67" s="81">
        <v>15064</v>
      </c>
      <c r="B67" s="81" t="s">
        <v>67</v>
      </c>
      <c r="C67" s="81">
        <v>776574002523</v>
      </c>
      <c r="D67" s="81" t="s">
        <v>721</v>
      </c>
      <c r="E67" s="81" t="s">
        <v>724</v>
      </c>
      <c r="F67" s="81" t="s">
        <v>252</v>
      </c>
      <c r="G67" s="81">
        <v>25853</v>
      </c>
      <c r="H67" s="81" t="s">
        <v>87</v>
      </c>
      <c r="I67" s="81" t="s">
        <v>32</v>
      </c>
      <c r="J67" s="81" t="s">
        <v>156</v>
      </c>
      <c r="K67" s="81" t="s">
        <v>34</v>
      </c>
      <c r="L67" s="81" t="s">
        <v>725</v>
      </c>
      <c r="M67" s="81" t="s">
        <v>726</v>
      </c>
      <c r="N67" s="90">
        <v>44651</v>
      </c>
      <c r="O67" s="90">
        <v>44706</v>
      </c>
      <c r="P67" s="90">
        <v>44655</v>
      </c>
      <c r="Q67" s="90">
        <v>44679</v>
      </c>
      <c r="R67" s="81">
        <v>6489</v>
      </c>
      <c r="S67" s="90">
        <v>44720</v>
      </c>
      <c r="T67" s="81">
        <v>7082</v>
      </c>
      <c r="U67" s="81" t="s">
        <v>36</v>
      </c>
      <c r="V67" s="90" t="s">
        <v>35</v>
      </c>
      <c r="W67" s="81" t="s">
        <v>736</v>
      </c>
      <c r="X67" s="90">
        <v>44657</v>
      </c>
      <c r="Y67" s="81" t="s">
        <v>38</v>
      </c>
      <c r="Z67" s="81">
        <v>0</v>
      </c>
      <c r="AA67" s="81"/>
      <c r="AB67" s="81">
        <v>0</v>
      </c>
      <c r="AC67" s="81"/>
      <c r="AD67" s="81">
        <v>0</v>
      </c>
      <c r="AE67" s="81" t="s">
        <v>153</v>
      </c>
      <c r="AF67" s="81" t="s">
        <v>39</v>
      </c>
      <c r="AG67" s="83">
        <v>2503.11</v>
      </c>
      <c r="AH67" s="95">
        <v>15292.69</v>
      </c>
      <c r="AI67" s="82" t="str">
        <f>CONCATENATE((TEXT(Tabela1[[#This Row],[Data entrega]],"mmmm")),"_",(YEAR(Tabela1[[#This Row],[Data entrega]])))</f>
        <v>maio_2022</v>
      </c>
      <c r="AJ67" s="77">
        <f>IFERROR(IF(Tabela1[[#This Row],[Programa]]="",Tabela1[[#This Row],[Peso bruto]],VLOOKUP(Tabela1[[#This Row],[Pedido]],'Saldo a Produzir'!$A:$D,4,0)),"")</f>
        <v>0</v>
      </c>
      <c r="AM67" s="73">
        <v>2960.7739999999999</v>
      </c>
    </row>
    <row r="68" spans="1:39" ht="14.5" x14ac:dyDescent="0.35">
      <c r="A68" s="81">
        <v>15064</v>
      </c>
      <c r="B68" s="81" t="s">
        <v>67</v>
      </c>
      <c r="C68" s="81">
        <v>776574002523</v>
      </c>
      <c r="D68" s="81" t="s">
        <v>721</v>
      </c>
      <c r="E68" s="81" t="s">
        <v>724</v>
      </c>
      <c r="F68" s="81" t="s">
        <v>252</v>
      </c>
      <c r="G68" s="81">
        <v>25854</v>
      </c>
      <c r="H68" s="81" t="s">
        <v>87</v>
      </c>
      <c r="I68" s="81" t="s">
        <v>32</v>
      </c>
      <c r="J68" s="81" t="s">
        <v>156</v>
      </c>
      <c r="K68" s="81" t="s">
        <v>34</v>
      </c>
      <c r="L68" s="81" t="s">
        <v>725</v>
      </c>
      <c r="M68" s="81" t="s">
        <v>726</v>
      </c>
      <c r="N68" s="90">
        <v>44651</v>
      </c>
      <c r="O68" s="90">
        <v>44706</v>
      </c>
      <c r="P68" s="90">
        <v>44655</v>
      </c>
      <c r="Q68" s="90">
        <v>44679</v>
      </c>
      <c r="R68" s="81">
        <v>6492</v>
      </c>
      <c r="S68" s="90">
        <v>44694</v>
      </c>
      <c r="T68" s="81">
        <v>6715</v>
      </c>
      <c r="U68" s="81" t="s">
        <v>36</v>
      </c>
      <c r="V68" s="90" t="s">
        <v>35</v>
      </c>
      <c r="W68" s="81" t="s">
        <v>736</v>
      </c>
      <c r="X68" s="90">
        <v>44657</v>
      </c>
      <c r="Y68" s="81" t="s">
        <v>38</v>
      </c>
      <c r="Z68" s="81">
        <v>0</v>
      </c>
      <c r="AA68" s="81"/>
      <c r="AB68" s="81">
        <v>0</v>
      </c>
      <c r="AC68" s="81"/>
      <c r="AD68" s="81">
        <v>0</v>
      </c>
      <c r="AE68" s="81" t="s">
        <v>153</v>
      </c>
      <c r="AF68" s="81" t="s">
        <v>39</v>
      </c>
      <c r="AG68" s="83">
        <v>2641.36</v>
      </c>
      <c r="AH68" s="95">
        <v>74451.100000000006</v>
      </c>
      <c r="AI68" s="82" t="str">
        <f>CONCATENATE((TEXT(Tabela1[[#This Row],[Data entrega]],"mmmm")),"_",(YEAR(Tabela1[[#This Row],[Data entrega]])))</f>
        <v>maio_2022</v>
      </c>
      <c r="AJ68" s="77">
        <f>IFERROR(IF(Tabela1[[#This Row],[Programa]]="",Tabela1[[#This Row],[Peso bruto]],VLOOKUP(Tabela1[[#This Row],[Pedido]],'Saldo a Produzir'!$A:$D,4,0)),"")</f>
        <v>2641.36</v>
      </c>
      <c r="AM68" s="73">
        <v>5075.7479999999996</v>
      </c>
    </row>
    <row r="69" spans="1:39" ht="14.5" x14ac:dyDescent="0.35">
      <c r="A69" s="81">
        <v>15057</v>
      </c>
      <c r="B69" s="81" t="s">
        <v>60</v>
      </c>
      <c r="C69" s="81">
        <v>1838723021639</v>
      </c>
      <c r="D69" s="81" t="s">
        <v>41</v>
      </c>
      <c r="E69" s="81" t="s">
        <v>391</v>
      </c>
      <c r="F69" s="81" t="s">
        <v>64</v>
      </c>
      <c r="G69" s="81">
        <v>26162</v>
      </c>
      <c r="H69" s="81" t="s">
        <v>109</v>
      </c>
      <c r="I69" s="81" t="s">
        <v>32</v>
      </c>
      <c r="J69" s="81" t="s">
        <v>33</v>
      </c>
      <c r="K69" s="81" t="s">
        <v>34</v>
      </c>
      <c r="L69" s="81" t="s">
        <v>1040</v>
      </c>
      <c r="M69" s="81">
        <v>105547546</v>
      </c>
      <c r="N69" s="90">
        <v>44699</v>
      </c>
      <c r="O69" s="90">
        <v>44706</v>
      </c>
      <c r="P69" s="90">
        <v>44699</v>
      </c>
      <c r="Q69" s="90" t="s">
        <v>35</v>
      </c>
      <c r="R69" s="81">
        <v>0</v>
      </c>
      <c r="S69" s="90" t="s">
        <v>35</v>
      </c>
      <c r="T69" s="81">
        <v>0</v>
      </c>
      <c r="U69" s="81" t="s">
        <v>36</v>
      </c>
      <c r="V69" s="90" t="s">
        <v>35</v>
      </c>
      <c r="W69" s="81"/>
      <c r="X69" s="90" t="s">
        <v>37</v>
      </c>
      <c r="Y69" s="81" t="s">
        <v>38</v>
      </c>
      <c r="Z69" s="81">
        <v>482</v>
      </c>
      <c r="AA69" s="81" t="s">
        <v>200</v>
      </c>
      <c r="AB69" s="81">
        <v>0</v>
      </c>
      <c r="AC69" s="81"/>
      <c r="AD69" s="81">
        <v>0</v>
      </c>
      <c r="AE69" s="81"/>
      <c r="AF69" s="81" t="s">
        <v>39</v>
      </c>
      <c r="AG69" s="83">
        <v>0</v>
      </c>
      <c r="AH69" s="95">
        <v>16350</v>
      </c>
      <c r="AI69" s="82" t="str">
        <f>CONCATENATE((TEXT(Tabela1[[#This Row],[Data entrega]],"mmmm")),"_",(YEAR(Tabela1[[#This Row],[Data entrega]])))</f>
        <v>maio_2022</v>
      </c>
      <c r="AJ69" s="77">
        <f>IFERROR(IF(Tabela1[[#This Row],[Programa]]="",Tabela1[[#This Row],[Peso bruto]],VLOOKUP(Tabela1[[#This Row],[Pedido]],'Saldo a Produzir'!$A:$D,4,0)),"")</f>
        <v>0</v>
      </c>
      <c r="AM69" s="73">
        <v>0</v>
      </c>
    </row>
    <row r="70" spans="1:39" ht="14.5" x14ac:dyDescent="0.35">
      <c r="A70" s="81">
        <v>15067</v>
      </c>
      <c r="B70" s="81" t="s">
        <v>59</v>
      </c>
      <c r="C70" s="81">
        <v>92038108000353</v>
      </c>
      <c r="D70" s="81" t="s">
        <v>1041</v>
      </c>
      <c r="E70" s="81" t="s">
        <v>141</v>
      </c>
      <c r="F70" s="81" t="s">
        <v>54</v>
      </c>
      <c r="G70" s="81">
        <v>26171</v>
      </c>
      <c r="H70" s="81" t="s">
        <v>109</v>
      </c>
      <c r="I70" s="81" t="s">
        <v>32</v>
      </c>
      <c r="J70" s="81" t="s">
        <v>33</v>
      </c>
      <c r="K70" s="81" t="s">
        <v>34</v>
      </c>
      <c r="L70" s="81" t="s">
        <v>1042</v>
      </c>
      <c r="M70" s="81">
        <v>4500407563</v>
      </c>
      <c r="N70" s="90">
        <v>44700</v>
      </c>
      <c r="O70" s="90">
        <v>44706</v>
      </c>
      <c r="P70" s="90">
        <v>44700</v>
      </c>
      <c r="Q70" s="90" t="s">
        <v>35</v>
      </c>
      <c r="R70" s="81">
        <v>0</v>
      </c>
      <c r="S70" s="90" t="s">
        <v>35</v>
      </c>
      <c r="T70" s="81">
        <v>0</v>
      </c>
      <c r="U70" s="81" t="s">
        <v>36</v>
      </c>
      <c r="V70" s="90" t="s">
        <v>35</v>
      </c>
      <c r="W70" s="81"/>
      <c r="X70" s="90" t="s">
        <v>37</v>
      </c>
      <c r="Y70" s="81" t="s">
        <v>38</v>
      </c>
      <c r="Z70" s="81">
        <v>44</v>
      </c>
      <c r="AA70" s="81" t="s">
        <v>151</v>
      </c>
      <c r="AB70" s="81">
        <v>0</v>
      </c>
      <c r="AC70" s="81"/>
      <c r="AD70" s="81">
        <v>0</v>
      </c>
      <c r="AE70" s="81"/>
      <c r="AF70" s="81" t="s">
        <v>39</v>
      </c>
      <c r="AG70" s="83">
        <v>0</v>
      </c>
      <c r="AH70" s="95">
        <v>11000</v>
      </c>
      <c r="AI70" s="82" t="str">
        <f>CONCATENATE((TEXT(Tabela1[[#This Row],[Data entrega]],"mmmm")),"_",(YEAR(Tabela1[[#This Row],[Data entrega]])))</f>
        <v>maio_2022</v>
      </c>
      <c r="AJ70" s="77">
        <f>IFERROR(IF(Tabela1[[#This Row],[Programa]]="",Tabela1[[#This Row],[Peso bruto]],VLOOKUP(Tabela1[[#This Row],[Pedido]],'Saldo a Produzir'!$A:$D,4,0)),"")</f>
        <v>0</v>
      </c>
      <c r="AM70" s="73">
        <v>0</v>
      </c>
    </row>
    <row r="71" spans="1:39" ht="14.5" x14ac:dyDescent="0.35">
      <c r="A71" s="81">
        <v>15064</v>
      </c>
      <c r="B71" s="81" t="s">
        <v>67</v>
      </c>
      <c r="C71" s="81">
        <v>776574002523</v>
      </c>
      <c r="D71" s="81" t="s">
        <v>721</v>
      </c>
      <c r="E71" s="81" t="s">
        <v>724</v>
      </c>
      <c r="F71" s="81" t="s">
        <v>252</v>
      </c>
      <c r="G71" s="81">
        <v>25867</v>
      </c>
      <c r="H71" s="81" t="s">
        <v>87</v>
      </c>
      <c r="I71" s="81" t="s">
        <v>32</v>
      </c>
      <c r="J71" s="81" t="s">
        <v>156</v>
      </c>
      <c r="K71" s="81" t="s">
        <v>34</v>
      </c>
      <c r="L71" s="81" t="s">
        <v>725</v>
      </c>
      <c r="M71" s="81" t="s">
        <v>726</v>
      </c>
      <c r="N71" s="90">
        <v>44651</v>
      </c>
      <c r="O71" s="90">
        <v>44708</v>
      </c>
      <c r="P71" s="90">
        <v>44656</v>
      </c>
      <c r="Q71" s="90">
        <v>44679</v>
      </c>
      <c r="R71" s="81">
        <v>6493</v>
      </c>
      <c r="S71" s="90">
        <v>44708</v>
      </c>
      <c r="T71" s="81">
        <v>6927</v>
      </c>
      <c r="U71" s="81" t="s">
        <v>36</v>
      </c>
      <c r="V71" s="90" t="s">
        <v>35</v>
      </c>
      <c r="W71" s="81" t="s">
        <v>736</v>
      </c>
      <c r="X71" s="90">
        <v>44657</v>
      </c>
      <c r="Y71" s="81" t="s">
        <v>38</v>
      </c>
      <c r="Z71" s="81">
        <v>0</v>
      </c>
      <c r="AA71" s="81"/>
      <c r="AB71" s="81">
        <v>0</v>
      </c>
      <c r="AC71" s="81"/>
      <c r="AD71" s="81">
        <v>0</v>
      </c>
      <c r="AE71" s="81" t="s">
        <v>153</v>
      </c>
      <c r="AF71" s="81" t="s">
        <v>39</v>
      </c>
      <c r="AG71" s="83">
        <v>33736.14</v>
      </c>
      <c r="AH71" s="95">
        <v>666225.53</v>
      </c>
      <c r="AI71" s="82" t="str">
        <f>CONCATENATE((TEXT(Tabela1[[#This Row],[Data entrega]],"mmmm")),"_",(YEAR(Tabela1[[#This Row],[Data entrega]])))</f>
        <v>maio_2022</v>
      </c>
      <c r="AJ71" s="77">
        <f>IFERROR(IF(Tabela1[[#This Row],[Programa]]="",Tabela1[[#This Row],[Peso bruto]],VLOOKUP(Tabela1[[#This Row],[Pedido]],'Saldo a Produzir'!$A:$D,4,0)),"")</f>
        <v>33736.14</v>
      </c>
      <c r="AM71" s="73">
        <v>36170.531000000003</v>
      </c>
    </row>
    <row r="72" spans="1:39" ht="14.5" x14ac:dyDescent="0.35">
      <c r="A72" s="81">
        <v>15910</v>
      </c>
      <c r="B72" s="81" t="s">
        <v>261</v>
      </c>
      <c r="C72" s="81">
        <v>7814284000107</v>
      </c>
      <c r="D72" s="81" t="s">
        <v>398</v>
      </c>
      <c r="E72" s="81" t="s">
        <v>66</v>
      </c>
      <c r="F72" s="81" t="s">
        <v>44</v>
      </c>
      <c r="G72" s="81">
        <v>24978</v>
      </c>
      <c r="H72" s="81" t="s">
        <v>91</v>
      </c>
      <c r="I72" s="81" t="s">
        <v>32</v>
      </c>
      <c r="J72" s="81" t="s">
        <v>33</v>
      </c>
      <c r="K72" s="81" t="s">
        <v>34</v>
      </c>
      <c r="L72" s="81" t="s">
        <v>399</v>
      </c>
      <c r="M72" s="81"/>
      <c r="N72" s="90">
        <v>44524</v>
      </c>
      <c r="O72" s="90">
        <v>44708</v>
      </c>
      <c r="P72" s="90">
        <v>44539</v>
      </c>
      <c r="Q72" s="90" t="s">
        <v>35</v>
      </c>
      <c r="R72" s="81">
        <v>0</v>
      </c>
      <c r="S72" s="90" t="s">
        <v>35</v>
      </c>
      <c r="T72" s="81">
        <v>0</v>
      </c>
      <c r="U72" s="81" t="s">
        <v>36</v>
      </c>
      <c r="V72" s="90" t="s">
        <v>35</v>
      </c>
      <c r="W72" s="81" t="s">
        <v>417</v>
      </c>
      <c r="X72" s="90">
        <v>44539</v>
      </c>
      <c r="Y72" s="81" t="s">
        <v>38</v>
      </c>
      <c r="Z72" s="81">
        <v>0</v>
      </c>
      <c r="AA72" s="81"/>
      <c r="AB72" s="81">
        <v>0</v>
      </c>
      <c r="AC72" s="81"/>
      <c r="AD72" s="81">
        <v>0</v>
      </c>
      <c r="AE72" s="81" t="s">
        <v>153</v>
      </c>
      <c r="AF72" s="81" t="s">
        <v>39</v>
      </c>
      <c r="AG72" s="83">
        <v>0</v>
      </c>
      <c r="AH72" s="95">
        <v>211908.34</v>
      </c>
      <c r="AI72" s="82" t="str">
        <f>CONCATENATE((TEXT(Tabela1[[#This Row],[Data entrega]],"mmmm")),"_",(YEAR(Tabela1[[#This Row],[Data entrega]])))</f>
        <v>maio_2022</v>
      </c>
      <c r="AJ72" s="77">
        <f>IFERROR(IF(Tabela1[[#This Row],[Programa]]="",Tabela1[[#This Row],[Peso bruto]],VLOOKUP(Tabela1[[#This Row],[Pedido]],'Saldo a Produzir'!$A:$D,4,0)),"")</f>
        <v>0</v>
      </c>
      <c r="AM72" s="73">
        <v>22358.761999999999</v>
      </c>
    </row>
    <row r="73" spans="1:39" ht="14.5" x14ac:dyDescent="0.35">
      <c r="A73" s="81">
        <v>15069</v>
      </c>
      <c r="B73" s="81" t="s">
        <v>297</v>
      </c>
      <c r="C73" s="81">
        <v>10230480002427</v>
      </c>
      <c r="D73" s="81" t="s">
        <v>848</v>
      </c>
      <c r="E73" s="81" t="s">
        <v>175</v>
      </c>
      <c r="F73" s="81" t="s">
        <v>148</v>
      </c>
      <c r="G73" s="81">
        <v>26032</v>
      </c>
      <c r="H73" s="81" t="s">
        <v>88</v>
      </c>
      <c r="I73" s="81" t="s">
        <v>32</v>
      </c>
      <c r="J73" s="81" t="s">
        <v>156</v>
      </c>
      <c r="K73" s="81" t="s">
        <v>34</v>
      </c>
      <c r="L73" s="81" t="s">
        <v>899</v>
      </c>
      <c r="M73" s="81"/>
      <c r="N73" s="90">
        <v>44680</v>
      </c>
      <c r="O73" s="90">
        <v>44708</v>
      </c>
      <c r="P73" s="90">
        <v>44680</v>
      </c>
      <c r="Q73" s="90">
        <v>44707</v>
      </c>
      <c r="R73" s="81">
        <v>6891</v>
      </c>
      <c r="S73" s="90">
        <v>44715</v>
      </c>
      <c r="T73" s="81">
        <v>7056</v>
      </c>
      <c r="U73" s="81" t="s">
        <v>36</v>
      </c>
      <c r="V73" s="90" t="s">
        <v>35</v>
      </c>
      <c r="W73" s="81" t="s">
        <v>900</v>
      </c>
      <c r="X73" s="90">
        <v>44691</v>
      </c>
      <c r="Y73" s="81" t="s">
        <v>38</v>
      </c>
      <c r="Z73" s="81">
        <v>0</v>
      </c>
      <c r="AA73" s="81"/>
      <c r="AB73" s="81">
        <v>0</v>
      </c>
      <c r="AC73" s="81"/>
      <c r="AD73" s="81">
        <v>0</v>
      </c>
      <c r="AE73" s="81" t="s">
        <v>1111</v>
      </c>
      <c r="AF73" s="81" t="s">
        <v>62</v>
      </c>
      <c r="AG73" s="83">
        <v>2530.2999999999997</v>
      </c>
      <c r="AH73" s="95">
        <v>135493.09</v>
      </c>
      <c r="AI73" s="82" t="str">
        <f>CONCATENATE((TEXT(Tabela1[[#This Row],[Data entrega]],"mmmm")),"_",(YEAR(Tabela1[[#This Row],[Data entrega]])))</f>
        <v>maio_2022</v>
      </c>
      <c r="AJ73" s="77">
        <f>IFERROR(IF(Tabela1[[#This Row],[Programa]]="",Tabela1[[#This Row],[Peso bruto]],VLOOKUP(Tabela1[[#This Row],[Pedido]],'Saldo a Produzir'!$A:$D,4,0)),"")</f>
        <v>276.51</v>
      </c>
      <c r="AM73" s="73">
        <v>5655.3540000000003</v>
      </c>
    </row>
    <row r="74" spans="1:39" ht="14.5" x14ac:dyDescent="0.35">
      <c r="A74" s="81">
        <v>15069</v>
      </c>
      <c r="B74" s="81" t="s">
        <v>297</v>
      </c>
      <c r="C74" s="81">
        <v>10230480002427</v>
      </c>
      <c r="D74" s="81" t="s">
        <v>848</v>
      </c>
      <c r="E74" s="81" t="s">
        <v>175</v>
      </c>
      <c r="F74" s="81" t="s">
        <v>148</v>
      </c>
      <c r="G74" s="81">
        <v>26068</v>
      </c>
      <c r="H74" s="81" t="s">
        <v>88</v>
      </c>
      <c r="I74" s="81" t="s">
        <v>32</v>
      </c>
      <c r="J74" s="81" t="s">
        <v>156</v>
      </c>
      <c r="K74" s="81" t="s">
        <v>34</v>
      </c>
      <c r="L74" s="81" t="s">
        <v>899</v>
      </c>
      <c r="M74" s="81"/>
      <c r="N74" s="90">
        <v>44680</v>
      </c>
      <c r="O74" s="90">
        <v>44708</v>
      </c>
      <c r="P74" s="90">
        <v>44686</v>
      </c>
      <c r="Q74" s="90">
        <v>44707</v>
      </c>
      <c r="R74" s="81">
        <v>6895</v>
      </c>
      <c r="S74" s="90">
        <v>44715</v>
      </c>
      <c r="T74" s="81">
        <v>7054</v>
      </c>
      <c r="U74" s="81" t="s">
        <v>36</v>
      </c>
      <c r="V74" s="90" t="s">
        <v>35</v>
      </c>
      <c r="W74" s="81" t="s">
        <v>900</v>
      </c>
      <c r="X74" s="90">
        <v>44691</v>
      </c>
      <c r="Y74" s="81" t="s">
        <v>38</v>
      </c>
      <c r="Z74" s="81">
        <v>0</v>
      </c>
      <c r="AA74" s="81"/>
      <c r="AB74" s="81">
        <v>0</v>
      </c>
      <c r="AC74" s="81"/>
      <c r="AD74" s="81">
        <v>0</v>
      </c>
      <c r="AE74" s="81" t="s">
        <v>1111</v>
      </c>
      <c r="AF74" s="81" t="s">
        <v>62</v>
      </c>
      <c r="AG74" s="83">
        <v>26584.25</v>
      </c>
      <c r="AH74" s="95">
        <v>479506.58</v>
      </c>
      <c r="AI74" s="82" t="str">
        <f>CONCATENATE((TEXT(Tabela1[[#This Row],[Data entrega]],"mmmm")),"_",(YEAR(Tabela1[[#This Row],[Data entrega]])))</f>
        <v>maio_2022</v>
      </c>
      <c r="AJ74" s="77">
        <f>IFERROR(IF(Tabela1[[#This Row],[Programa]]="",Tabela1[[#This Row],[Peso bruto]],VLOOKUP(Tabela1[[#This Row],[Pedido]],'Saldo a Produzir'!$A:$D,4,0)),"")</f>
        <v>13566.2</v>
      </c>
      <c r="AM74" s="73">
        <v>31776.404999999999</v>
      </c>
    </row>
    <row r="75" spans="1:39" ht="14.5" x14ac:dyDescent="0.35">
      <c r="A75" s="81">
        <v>15063</v>
      </c>
      <c r="B75" s="81" t="s">
        <v>71</v>
      </c>
      <c r="C75" s="81">
        <v>8248539000923</v>
      </c>
      <c r="D75" s="81" t="s">
        <v>499</v>
      </c>
      <c r="E75" s="81" t="s">
        <v>173</v>
      </c>
      <c r="F75" s="81" t="s">
        <v>54</v>
      </c>
      <c r="G75" s="81">
        <v>25444</v>
      </c>
      <c r="H75" s="81" t="s">
        <v>87</v>
      </c>
      <c r="I75" s="81" t="s">
        <v>32</v>
      </c>
      <c r="J75" s="81" t="s">
        <v>156</v>
      </c>
      <c r="K75" s="81" t="s">
        <v>34</v>
      </c>
      <c r="L75" s="81" t="s">
        <v>500</v>
      </c>
      <c r="M75" s="81"/>
      <c r="N75" s="90">
        <v>44603</v>
      </c>
      <c r="O75" s="90">
        <v>44708</v>
      </c>
      <c r="P75" s="90">
        <v>44721</v>
      </c>
      <c r="Q75" s="90">
        <v>44680</v>
      </c>
      <c r="R75" s="81">
        <v>6501</v>
      </c>
      <c r="S75" s="90">
        <v>44721</v>
      </c>
      <c r="T75" s="81">
        <v>7101</v>
      </c>
      <c r="U75" s="81" t="s">
        <v>36</v>
      </c>
      <c r="V75" s="90" t="s">
        <v>35</v>
      </c>
      <c r="W75" s="81" t="s">
        <v>553</v>
      </c>
      <c r="X75" s="90">
        <v>44627</v>
      </c>
      <c r="Y75" s="81" t="s">
        <v>38</v>
      </c>
      <c r="Z75" s="81">
        <v>0</v>
      </c>
      <c r="AA75" s="81"/>
      <c r="AB75" s="81">
        <v>0</v>
      </c>
      <c r="AC75" s="81"/>
      <c r="AD75" s="81">
        <v>0</v>
      </c>
      <c r="AE75" s="81" t="s">
        <v>153</v>
      </c>
      <c r="AF75" s="81" t="s">
        <v>39</v>
      </c>
      <c r="AG75" s="83">
        <v>4130.16</v>
      </c>
      <c r="AH75" s="95">
        <v>60786.51</v>
      </c>
      <c r="AI75" s="82" t="str">
        <f>CONCATENATE((TEXT(Tabela1[[#This Row],[Data entrega]],"mmmm")),"_",(YEAR(Tabela1[[#This Row],[Data entrega]])))</f>
        <v>maio_2022</v>
      </c>
      <c r="AJ75" s="77" t="str">
        <f>IFERROR(IF(Tabela1[[#This Row],[Programa]]="",Tabela1[[#This Row],[Peso bruto]],VLOOKUP(Tabela1[[#This Row],[Pedido]],'Saldo a Produzir'!$A:$D,4,0)),"")</f>
        <v/>
      </c>
      <c r="AM75" s="73">
        <v>4120.8469999999998</v>
      </c>
    </row>
    <row r="76" spans="1:39" ht="14.5" x14ac:dyDescent="0.35">
      <c r="A76" s="81">
        <v>15073</v>
      </c>
      <c r="B76" s="81" t="s">
        <v>172</v>
      </c>
      <c r="C76" s="81">
        <v>17469701004326</v>
      </c>
      <c r="D76" s="81" t="s">
        <v>1144</v>
      </c>
      <c r="E76" s="81" t="s">
        <v>79</v>
      </c>
      <c r="F76" s="81" t="s">
        <v>44</v>
      </c>
      <c r="G76" s="81">
        <v>26244</v>
      </c>
      <c r="H76" s="81" t="s">
        <v>125</v>
      </c>
      <c r="I76" s="81" t="s">
        <v>32</v>
      </c>
      <c r="J76" s="81" t="s">
        <v>33</v>
      </c>
      <c r="K76" s="81" t="s">
        <v>34</v>
      </c>
      <c r="L76" s="81" t="s">
        <v>1145</v>
      </c>
      <c r="M76" s="81">
        <v>7300077067</v>
      </c>
      <c r="N76" s="90">
        <v>44708</v>
      </c>
      <c r="O76" s="90">
        <v>44711</v>
      </c>
      <c r="P76" s="90">
        <v>44708</v>
      </c>
      <c r="Q76" s="90" t="s">
        <v>35</v>
      </c>
      <c r="R76" s="81">
        <v>0</v>
      </c>
      <c r="S76" s="90" t="s">
        <v>35</v>
      </c>
      <c r="T76" s="81">
        <v>0</v>
      </c>
      <c r="U76" s="81" t="s">
        <v>36</v>
      </c>
      <c r="V76" s="90" t="s">
        <v>35</v>
      </c>
      <c r="W76" s="81"/>
      <c r="X76" s="90" t="s">
        <v>37</v>
      </c>
      <c r="Y76" s="81" t="s">
        <v>38</v>
      </c>
      <c r="Z76" s="81">
        <v>13</v>
      </c>
      <c r="AA76" s="81" t="s">
        <v>149</v>
      </c>
      <c r="AB76" s="81">
        <v>0</v>
      </c>
      <c r="AC76" s="81"/>
      <c r="AD76" s="81">
        <v>0</v>
      </c>
      <c r="AE76" s="81"/>
      <c r="AF76" s="81" t="s">
        <v>39</v>
      </c>
      <c r="AG76" s="83">
        <v>0</v>
      </c>
      <c r="AH76" s="95">
        <v>33600</v>
      </c>
      <c r="AI76" s="82" t="str">
        <f>CONCATENATE((TEXT(Tabela1[[#This Row],[Data entrega]],"mmmm")),"_",(YEAR(Tabela1[[#This Row],[Data entrega]])))</f>
        <v>maio_2022</v>
      </c>
      <c r="AJ76" s="77">
        <f>IFERROR(IF(Tabela1[[#This Row],[Programa]]="",Tabela1[[#This Row],[Peso bruto]],VLOOKUP(Tabela1[[#This Row],[Pedido]],'Saldo a Produzir'!$A:$D,4,0)),"")</f>
        <v>0</v>
      </c>
      <c r="AM76" s="73">
        <v>0</v>
      </c>
    </row>
    <row r="77" spans="1:39" ht="14.5" x14ac:dyDescent="0.35">
      <c r="A77" s="81">
        <v>15908</v>
      </c>
      <c r="B77" s="81" t="s">
        <v>230</v>
      </c>
      <c r="C77" s="81">
        <v>77388007000157</v>
      </c>
      <c r="D77" s="81" t="s">
        <v>387</v>
      </c>
      <c r="E77" s="81" t="s">
        <v>121</v>
      </c>
      <c r="F77" s="81" t="s">
        <v>42</v>
      </c>
      <c r="G77" s="81">
        <v>24930</v>
      </c>
      <c r="H77" s="81" t="s">
        <v>92</v>
      </c>
      <c r="I77" s="81" t="s">
        <v>32</v>
      </c>
      <c r="J77" s="81" t="s">
        <v>156</v>
      </c>
      <c r="K77" s="81" t="s">
        <v>34</v>
      </c>
      <c r="L77" s="81" t="s">
        <v>520</v>
      </c>
      <c r="M77" s="81">
        <v>4501263452</v>
      </c>
      <c r="N77" s="90">
        <v>44518</v>
      </c>
      <c r="O77" s="90">
        <v>44711</v>
      </c>
      <c r="P77" s="90">
        <v>44680</v>
      </c>
      <c r="Q77" s="90">
        <v>44680</v>
      </c>
      <c r="R77" s="81">
        <v>6518</v>
      </c>
      <c r="S77" s="90">
        <v>44680</v>
      </c>
      <c r="T77" s="81">
        <v>6522</v>
      </c>
      <c r="U77" s="81" t="s">
        <v>36</v>
      </c>
      <c r="V77" s="90" t="s">
        <v>35</v>
      </c>
      <c r="W77" s="81" t="s">
        <v>532</v>
      </c>
      <c r="X77" s="90">
        <v>44617</v>
      </c>
      <c r="Y77" s="81" t="s">
        <v>38</v>
      </c>
      <c r="Z77" s="81">
        <v>944</v>
      </c>
      <c r="AA77" s="81" t="s">
        <v>152</v>
      </c>
      <c r="AB77" s="81">
        <v>0</v>
      </c>
      <c r="AC77" s="81"/>
      <c r="AD77" s="81">
        <v>0</v>
      </c>
      <c r="AE77" s="81" t="s">
        <v>153</v>
      </c>
      <c r="AF77" s="81" t="s">
        <v>39</v>
      </c>
      <c r="AG77" s="83">
        <v>583.22</v>
      </c>
      <c r="AH77" s="95">
        <v>49689.06</v>
      </c>
      <c r="AI77" s="82" t="str">
        <f>CONCATENATE((TEXT(Tabela1[[#This Row],[Data entrega]],"mmmm")),"_",(YEAR(Tabela1[[#This Row],[Data entrega]])))</f>
        <v>maio_2022</v>
      </c>
      <c r="AJ77" s="77">
        <f>IFERROR(IF(Tabela1[[#This Row],[Programa]]="",Tabela1[[#This Row],[Peso bruto]],VLOOKUP(Tabela1[[#This Row],[Pedido]],'Saldo a Produzir'!$A:$D,4,0)),"")</f>
        <v>0</v>
      </c>
      <c r="AM77" s="73">
        <v>768.80899999999997</v>
      </c>
    </row>
    <row r="78" spans="1:39" ht="14.5" x14ac:dyDescent="0.35">
      <c r="A78" s="81">
        <v>15054</v>
      </c>
      <c r="B78" s="81" t="s">
        <v>70</v>
      </c>
      <c r="C78" s="81">
        <v>1838723030891</v>
      </c>
      <c r="D78" s="81" t="s">
        <v>41</v>
      </c>
      <c r="E78" s="81" t="s">
        <v>145</v>
      </c>
      <c r="F78" s="81" t="s">
        <v>132</v>
      </c>
      <c r="G78" s="81">
        <v>26230</v>
      </c>
      <c r="H78" s="81" t="s">
        <v>109</v>
      </c>
      <c r="I78" s="81" t="s">
        <v>32</v>
      </c>
      <c r="J78" s="81" t="s">
        <v>33</v>
      </c>
      <c r="K78" s="81" t="s">
        <v>34</v>
      </c>
      <c r="L78" s="81" t="s">
        <v>1112</v>
      </c>
      <c r="M78" s="81">
        <v>105603703</v>
      </c>
      <c r="N78" s="90">
        <v>44707</v>
      </c>
      <c r="O78" s="90">
        <v>44711</v>
      </c>
      <c r="P78" s="90">
        <v>44707</v>
      </c>
      <c r="Q78" s="90" t="s">
        <v>35</v>
      </c>
      <c r="R78" s="81">
        <v>0</v>
      </c>
      <c r="S78" s="90" t="s">
        <v>35</v>
      </c>
      <c r="T78" s="81">
        <v>0</v>
      </c>
      <c r="U78" s="81" t="s">
        <v>36</v>
      </c>
      <c r="V78" s="90" t="s">
        <v>35</v>
      </c>
      <c r="W78" s="81"/>
      <c r="X78" s="90" t="s">
        <v>37</v>
      </c>
      <c r="Y78" s="81" t="s">
        <v>38</v>
      </c>
      <c r="Z78" s="81">
        <v>482</v>
      </c>
      <c r="AA78" s="81" t="s">
        <v>200</v>
      </c>
      <c r="AB78" s="81">
        <v>0</v>
      </c>
      <c r="AC78" s="81"/>
      <c r="AD78" s="81">
        <v>0</v>
      </c>
      <c r="AE78" s="81"/>
      <c r="AF78" s="81" t="s">
        <v>39</v>
      </c>
      <c r="AG78" s="83">
        <v>0</v>
      </c>
      <c r="AH78" s="95">
        <v>16350</v>
      </c>
      <c r="AI78" s="82" t="str">
        <f>CONCATENATE((TEXT(Tabela1[[#This Row],[Data entrega]],"mmmm")),"_",(YEAR(Tabela1[[#This Row],[Data entrega]])))</f>
        <v>maio_2022</v>
      </c>
      <c r="AJ78" s="77">
        <f>IFERROR(IF(Tabela1[[#This Row],[Programa]]="",Tabela1[[#This Row],[Peso bruto]],VLOOKUP(Tabela1[[#This Row],[Pedido]],'Saldo a Produzir'!$A:$D,4,0)),"")</f>
        <v>0</v>
      </c>
      <c r="AM78" s="73">
        <v>0</v>
      </c>
    </row>
    <row r="79" spans="1:39" ht="14.5" x14ac:dyDescent="0.35">
      <c r="A79" s="81">
        <v>15068</v>
      </c>
      <c r="B79" s="81" t="s">
        <v>135</v>
      </c>
      <c r="C79" s="81">
        <v>1838723006753</v>
      </c>
      <c r="D79" s="81" t="s">
        <v>1113</v>
      </c>
      <c r="E79" s="81" t="s">
        <v>1114</v>
      </c>
      <c r="F79" s="81" t="s">
        <v>136</v>
      </c>
      <c r="G79" s="81">
        <v>26223</v>
      </c>
      <c r="H79" s="81" t="s">
        <v>109</v>
      </c>
      <c r="I79" s="81" t="s">
        <v>32</v>
      </c>
      <c r="J79" s="81" t="s">
        <v>33</v>
      </c>
      <c r="K79" s="81" t="s">
        <v>34</v>
      </c>
      <c r="L79" s="81" t="s">
        <v>1115</v>
      </c>
      <c r="M79" s="81">
        <v>105599602</v>
      </c>
      <c r="N79" s="90">
        <v>44707</v>
      </c>
      <c r="O79" s="90">
        <v>44711</v>
      </c>
      <c r="P79" s="90">
        <v>44707</v>
      </c>
      <c r="Q79" s="90" t="s">
        <v>35</v>
      </c>
      <c r="R79" s="81">
        <v>0</v>
      </c>
      <c r="S79" s="90" t="s">
        <v>35</v>
      </c>
      <c r="T79" s="81">
        <v>0</v>
      </c>
      <c r="U79" s="81" t="s">
        <v>36</v>
      </c>
      <c r="V79" s="90" t="s">
        <v>35</v>
      </c>
      <c r="W79" s="81"/>
      <c r="X79" s="90" t="s">
        <v>37</v>
      </c>
      <c r="Y79" s="81" t="s">
        <v>38</v>
      </c>
      <c r="Z79" s="81">
        <v>482</v>
      </c>
      <c r="AA79" s="81" t="s">
        <v>200</v>
      </c>
      <c r="AB79" s="81">
        <v>0</v>
      </c>
      <c r="AC79" s="81"/>
      <c r="AD79" s="81">
        <v>0</v>
      </c>
      <c r="AE79" s="81"/>
      <c r="AF79" s="81" t="s">
        <v>39</v>
      </c>
      <c r="AG79" s="83">
        <v>0</v>
      </c>
      <c r="AH79" s="95">
        <v>19780</v>
      </c>
      <c r="AI79" s="82" t="str">
        <f>CONCATENATE((TEXT(Tabela1[[#This Row],[Data entrega]],"mmmm")),"_",(YEAR(Tabela1[[#This Row],[Data entrega]])))</f>
        <v>maio_2022</v>
      </c>
      <c r="AJ79" s="77">
        <f>IFERROR(IF(Tabela1[[#This Row],[Programa]]="",Tabela1[[#This Row],[Peso bruto]],VLOOKUP(Tabela1[[#This Row],[Pedido]],'Saldo a Produzir'!$A:$D,4,0)),"")</f>
        <v>0</v>
      </c>
      <c r="AM79" s="73">
        <v>0</v>
      </c>
    </row>
    <row r="80" spans="1:39" ht="14.5" x14ac:dyDescent="0.35">
      <c r="A80" s="81">
        <v>15907</v>
      </c>
      <c r="B80" s="81" t="s">
        <v>272</v>
      </c>
      <c r="C80" s="81">
        <v>1838723026436</v>
      </c>
      <c r="D80" s="81" t="s">
        <v>41</v>
      </c>
      <c r="E80" s="81" t="s">
        <v>186</v>
      </c>
      <c r="F80" s="81" t="s">
        <v>53</v>
      </c>
      <c r="G80" s="81">
        <v>26245</v>
      </c>
      <c r="H80" s="81" t="s">
        <v>109</v>
      </c>
      <c r="I80" s="81" t="s">
        <v>32</v>
      </c>
      <c r="J80" s="81" t="s">
        <v>33</v>
      </c>
      <c r="K80" s="81" t="s">
        <v>34</v>
      </c>
      <c r="L80" s="81" t="s">
        <v>1146</v>
      </c>
      <c r="M80" s="81">
        <v>105614741</v>
      </c>
      <c r="N80" s="90">
        <v>44708</v>
      </c>
      <c r="O80" s="90">
        <v>44711</v>
      </c>
      <c r="P80" s="90">
        <v>44708</v>
      </c>
      <c r="Q80" s="90" t="s">
        <v>35</v>
      </c>
      <c r="R80" s="81">
        <v>0</v>
      </c>
      <c r="S80" s="90" t="s">
        <v>35</v>
      </c>
      <c r="T80" s="81">
        <v>0</v>
      </c>
      <c r="U80" s="81" t="s">
        <v>36</v>
      </c>
      <c r="V80" s="90" t="s">
        <v>35</v>
      </c>
      <c r="W80" s="81"/>
      <c r="X80" s="90" t="s">
        <v>37</v>
      </c>
      <c r="Y80" s="81" t="s">
        <v>38</v>
      </c>
      <c r="Z80" s="81">
        <v>482</v>
      </c>
      <c r="AA80" s="81" t="s">
        <v>200</v>
      </c>
      <c r="AB80" s="81">
        <v>0</v>
      </c>
      <c r="AC80" s="81"/>
      <c r="AD80" s="81">
        <v>0</v>
      </c>
      <c r="AE80" s="81"/>
      <c r="AF80" s="81" t="s">
        <v>39</v>
      </c>
      <c r="AG80" s="83">
        <v>0</v>
      </c>
      <c r="AH80" s="95">
        <v>16350</v>
      </c>
      <c r="AI80" s="82" t="str">
        <f>CONCATENATE((TEXT(Tabela1[[#This Row],[Data entrega]],"mmmm")),"_",(YEAR(Tabela1[[#This Row],[Data entrega]])))</f>
        <v>maio_2022</v>
      </c>
      <c r="AJ80" s="77">
        <f>IFERROR(IF(Tabela1[[#This Row],[Programa]]="",Tabela1[[#This Row],[Peso bruto]],VLOOKUP(Tabela1[[#This Row],[Pedido]],'Saldo a Produzir'!$A:$D,4,0)),"")</f>
        <v>0</v>
      </c>
      <c r="AM80" s="73">
        <v>0</v>
      </c>
    </row>
    <row r="81" spans="1:39" ht="14.5" x14ac:dyDescent="0.35">
      <c r="A81" s="81">
        <v>15074</v>
      </c>
      <c r="B81" s="81" t="s">
        <v>161</v>
      </c>
      <c r="C81" s="81">
        <v>10588595001092</v>
      </c>
      <c r="D81" s="81" t="s">
        <v>1116</v>
      </c>
      <c r="E81" s="81" t="s">
        <v>1117</v>
      </c>
      <c r="F81" s="81" t="s">
        <v>44</v>
      </c>
      <c r="G81" s="81">
        <v>26224</v>
      </c>
      <c r="H81" s="81" t="s">
        <v>109</v>
      </c>
      <c r="I81" s="81" t="s">
        <v>32</v>
      </c>
      <c r="J81" s="81" t="s">
        <v>33</v>
      </c>
      <c r="K81" s="81" t="s">
        <v>34</v>
      </c>
      <c r="L81" s="81" t="s">
        <v>1118</v>
      </c>
      <c r="M81" s="81" t="s">
        <v>1119</v>
      </c>
      <c r="N81" s="90">
        <v>44707</v>
      </c>
      <c r="O81" s="90">
        <v>44711</v>
      </c>
      <c r="P81" s="90">
        <v>44707</v>
      </c>
      <c r="Q81" s="90" t="s">
        <v>35</v>
      </c>
      <c r="R81" s="81">
        <v>0</v>
      </c>
      <c r="S81" s="90" t="s">
        <v>35</v>
      </c>
      <c r="T81" s="81">
        <v>0</v>
      </c>
      <c r="U81" s="81" t="s">
        <v>36</v>
      </c>
      <c r="V81" s="90" t="s">
        <v>35</v>
      </c>
      <c r="W81" s="81"/>
      <c r="X81" s="90" t="s">
        <v>37</v>
      </c>
      <c r="Y81" s="81" t="s">
        <v>38</v>
      </c>
      <c r="Z81" s="81">
        <v>944</v>
      </c>
      <c r="AA81" s="81" t="s">
        <v>152</v>
      </c>
      <c r="AB81" s="81">
        <v>0</v>
      </c>
      <c r="AC81" s="81"/>
      <c r="AD81" s="81">
        <v>0</v>
      </c>
      <c r="AE81" s="81"/>
      <c r="AF81" s="81" t="s">
        <v>39</v>
      </c>
      <c r="AG81" s="83">
        <v>0</v>
      </c>
      <c r="AH81" s="95">
        <v>11605</v>
      </c>
      <c r="AI81" s="82" t="str">
        <f>CONCATENATE((TEXT(Tabela1[[#This Row],[Data entrega]],"mmmm")),"_",(YEAR(Tabela1[[#This Row],[Data entrega]])))</f>
        <v>maio_2022</v>
      </c>
      <c r="AJ81" s="77">
        <f>IFERROR(IF(Tabela1[[#This Row],[Programa]]="",Tabela1[[#This Row],[Peso bruto]],VLOOKUP(Tabela1[[#This Row],[Pedido]],'Saldo a Produzir'!$A:$D,4,0)),"")</f>
        <v>0</v>
      </c>
      <c r="AM81" s="73">
        <v>0</v>
      </c>
    </row>
    <row r="82" spans="1:39" ht="14.5" x14ac:dyDescent="0.35">
      <c r="A82" s="81">
        <v>15064</v>
      </c>
      <c r="B82" s="81" t="s">
        <v>67</v>
      </c>
      <c r="C82" s="81">
        <v>2162259000750</v>
      </c>
      <c r="D82" s="81" t="s">
        <v>1120</v>
      </c>
      <c r="E82" s="81" t="s">
        <v>79</v>
      </c>
      <c r="F82" s="81" t="s">
        <v>44</v>
      </c>
      <c r="G82" s="81">
        <v>26207</v>
      </c>
      <c r="H82" s="81" t="s">
        <v>109</v>
      </c>
      <c r="I82" s="81" t="s">
        <v>32</v>
      </c>
      <c r="J82" s="81" t="s">
        <v>33</v>
      </c>
      <c r="K82" s="81" t="s">
        <v>34</v>
      </c>
      <c r="L82" s="81" t="s">
        <v>1121</v>
      </c>
      <c r="M82" s="81">
        <v>4501623315</v>
      </c>
      <c r="N82" s="90">
        <v>44706</v>
      </c>
      <c r="O82" s="90">
        <v>44711</v>
      </c>
      <c r="P82" s="90">
        <v>44706</v>
      </c>
      <c r="Q82" s="90" t="s">
        <v>35</v>
      </c>
      <c r="R82" s="81">
        <v>0</v>
      </c>
      <c r="S82" s="90" t="s">
        <v>35</v>
      </c>
      <c r="T82" s="81">
        <v>0</v>
      </c>
      <c r="U82" s="81" t="s">
        <v>36</v>
      </c>
      <c r="V82" s="90" t="s">
        <v>35</v>
      </c>
      <c r="W82" s="81"/>
      <c r="X82" s="90" t="s">
        <v>37</v>
      </c>
      <c r="Y82" s="81" t="s">
        <v>38</v>
      </c>
      <c r="Z82" s="81">
        <v>0</v>
      </c>
      <c r="AA82" s="81"/>
      <c r="AB82" s="81">
        <v>0</v>
      </c>
      <c r="AC82" s="81"/>
      <c r="AD82" s="81">
        <v>0</v>
      </c>
      <c r="AE82" s="81"/>
      <c r="AF82" s="81" t="s">
        <v>39</v>
      </c>
      <c r="AG82" s="83">
        <v>0</v>
      </c>
      <c r="AH82" s="95">
        <v>12500</v>
      </c>
      <c r="AI82" s="82" t="str">
        <f>CONCATENATE((TEXT(Tabela1[[#This Row],[Data entrega]],"mmmm")),"_",(YEAR(Tabela1[[#This Row],[Data entrega]])))</f>
        <v>maio_2022</v>
      </c>
      <c r="AJ82" s="77">
        <f>IFERROR(IF(Tabela1[[#This Row],[Programa]]="",Tabela1[[#This Row],[Peso bruto]],VLOOKUP(Tabela1[[#This Row],[Pedido]],'Saldo a Produzir'!$A:$D,4,0)),"")</f>
        <v>0</v>
      </c>
      <c r="AM82" s="73">
        <v>0</v>
      </c>
    </row>
    <row r="83" spans="1:39" ht="14.5" x14ac:dyDescent="0.35">
      <c r="A83" s="81">
        <v>15059</v>
      </c>
      <c r="B83" s="81" t="s">
        <v>63</v>
      </c>
      <c r="C83" s="81">
        <v>84693183000168</v>
      </c>
      <c r="D83" s="81" t="s">
        <v>1147</v>
      </c>
      <c r="E83" s="81" t="s">
        <v>1148</v>
      </c>
      <c r="F83" s="81" t="s">
        <v>64</v>
      </c>
      <c r="G83" s="81">
        <v>26248</v>
      </c>
      <c r="H83" s="81" t="s">
        <v>125</v>
      </c>
      <c r="I83" s="81" t="s">
        <v>32</v>
      </c>
      <c r="J83" s="81" t="s">
        <v>33</v>
      </c>
      <c r="K83" s="81" t="s">
        <v>34</v>
      </c>
      <c r="L83" s="81" t="s">
        <v>1149</v>
      </c>
      <c r="M83" s="81">
        <v>1012300</v>
      </c>
      <c r="N83" s="90">
        <v>44708</v>
      </c>
      <c r="O83" s="90">
        <v>44711</v>
      </c>
      <c r="P83" s="90">
        <v>44708</v>
      </c>
      <c r="Q83" s="90" t="s">
        <v>35</v>
      </c>
      <c r="R83" s="81">
        <v>0</v>
      </c>
      <c r="S83" s="90" t="s">
        <v>35</v>
      </c>
      <c r="T83" s="81">
        <v>0</v>
      </c>
      <c r="U83" s="81" t="s">
        <v>36</v>
      </c>
      <c r="V83" s="90" t="s">
        <v>35</v>
      </c>
      <c r="W83" s="81"/>
      <c r="X83" s="90" t="s">
        <v>37</v>
      </c>
      <c r="Y83" s="81" t="s">
        <v>38</v>
      </c>
      <c r="Z83" s="81">
        <v>2000</v>
      </c>
      <c r="AA83" s="81" t="s">
        <v>154</v>
      </c>
      <c r="AB83" s="81">
        <v>0</v>
      </c>
      <c r="AC83" s="81"/>
      <c r="AD83" s="81">
        <v>0</v>
      </c>
      <c r="AE83" s="81"/>
      <c r="AF83" s="81" t="s">
        <v>39</v>
      </c>
      <c r="AG83" s="83">
        <v>0</v>
      </c>
      <c r="AH83" s="95">
        <v>5600</v>
      </c>
      <c r="AI83" s="82" t="str">
        <f>CONCATENATE((TEXT(Tabela1[[#This Row],[Data entrega]],"mmmm")),"_",(YEAR(Tabela1[[#This Row],[Data entrega]])))</f>
        <v>maio_2022</v>
      </c>
      <c r="AJ83" s="77">
        <f>IFERROR(IF(Tabela1[[#This Row],[Programa]]="",Tabela1[[#This Row],[Peso bruto]],VLOOKUP(Tabela1[[#This Row],[Pedido]],'Saldo a Produzir'!$A:$D,4,0)),"")</f>
        <v>0</v>
      </c>
      <c r="AM83" s="73">
        <v>0</v>
      </c>
    </row>
    <row r="84" spans="1:39" ht="14.5" x14ac:dyDescent="0.35">
      <c r="A84" s="81">
        <v>15052</v>
      </c>
      <c r="B84" s="81" t="s">
        <v>43</v>
      </c>
      <c r="C84" s="81">
        <v>16404287015691</v>
      </c>
      <c r="D84" s="81" t="s">
        <v>1080</v>
      </c>
      <c r="E84" s="81" t="s">
        <v>1150</v>
      </c>
      <c r="F84" s="81" t="s">
        <v>44</v>
      </c>
      <c r="G84" s="81">
        <v>26247</v>
      </c>
      <c r="H84" s="81" t="s">
        <v>109</v>
      </c>
      <c r="I84" s="81" t="s">
        <v>32</v>
      </c>
      <c r="J84" s="81" t="s">
        <v>33</v>
      </c>
      <c r="K84" s="81" t="s">
        <v>34</v>
      </c>
      <c r="L84" s="81" t="s">
        <v>1151</v>
      </c>
      <c r="M84" s="81">
        <v>8000198640</v>
      </c>
      <c r="N84" s="90">
        <v>44708</v>
      </c>
      <c r="O84" s="90">
        <v>44711</v>
      </c>
      <c r="P84" s="90">
        <v>44708</v>
      </c>
      <c r="Q84" s="90" t="s">
        <v>35</v>
      </c>
      <c r="R84" s="81">
        <v>0</v>
      </c>
      <c r="S84" s="90" t="s">
        <v>35</v>
      </c>
      <c r="T84" s="81">
        <v>0</v>
      </c>
      <c r="U84" s="81" t="s">
        <v>36</v>
      </c>
      <c r="V84" s="90" t="s">
        <v>35</v>
      </c>
      <c r="W84" s="81"/>
      <c r="X84" s="90" t="s">
        <v>37</v>
      </c>
      <c r="Y84" s="81" t="s">
        <v>38</v>
      </c>
      <c r="Z84" s="81">
        <v>879</v>
      </c>
      <c r="AA84" s="81" t="s">
        <v>45</v>
      </c>
      <c r="AB84" s="81">
        <v>0</v>
      </c>
      <c r="AC84" s="81"/>
      <c r="AD84" s="81">
        <v>0</v>
      </c>
      <c r="AE84" s="81"/>
      <c r="AF84" s="81" t="s">
        <v>39</v>
      </c>
      <c r="AG84" s="83">
        <v>0</v>
      </c>
      <c r="AH84" s="95">
        <v>14680</v>
      </c>
      <c r="AI84" s="82" t="str">
        <f>CONCATENATE((TEXT(Tabela1[[#This Row],[Data entrega]],"mmmm")),"_",(YEAR(Tabela1[[#This Row],[Data entrega]])))</f>
        <v>maio_2022</v>
      </c>
      <c r="AJ84" s="77">
        <f>IFERROR(IF(Tabela1[[#This Row],[Programa]]="",Tabela1[[#This Row],[Peso bruto]],VLOOKUP(Tabela1[[#This Row],[Pedido]],'Saldo a Produzir'!$A:$D,4,0)),"")</f>
        <v>0</v>
      </c>
      <c r="AM84" s="73">
        <v>0</v>
      </c>
    </row>
    <row r="85" spans="1:39" ht="14.5" x14ac:dyDescent="0.35">
      <c r="A85" s="81">
        <v>15068</v>
      </c>
      <c r="B85" s="81" t="s">
        <v>135</v>
      </c>
      <c r="C85" s="81">
        <v>16404287044870</v>
      </c>
      <c r="D85" s="81" t="s">
        <v>1080</v>
      </c>
      <c r="E85" s="81" t="s">
        <v>1081</v>
      </c>
      <c r="F85" s="81" t="s">
        <v>136</v>
      </c>
      <c r="G85" s="81">
        <v>26197</v>
      </c>
      <c r="H85" s="81" t="s">
        <v>109</v>
      </c>
      <c r="I85" s="81" t="s">
        <v>32</v>
      </c>
      <c r="J85" s="81" t="s">
        <v>33</v>
      </c>
      <c r="K85" s="81" t="s">
        <v>34</v>
      </c>
      <c r="L85" s="81" t="s">
        <v>1082</v>
      </c>
      <c r="M85" s="81">
        <v>8000197672</v>
      </c>
      <c r="N85" s="90">
        <v>44705</v>
      </c>
      <c r="O85" s="90">
        <v>44711</v>
      </c>
      <c r="P85" s="90">
        <v>44705</v>
      </c>
      <c r="Q85" s="90" t="s">
        <v>35</v>
      </c>
      <c r="R85" s="81">
        <v>0</v>
      </c>
      <c r="S85" s="90" t="s">
        <v>35</v>
      </c>
      <c r="T85" s="81">
        <v>0</v>
      </c>
      <c r="U85" s="81" t="s">
        <v>36</v>
      </c>
      <c r="V85" s="90" t="s">
        <v>35</v>
      </c>
      <c r="W85" s="81"/>
      <c r="X85" s="90" t="s">
        <v>37</v>
      </c>
      <c r="Y85" s="81" t="s">
        <v>1083</v>
      </c>
      <c r="Z85" s="81">
        <v>879</v>
      </c>
      <c r="AA85" s="81" t="s">
        <v>45</v>
      </c>
      <c r="AB85" s="81">
        <v>0</v>
      </c>
      <c r="AC85" s="81"/>
      <c r="AD85" s="81">
        <v>0</v>
      </c>
      <c r="AE85" s="81"/>
      <c r="AF85" s="81" t="s">
        <v>39</v>
      </c>
      <c r="AG85" s="83">
        <v>0</v>
      </c>
      <c r="AH85" s="95">
        <v>15925</v>
      </c>
      <c r="AI85" s="82" t="str">
        <f>CONCATENATE((TEXT(Tabela1[[#This Row],[Data entrega]],"mmmm")),"_",(YEAR(Tabela1[[#This Row],[Data entrega]])))</f>
        <v>maio_2022</v>
      </c>
      <c r="AJ85" s="77">
        <f>IFERROR(IF(Tabela1[[#This Row],[Programa]]="",Tabela1[[#This Row],[Peso bruto]],VLOOKUP(Tabela1[[#This Row],[Pedido]],'Saldo a Produzir'!$A:$D,4,0)),"")</f>
        <v>0</v>
      </c>
      <c r="AM85" s="73">
        <v>0</v>
      </c>
    </row>
    <row r="86" spans="1:39" ht="14.5" x14ac:dyDescent="0.35">
      <c r="A86" s="81">
        <v>15064</v>
      </c>
      <c r="B86" s="81" t="s">
        <v>67</v>
      </c>
      <c r="C86" s="81">
        <v>776574002523</v>
      </c>
      <c r="D86" s="81" t="s">
        <v>721</v>
      </c>
      <c r="E86" s="81" t="s">
        <v>724</v>
      </c>
      <c r="F86" s="81" t="s">
        <v>252</v>
      </c>
      <c r="G86" s="81">
        <v>25868</v>
      </c>
      <c r="H86" s="81" t="s">
        <v>87</v>
      </c>
      <c r="I86" s="81" t="s">
        <v>32</v>
      </c>
      <c r="J86" s="81" t="s">
        <v>156</v>
      </c>
      <c r="K86" s="81" t="s">
        <v>34</v>
      </c>
      <c r="L86" s="81" t="s">
        <v>725</v>
      </c>
      <c r="M86" s="81" t="s">
        <v>726</v>
      </c>
      <c r="N86" s="90">
        <v>44651</v>
      </c>
      <c r="O86" s="90">
        <v>44712</v>
      </c>
      <c r="P86" s="90">
        <v>44656</v>
      </c>
      <c r="Q86" s="90">
        <v>44687</v>
      </c>
      <c r="R86" s="81">
        <v>6626</v>
      </c>
      <c r="S86" s="90">
        <v>44720</v>
      </c>
      <c r="T86" s="81">
        <v>7086</v>
      </c>
      <c r="U86" s="81" t="s">
        <v>36</v>
      </c>
      <c r="V86" s="90" t="s">
        <v>35</v>
      </c>
      <c r="W86" s="81" t="s">
        <v>736</v>
      </c>
      <c r="X86" s="90">
        <v>44657</v>
      </c>
      <c r="Y86" s="81" t="s">
        <v>38</v>
      </c>
      <c r="Z86" s="81">
        <v>0</v>
      </c>
      <c r="AA86" s="81"/>
      <c r="AB86" s="81">
        <v>0</v>
      </c>
      <c r="AC86" s="81"/>
      <c r="AD86" s="81">
        <v>0</v>
      </c>
      <c r="AE86" s="81" t="s">
        <v>153</v>
      </c>
      <c r="AF86" s="81" t="s">
        <v>39</v>
      </c>
      <c r="AG86" s="83">
        <v>2704.3</v>
      </c>
      <c r="AH86" s="95">
        <v>51764.28</v>
      </c>
      <c r="AI86" s="82" t="str">
        <f>CONCATENATE((TEXT(Tabela1[[#This Row],[Data entrega]],"mmmm")),"_",(YEAR(Tabela1[[#This Row],[Data entrega]])))</f>
        <v>maio_2022</v>
      </c>
      <c r="AJ86" s="77">
        <f>IFERROR(IF(Tabela1[[#This Row],[Programa]]="",Tabela1[[#This Row],[Peso bruto]],VLOOKUP(Tabela1[[#This Row],[Pedido]],'Saldo a Produzir'!$A:$D,4,0)),"")</f>
        <v>2704.3</v>
      </c>
      <c r="AM86" s="73">
        <v>2769.3820000000001</v>
      </c>
    </row>
    <row r="87" spans="1:39" ht="14.5" x14ac:dyDescent="0.35">
      <c r="A87" s="81">
        <v>15067</v>
      </c>
      <c r="B87" s="81" t="s">
        <v>59</v>
      </c>
      <c r="C87" s="81">
        <v>42150391003781</v>
      </c>
      <c r="D87" s="81" t="s">
        <v>107</v>
      </c>
      <c r="E87" s="81" t="s">
        <v>331</v>
      </c>
      <c r="F87" s="81" t="s">
        <v>58</v>
      </c>
      <c r="G87" s="81">
        <v>26258</v>
      </c>
      <c r="H87" s="81" t="s">
        <v>125</v>
      </c>
      <c r="I87" s="81" t="s">
        <v>32</v>
      </c>
      <c r="J87" s="81" t="s">
        <v>33</v>
      </c>
      <c r="K87" s="81" t="s">
        <v>34</v>
      </c>
      <c r="L87" s="81" t="s">
        <v>1166</v>
      </c>
      <c r="M87" s="81">
        <v>4900023717</v>
      </c>
      <c r="N87" s="90">
        <v>44711</v>
      </c>
      <c r="O87" s="90">
        <v>44712</v>
      </c>
      <c r="P87" s="90">
        <v>44711</v>
      </c>
      <c r="Q87" s="90" t="s">
        <v>35</v>
      </c>
      <c r="R87" s="81">
        <v>0</v>
      </c>
      <c r="S87" s="90" t="s">
        <v>35</v>
      </c>
      <c r="T87" s="81">
        <v>0</v>
      </c>
      <c r="U87" s="81" t="s">
        <v>36</v>
      </c>
      <c r="V87" s="90" t="s">
        <v>35</v>
      </c>
      <c r="W87" s="81"/>
      <c r="X87" s="90" t="s">
        <v>37</v>
      </c>
      <c r="Y87" s="81" t="s">
        <v>38</v>
      </c>
      <c r="Z87" s="81">
        <v>208</v>
      </c>
      <c r="AA87" s="81" t="s">
        <v>150</v>
      </c>
      <c r="AB87" s="81">
        <v>0</v>
      </c>
      <c r="AC87" s="81"/>
      <c r="AD87" s="81">
        <v>0</v>
      </c>
      <c r="AE87" s="81"/>
      <c r="AF87" s="81" t="s">
        <v>39</v>
      </c>
      <c r="AG87" s="83">
        <v>0</v>
      </c>
      <c r="AH87" s="95">
        <v>60000</v>
      </c>
      <c r="AI87" s="82" t="str">
        <f>CONCATENATE((TEXT(Tabela1[[#This Row],[Data entrega]],"mmmm")),"_",(YEAR(Tabela1[[#This Row],[Data entrega]])))</f>
        <v>maio_2022</v>
      </c>
      <c r="AJ87" s="77">
        <f>IFERROR(IF(Tabela1[[#This Row],[Programa]]="",Tabela1[[#This Row],[Peso bruto]],VLOOKUP(Tabela1[[#This Row],[Pedido]],'Saldo a Produzir'!$A:$D,4,0)),"")</f>
        <v>0</v>
      </c>
      <c r="AM87" s="73">
        <v>0</v>
      </c>
    </row>
    <row r="88" spans="1:39" ht="14.5" x14ac:dyDescent="0.35">
      <c r="A88" s="81">
        <v>15069</v>
      </c>
      <c r="B88" s="81" t="s">
        <v>297</v>
      </c>
      <c r="C88" s="81">
        <v>8326720000153</v>
      </c>
      <c r="D88" s="81" t="s">
        <v>220</v>
      </c>
      <c r="E88" s="81" t="s">
        <v>180</v>
      </c>
      <c r="F88" s="81" t="s">
        <v>181</v>
      </c>
      <c r="G88" s="81">
        <v>23716</v>
      </c>
      <c r="H88" s="81" t="s">
        <v>134</v>
      </c>
      <c r="I88" s="81" t="s">
        <v>32</v>
      </c>
      <c r="J88" s="81" t="s">
        <v>156</v>
      </c>
      <c r="K88" s="81" t="s">
        <v>34</v>
      </c>
      <c r="L88" s="81" t="s">
        <v>244</v>
      </c>
      <c r="M88" s="81"/>
      <c r="N88" s="90">
        <v>44317</v>
      </c>
      <c r="O88" s="90">
        <v>44712</v>
      </c>
      <c r="P88" s="90">
        <v>44630</v>
      </c>
      <c r="Q88" s="90">
        <v>44613</v>
      </c>
      <c r="R88" s="81">
        <v>5523</v>
      </c>
      <c r="S88" s="90">
        <v>44697</v>
      </c>
      <c r="T88" s="81">
        <v>6745</v>
      </c>
      <c r="U88" s="81" t="s">
        <v>36</v>
      </c>
      <c r="V88" s="90" t="s">
        <v>35</v>
      </c>
      <c r="W88" s="81" t="s">
        <v>296</v>
      </c>
      <c r="X88" s="90">
        <v>44477</v>
      </c>
      <c r="Y88" s="81" t="s">
        <v>38</v>
      </c>
      <c r="Z88" s="81">
        <v>0</v>
      </c>
      <c r="AA88" s="81"/>
      <c r="AB88" s="81">
        <v>0</v>
      </c>
      <c r="AC88" s="81"/>
      <c r="AD88" s="81">
        <v>0</v>
      </c>
      <c r="AE88" s="81" t="s">
        <v>153</v>
      </c>
      <c r="AF88" s="81" t="s">
        <v>62</v>
      </c>
      <c r="AG88" s="83">
        <v>0</v>
      </c>
      <c r="AH88" s="95">
        <v>15348.56</v>
      </c>
      <c r="AI88" s="82" t="str">
        <f>CONCATENATE((TEXT(Tabela1[[#This Row],[Data entrega]],"mmmm")),"_",(YEAR(Tabela1[[#This Row],[Data entrega]])))</f>
        <v>maio_2022</v>
      </c>
      <c r="AJ88" s="77" t="str">
        <f>IFERROR(IF(Tabela1[[#This Row],[Programa]]="",Tabela1[[#This Row],[Peso bruto]],VLOOKUP(Tabela1[[#This Row],[Pedido]],'Saldo a Produzir'!$A:$D,4,0)),"")</f>
        <v/>
      </c>
      <c r="AM88" s="73">
        <v>524.93899999999996</v>
      </c>
    </row>
    <row r="89" spans="1:39" ht="14.5" x14ac:dyDescent="0.35">
      <c r="A89" s="81">
        <v>15020</v>
      </c>
      <c r="B89" s="81" t="s">
        <v>46</v>
      </c>
      <c r="C89" s="81">
        <v>0</v>
      </c>
      <c r="D89" s="81" t="s">
        <v>306</v>
      </c>
      <c r="E89" s="81" t="s">
        <v>187</v>
      </c>
      <c r="F89" s="81" t="s">
        <v>49</v>
      </c>
      <c r="G89" s="81">
        <v>25586</v>
      </c>
      <c r="H89" s="81" t="s">
        <v>88</v>
      </c>
      <c r="I89" s="81" t="s">
        <v>32</v>
      </c>
      <c r="J89" s="81" t="s">
        <v>33</v>
      </c>
      <c r="K89" s="81" t="s">
        <v>34</v>
      </c>
      <c r="L89" s="81" t="s">
        <v>555</v>
      </c>
      <c r="M89" s="81"/>
      <c r="N89" s="90">
        <v>44628</v>
      </c>
      <c r="O89" s="90">
        <v>44712</v>
      </c>
      <c r="P89" s="90">
        <v>44635</v>
      </c>
      <c r="Q89" s="90" t="s">
        <v>35</v>
      </c>
      <c r="R89" s="81">
        <v>0</v>
      </c>
      <c r="S89" s="90" t="s">
        <v>35</v>
      </c>
      <c r="T89" s="81">
        <v>0</v>
      </c>
      <c r="U89" s="81" t="s">
        <v>36</v>
      </c>
      <c r="V89" s="90" t="s">
        <v>35</v>
      </c>
      <c r="W89" s="81" t="s">
        <v>569</v>
      </c>
      <c r="X89" s="90">
        <v>44636</v>
      </c>
      <c r="Y89" s="81" t="s">
        <v>38</v>
      </c>
      <c r="Z89" s="81">
        <v>0</v>
      </c>
      <c r="AA89" s="81"/>
      <c r="AB89" s="81">
        <v>0</v>
      </c>
      <c r="AC89" s="81"/>
      <c r="AD89" s="81">
        <v>0</v>
      </c>
      <c r="AE89" s="81"/>
      <c r="AF89" s="81" t="s">
        <v>307</v>
      </c>
      <c r="AG89" s="83">
        <v>10686.18</v>
      </c>
      <c r="AH89" s="95">
        <v>302782.92</v>
      </c>
      <c r="AI89" s="82" t="str">
        <f>CONCATENATE((TEXT(Tabela1[[#This Row],[Data entrega]],"mmmm")),"_",(YEAR(Tabela1[[#This Row],[Data entrega]])))</f>
        <v>maio_2022</v>
      </c>
      <c r="AJ89" s="77">
        <f>IFERROR(IF(Tabela1[[#This Row],[Programa]]="",Tabela1[[#This Row],[Peso bruto]],VLOOKUP(Tabela1[[#This Row],[Pedido]],'Saldo a Produzir'!$A:$D,4,0)),"")</f>
        <v>10686.18</v>
      </c>
      <c r="AM89" s="73">
        <v>22927.623</v>
      </c>
    </row>
    <row r="90" spans="1:39" ht="14.5" x14ac:dyDescent="0.35">
      <c r="A90" s="81">
        <v>15062</v>
      </c>
      <c r="B90" s="81" t="s">
        <v>50</v>
      </c>
      <c r="C90" s="81">
        <v>28254708000279</v>
      </c>
      <c r="D90" s="81" t="s">
        <v>1043</v>
      </c>
      <c r="E90" s="81" t="s">
        <v>1044</v>
      </c>
      <c r="F90" s="81" t="s">
        <v>54</v>
      </c>
      <c r="G90" s="81">
        <v>26147</v>
      </c>
      <c r="H90" s="81" t="s">
        <v>131</v>
      </c>
      <c r="I90" s="81" t="s">
        <v>976</v>
      </c>
      <c r="J90" s="81" t="s">
        <v>33</v>
      </c>
      <c r="K90" s="81" t="s">
        <v>999</v>
      </c>
      <c r="L90" s="81"/>
      <c r="M90" s="81"/>
      <c r="N90" s="90">
        <v>44698</v>
      </c>
      <c r="O90" s="90">
        <v>44712</v>
      </c>
      <c r="P90" s="90">
        <v>44699</v>
      </c>
      <c r="Q90" s="90" t="s">
        <v>35</v>
      </c>
      <c r="R90" s="81">
        <v>0</v>
      </c>
      <c r="S90" s="90" t="s">
        <v>35</v>
      </c>
      <c r="T90" s="81">
        <v>0</v>
      </c>
      <c r="U90" s="81" t="s">
        <v>36</v>
      </c>
      <c r="V90" s="90" t="s">
        <v>35</v>
      </c>
      <c r="W90" s="81" t="s">
        <v>1045</v>
      </c>
      <c r="X90" s="90">
        <v>44699</v>
      </c>
      <c r="Y90" s="81" t="s">
        <v>38</v>
      </c>
      <c r="Z90" s="81">
        <v>0</v>
      </c>
      <c r="AA90" s="81"/>
      <c r="AB90" s="81">
        <v>0</v>
      </c>
      <c r="AC90" s="81"/>
      <c r="AD90" s="81">
        <v>0</v>
      </c>
      <c r="AE90" s="81" t="s">
        <v>153</v>
      </c>
      <c r="AF90" s="81" t="s">
        <v>39</v>
      </c>
      <c r="AG90" s="83">
        <v>1386.29</v>
      </c>
      <c r="AH90" s="95">
        <v>13405</v>
      </c>
      <c r="AI90" s="82" t="str">
        <f>CONCATENATE((TEXT(Tabela1[[#This Row],[Data entrega]],"mmmm")),"_",(YEAR(Tabela1[[#This Row],[Data entrega]])))</f>
        <v>maio_2022</v>
      </c>
      <c r="AJ90" s="77">
        <f>IFERROR(IF(Tabela1[[#This Row],[Programa]]="",Tabela1[[#This Row],[Peso bruto]],VLOOKUP(Tabela1[[#This Row],[Pedido]],'Saldo a Produzir'!$A:$D,4,0)),"")</f>
        <v>1386.29</v>
      </c>
      <c r="AM90" s="73">
        <v>1915.6130000000001</v>
      </c>
    </row>
    <row r="91" spans="1:39" ht="14.5" x14ac:dyDescent="0.35">
      <c r="A91" s="81">
        <v>15908</v>
      </c>
      <c r="B91" s="81" t="s">
        <v>230</v>
      </c>
      <c r="C91" s="81">
        <v>3853896000220</v>
      </c>
      <c r="D91" s="81" t="s">
        <v>320</v>
      </c>
      <c r="E91" s="81" t="s">
        <v>323</v>
      </c>
      <c r="F91" s="81" t="s">
        <v>136</v>
      </c>
      <c r="G91" s="81">
        <v>26172</v>
      </c>
      <c r="H91" s="81" t="s">
        <v>90</v>
      </c>
      <c r="I91" s="81" t="s">
        <v>976</v>
      </c>
      <c r="J91" s="81" t="s">
        <v>156</v>
      </c>
      <c r="K91" s="81" t="s">
        <v>981</v>
      </c>
      <c r="L91" s="81"/>
      <c r="M91" s="81">
        <v>170937</v>
      </c>
      <c r="N91" s="90">
        <v>44700</v>
      </c>
      <c r="O91" s="90">
        <v>44712</v>
      </c>
      <c r="P91" s="90">
        <v>44700</v>
      </c>
      <c r="Q91" s="90">
        <v>44706</v>
      </c>
      <c r="R91" s="81">
        <v>6869</v>
      </c>
      <c r="S91" s="90">
        <v>44706</v>
      </c>
      <c r="T91" s="81">
        <v>6869</v>
      </c>
      <c r="U91" s="81" t="s">
        <v>36</v>
      </c>
      <c r="V91" s="90" t="s">
        <v>35</v>
      </c>
      <c r="W91" s="81" t="s">
        <v>1046</v>
      </c>
      <c r="X91" s="90">
        <v>44700</v>
      </c>
      <c r="Y91" s="81" t="s">
        <v>38</v>
      </c>
      <c r="Z91" s="81">
        <v>0</v>
      </c>
      <c r="AA91" s="81"/>
      <c r="AB91" s="81">
        <v>0</v>
      </c>
      <c r="AC91" s="81"/>
      <c r="AD91" s="81">
        <v>0</v>
      </c>
      <c r="AE91" s="81" t="s">
        <v>153</v>
      </c>
      <c r="AF91" s="81" t="s">
        <v>39</v>
      </c>
      <c r="AG91" s="83">
        <v>177.83</v>
      </c>
      <c r="AH91" s="95">
        <v>1287.3399999999999</v>
      </c>
      <c r="AI91" s="82" t="str">
        <f>CONCATENATE((TEXT(Tabela1[[#This Row],[Data entrega]],"mmmm")),"_",(YEAR(Tabela1[[#This Row],[Data entrega]])))</f>
        <v>maio_2022</v>
      </c>
      <c r="AJ91" s="77">
        <f>IFERROR(IF(Tabela1[[#This Row],[Programa]]="",Tabela1[[#This Row],[Peso bruto]],VLOOKUP(Tabela1[[#This Row],[Pedido]],'Saldo a Produzir'!$A:$D,4,0)),"")</f>
        <v>177.83</v>
      </c>
      <c r="AM91" s="73">
        <v>175.523</v>
      </c>
    </row>
    <row r="92" spans="1:39" ht="14.5" x14ac:dyDescent="0.35">
      <c r="A92" s="81">
        <v>15909</v>
      </c>
      <c r="B92" s="81" t="s">
        <v>223</v>
      </c>
      <c r="C92" s="81">
        <v>61585865288660</v>
      </c>
      <c r="D92" s="81" t="s">
        <v>845</v>
      </c>
      <c r="E92" s="81" t="s">
        <v>803</v>
      </c>
      <c r="F92" s="81" t="s">
        <v>103</v>
      </c>
      <c r="G92" s="81">
        <v>26276</v>
      </c>
      <c r="H92" s="81" t="s">
        <v>93</v>
      </c>
      <c r="I92" s="81" t="s">
        <v>32</v>
      </c>
      <c r="J92" s="81" t="s">
        <v>33</v>
      </c>
      <c r="K92" s="81" t="s">
        <v>34</v>
      </c>
      <c r="L92" s="81" t="s">
        <v>1167</v>
      </c>
      <c r="M92" s="81"/>
      <c r="N92" s="90">
        <v>44712</v>
      </c>
      <c r="O92" s="90">
        <v>44712</v>
      </c>
      <c r="P92" s="90">
        <v>44719</v>
      </c>
      <c r="Q92" s="90" t="s">
        <v>35</v>
      </c>
      <c r="R92" s="81">
        <v>0</v>
      </c>
      <c r="S92" s="90" t="s">
        <v>35</v>
      </c>
      <c r="T92" s="81">
        <v>0</v>
      </c>
      <c r="U92" s="81" t="s">
        <v>36</v>
      </c>
      <c r="V92" s="90" t="s">
        <v>35</v>
      </c>
      <c r="W92" s="81"/>
      <c r="X92" s="90" t="s">
        <v>37</v>
      </c>
      <c r="Y92" s="81" t="s">
        <v>38</v>
      </c>
      <c r="Z92" s="81">
        <v>13</v>
      </c>
      <c r="AA92" s="81" t="s">
        <v>149</v>
      </c>
      <c r="AB92" s="81">
        <v>0</v>
      </c>
      <c r="AC92" s="81"/>
      <c r="AD92" s="81">
        <v>0</v>
      </c>
      <c r="AE92" s="81" t="s">
        <v>153</v>
      </c>
      <c r="AF92" s="81" t="s">
        <v>39</v>
      </c>
      <c r="AG92" s="83">
        <v>0</v>
      </c>
      <c r="AH92" s="95">
        <v>36750</v>
      </c>
      <c r="AI92" s="82" t="str">
        <f>CONCATENATE((TEXT(Tabela1[[#This Row],[Data entrega]],"mmmm")),"_",(YEAR(Tabela1[[#This Row],[Data entrega]])))</f>
        <v>maio_2022</v>
      </c>
      <c r="AJ92" s="77">
        <f>IFERROR(IF(Tabela1[[#This Row],[Programa]]="",Tabela1[[#This Row],[Peso bruto]],VLOOKUP(Tabela1[[#This Row],[Pedido]],'Saldo a Produzir'!$A:$D,4,0)),"")</f>
        <v>0</v>
      </c>
      <c r="AM92" s="73">
        <v>0</v>
      </c>
    </row>
    <row r="93" spans="1:39" ht="14.5" x14ac:dyDescent="0.35">
      <c r="A93" s="81">
        <v>15068</v>
      </c>
      <c r="B93" s="81" t="s">
        <v>135</v>
      </c>
      <c r="C93" s="81">
        <v>16404287022205</v>
      </c>
      <c r="D93" s="81" t="s">
        <v>1080</v>
      </c>
      <c r="E93" s="81" t="s">
        <v>160</v>
      </c>
      <c r="F93" s="81" t="s">
        <v>159</v>
      </c>
      <c r="G93" s="81">
        <v>26251</v>
      </c>
      <c r="H93" s="81" t="s">
        <v>109</v>
      </c>
      <c r="I93" s="81" t="s">
        <v>32</v>
      </c>
      <c r="J93" s="81" t="s">
        <v>33</v>
      </c>
      <c r="K93" s="81" t="s">
        <v>34</v>
      </c>
      <c r="L93" s="81" t="s">
        <v>1168</v>
      </c>
      <c r="M93" s="81">
        <v>8000198359</v>
      </c>
      <c r="N93" s="90">
        <v>44711</v>
      </c>
      <c r="O93" s="90">
        <v>44712</v>
      </c>
      <c r="P93" s="90">
        <v>44711</v>
      </c>
      <c r="Q93" s="90" t="s">
        <v>35</v>
      </c>
      <c r="R93" s="81">
        <v>0</v>
      </c>
      <c r="S93" s="90" t="s">
        <v>35</v>
      </c>
      <c r="T93" s="81">
        <v>0</v>
      </c>
      <c r="U93" s="81" t="s">
        <v>36</v>
      </c>
      <c r="V93" s="90" t="s">
        <v>35</v>
      </c>
      <c r="W93" s="81"/>
      <c r="X93" s="90" t="s">
        <v>37</v>
      </c>
      <c r="Y93" s="81" t="s">
        <v>38</v>
      </c>
      <c r="Z93" s="81">
        <v>879</v>
      </c>
      <c r="AA93" s="81" t="s">
        <v>45</v>
      </c>
      <c r="AB93" s="81">
        <v>0</v>
      </c>
      <c r="AC93" s="81"/>
      <c r="AD93" s="81">
        <v>0</v>
      </c>
      <c r="AE93" s="81"/>
      <c r="AF93" s="81" t="s">
        <v>39</v>
      </c>
      <c r="AG93" s="83">
        <v>0</v>
      </c>
      <c r="AH93" s="95">
        <v>12730</v>
      </c>
      <c r="AI93" s="82" t="str">
        <f>CONCATENATE((TEXT(Tabela1[[#This Row],[Data entrega]],"mmmm")),"_",(YEAR(Tabela1[[#This Row],[Data entrega]])))</f>
        <v>maio_2022</v>
      </c>
      <c r="AJ93" s="77">
        <f>IFERROR(IF(Tabela1[[#This Row],[Programa]]="",Tabela1[[#This Row],[Peso bruto]],VLOOKUP(Tabela1[[#This Row],[Pedido]],'Saldo a Produzir'!$A:$D,4,0)),"")</f>
        <v>0</v>
      </c>
      <c r="AM93" s="73">
        <v>0</v>
      </c>
    </row>
    <row r="94" spans="1:39" ht="14.5" x14ac:dyDescent="0.35">
      <c r="A94" s="81">
        <v>15000</v>
      </c>
      <c r="B94" s="81" t="s">
        <v>234</v>
      </c>
      <c r="C94" s="81">
        <v>87556650000104</v>
      </c>
      <c r="D94" s="81" t="s">
        <v>988</v>
      </c>
      <c r="E94" s="81" t="s">
        <v>77</v>
      </c>
      <c r="F94" s="81" t="s">
        <v>58</v>
      </c>
      <c r="G94" s="81">
        <v>23900</v>
      </c>
      <c r="H94" s="81" t="s">
        <v>134</v>
      </c>
      <c r="I94" s="81" t="s">
        <v>989</v>
      </c>
      <c r="J94" s="81" t="s">
        <v>156</v>
      </c>
      <c r="K94" s="81" t="s">
        <v>34</v>
      </c>
      <c r="L94" s="81"/>
      <c r="M94" s="81"/>
      <c r="N94" s="90">
        <v>44347</v>
      </c>
      <c r="O94" s="90">
        <v>44713</v>
      </c>
      <c r="P94" s="90">
        <v>44355</v>
      </c>
      <c r="Q94" s="90">
        <v>44400</v>
      </c>
      <c r="R94" s="81">
        <v>3323</v>
      </c>
      <c r="S94" s="90">
        <v>44400</v>
      </c>
      <c r="T94" s="81">
        <v>3323</v>
      </c>
      <c r="U94" s="81" t="s">
        <v>36</v>
      </c>
      <c r="V94" s="90" t="s">
        <v>35</v>
      </c>
      <c r="W94" s="81" t="s">
        <v>990</v>
      </c>
      <c r="X94" s="90">
        <v>44355</v>
      </c>
      <c r="Y94" s="81" t="s">
        <v>991</v>
      </c>
      <c r="Z94" s="81">
        <v>0</v>
      </c>
      <c r="AA94" s="81"/>
      <c r="AB94" s="81">
        <v>0</v>
      </c>
      <c r="AC94" s="81"/>
      <c r="AD94" s="81">
        <v>0</v>
      </c>
      <c r="AE94" s="81" t="s">
        <v>153</v>
      </c>
      <c r="AF94" s="81" t="s">
        <v>39</v>
      </c>
      <c r="AG94" s="83">
        <v>0</v>
      </c>
      <c r="AH94" s="95">
        <v>1.03</v>
      </c>
      <c r="AI94" s="82" t="str">
        <f>CONCATENATE((TEXT(Tabela1[[#This Row],[Data entrega]],"mmmm")),"_",(YEAR(Tabela1[[#This Row],[Data entrega]])))</f>
        <v>junho_2022</v>
      </c>
      <c r="AJ94" s="77">
        <f>IFERROR(IF(Tabela1[[#This Row],[Programa]]="",Tabela1[[#This Row],[Peso bruto]],VLOOKUP(Tabela1[[#This Row],[Pedido]],'Saldo a Produzir'!$A:$D,4,0)),"")</f>
        <v>0</v>
      </c>
      <c r="AM94" s="73">
        <v>175.113</v>
      </c>
    </row>
    <row r="95" spans="1:39" ht="14.5" x14ac:dyDescent="0.35">
      <c r="A95" s="81">
        <v>15070</v>
      </c>
      <c r="B95" s="81" t="s">
        <v>140</v>
      </c>
      <c r="C95" s="81">
        <v>77595395005025</v>
      </c>
      <c r="D95" s="81" t="s">
        <v>207</v>
      </c>
      <c r="E95" s="81" t="s">
        <v>208</v>
      </c>
      <c r="F95" s="81" t="s">
        <v>42</v>
      </c>
      <c r="G95" s="81">
        <v>23504</v>
      </c>
      <c r="H95" s="81" t="s">
        <v>88</v>
      </c>
      <c r="I95" s="81" t="s">
        <v>32</v>
      </c>
      <c r="J95" s="81" t="s">
        <v>156</v>
      </c>
      <c r="K95" s="81" t="s">
        <v>34</v>
      </c>
      <c r="L95" s="81" t="s">
        <v>216</v>
      </c>
      <c r="M95" s="81">
        <v>2260950</v>
      </c>
      <c r="N95" s="90">
        <v>44280</v>
      </c>
      <c r="O95" s="90">
        <v>44713</v>
      </c>
      <c r="P95" s="90">
        <v>44699</v>
      </c>
      <c r="Q95" s="90">
        <v>44699</v>
      </c>
      <c r="R95" s="81">
        <v>6781</v>
      </c>
      <c r="S95" s="90">
        <v>44699</v>
      </c>
      <c r="T95" s="81">
        <v>6781</v>
      </c>
      <c r="U95" s="81" t="s">
        <v>36</v>
      </c>
      <c r="V95" s="90" t="s">
        <v>35</v>
      </c>
      <c r="W95" s="81" t="s">
        <v>213</v>
      </c>
      <c r="X95" s="90">
        <v>44291</v>
      </c>
      <c r="Y95" s="81" t="s">
        <v>38</v>
      </c>
      <c r="Z95" s="81">
        <v>0</v>
      </c>
      <c r="AA95" s="81"/>
      <c r="AB95" s="81">
        <v>0</v>
      </c>
      <c r="AC95" s="81"/>
      <c r="AD95" s="81">
        <v>0</v>
      </c>
      <c r="AE95" s="81" t="s">
        <v>153</v>
      </c>
      <c r="AF95" s="81" t="s">
        <v>39</v>
      </c>
      <c r="AG95" s="83">
        <v>3297.68</v>
      </c>
      <c r="AH95" s="95">
        <v>75432.800000000003</v>
      </c>
      <c r="AI95" s="82" t="str">
        <f>CONCATENATE((TEXT(Tabela1[[#This Row],[Data entrega]],"mmmm")),"_",(YEAR(Tabela1[[#This Row],[Data entrega]])))</f>
        <v>junho_2022</v>
      </c>
      <c r="AJ95" s="77">
        <f>IFERROR(IF(Tabela1[[#This Row],[Programa]]="",Tabela1[[#This Row],[Peso bruto]],VLOOKUP(Tabela1[[#This Row],[Pedido]],'Saldo a Produzir'!$A:$D,4,0)),"")</f>
        <v>3425.35</v>
      </c>
      <c r="AM95" s="73">
        <v>4006.4850000000001</v>
      </c>
    </row>
    <row r="96" spans="1:39" ht="14.5" x14ac:dyDescent="0.35">
      <c r="A96" s="81">
        <v>15062</v>
      </c>
      <c r="B96" s="81" t="s">
        <v>50</v>
      </c>
      <c r="C96" s="81">
        <v>33247743000110</v>
      </c>
      <c r="D96" s="81" t="s">
        <v>385</v>
      </c>
      <c r="E96" s="81" t="s">
        <v>73</v>
      </c>
      <c r="F96" s="81" t="s">
        <v>51</v>
      </c>
      <c r="G96" s="81">
        <v>25249</v>
      </c>
      <c r="H96" s="81" t="s">
        <v>92</v>
      </c>
      <c r="I96" s="81" t="s">
        <v>32</v>
      </c>
      <c r="J96" s="81" t="s">
        <v>33</v>
      </c>
      <c r="K96" s="81" t="s">
        <v>34</v>
      </c>
      <c r="L96" s="81" t="s">
        <v>441</v>
      </c>
      <c r="M96" s="81"/>
      <c r="N96" s="90">
        <v>44547</v>
      </c>
      <c r="O96" s="90">
        <v>44713</v>
      </c>
      <c r="P96" s="90">
        <v>44571</v>
      </c>
      <c r="Q96" s="90" t="s">
        <v>35</v>
      </c>
      <c r="R96" s="81">
        <v>0</v>
      </c>
      <c r="S96" s="90" t="s">
        <v>35</v>
      </c>
      <c r="T96" s="81">
        <v>0</v>
      </c>
      <c r="U96" s="81" t="s">
        <v>36</v>
      </c>
      <c r="V96" s="90" t="s">
        <v>35</v>
      </c>
      <c r="W96" s="81" t="s">
        <v>492</v>
      </c>
      <c r="X96" s="90">
        <v>44600</v>
      </c>
      <c r="Y96" s="81" t="s">
        <v>38</v>
      </c>
      <c r="Z96" s="81">
        <v>879</v>
      </c>
      <c r="AA96" s="81" t="s">
        <v>45</v>
      </c>
      <c r="AB96" s="81">
        <v>0</v>
      </c>
      <c r="AC96" s="81"/>
      <c r="AD96" s="81">
        <v>0</v>
      </c>
      <c r="AE96" s="81" t="s">
        <v>153</v>
      </c>
      <c r="AF96" s="81" t="s">
        <v>39</v>
      </c>
      <c r="AG96" s="83">
        <v>0</v>
      </c>
      <c r="AH96" s="95">
        <v>159859.72</v>
      </c>
      <c r="AI96" s="82" t="str">
        <f>CONCATENATE((TEXT(Tabela1[[#This Row],[Data entrega]],"mmmm")),"_",(YEAR(Tabela1[[#This Row],[Data entrega]])))</f>
        <v>junho_2022</v>
      </c>
      <c r="AJ96" s="77">
        <f>IFERROR(IF(Tabela1[[#This Row],[Programa]]="",Tabela1[[#This Row],[Peso bruto]],VLOOKUP(Tabela1[[#This Row],[Pedido]],'Saldo a Produzir'!$A:$D,4,0)),"")</f>
        <v>0</v>
      </c>
      <c r="AM96" s="73">
        <v>5371.6419999999998</v>
      </c>
    </row>
    <row r="97" spans="1:39" ht="14.5" x14ac:dyDescent="0.35">
      <c r="A97" s="81">
        <v>15908</v>
      </c>
      <c r="B97" s="81" t="s">
        <v>230</v>
      </c>
      <c r="C97" s="81">
        <v>92754738047983</v>
      </c>
      <c r="D97" s="81" t="s">
        <v>80</v>
      </c>
      <c r="E97" s="81" t="s">
        <v>177</v>
      </c>
      <c r="F97" s="81" t="s">
        <v>44</v>
      </c>
      <c r="G97" s="81">
        <v>25965</v>
      </c>
      <c r="H97" s="81"/>
      <c r="I97" s="81" t="s">
        <v>976</v>
      </c>
      <c r="J97" s="81" t="s">
        <v>156</v>
      </c>
      <c r="K97" s="81" t="s">
        <v>999</v>
      </c>
      <c r="L97" s="81"/>
      <c r="M97" s="81"/>
      <c r="N97" s="90">
        <v>44676</v>
      </c>
      <c r="O97" s="90">
        <v>44714</v>
      </c>
      <c r="P97" s="90">
        <v>44677</v>
      </c>
      <c r="Q97" s="90">
        <v>44694</v>
      </c>
      <c r="R97" s="81">
        <v>6721</v>
      </c>
      <c r="S97" s="90">
        <v>44707</v>
      </c>
      <c r="T97" s="81">
        <v>6882</v>
      </c>
      <c r="U97" s="81" t="s">
        <v>36</v>
      </c>
      <c r="V97" s="90" t="s">
        <v>35</v>
      </c>
      <c r="W97" s="81" t="s">
        <v>1001</v>
      </c>
      <c r="X97" s="90">
        <v>44677</v>
      </c>
      <c r="Y97" s="81" t="s">
        <v>38</v>
      </c>
      <c r="Z97" s="81">
        <v>0</v>
      </c>
      <c r="AA97" s="81"/>
      <c r="AB97" s="81">
        <v>0</v>
      </c>
      <c r="AC97" s="81"/>
      <c r="AD97" s="81">
        <v>0</v>
      </c>
      <c r="AE97" s="81"/>
      <c r="AF97" s="81" t="s">
        <v>39</v>
      </c>
      <c r="AG97" s="83">
        <v>0</v>
      </c>
      <c r="AH97" s="95">
        <v>69638.86</v>
      </c>
      <c r="AI97" s="82" t="str">
        <f>CONCATENATE((TEXT(Tabela1[[#This Row],[Data entrega]],"mmmm")),"_",(YEAR(Tabela1[[#This Row],[Data entrega]])))</f>
        <v>junho_2022</v>
      </c>
      <c r="AJ97" s="77">
        <f>IFERROR(IF(Tabela1[[#This Row],[Programa]]="",Tabela1[[#This Row],[Peso bruto]],VLOOKUP(Tabela1[[#This Row],[Pedido]],'Saldo a Produzir'!$A:$D,4,0)),"")</f>
        <v>0</v>
      </c>
      <c r="AM97" s="73">
        <v>135.69399999999999</v>
      </c>
    </row>
    <row r="98" spans="1:39" ht="14.5" x14ac:dyDescent="0.35">
      <c r="A98" s="81">
        <v>15069</v>
      </c>
      <c r="B98" s="81" t="s">
        <v>297</v>
      </c>
      <c r="C98" s="81">
        <v>8326720000153</v>
      </c>
      <c r="D98" s="81" t="s">
        <v>220</v>
      </c>
      <c r="E98" s="81" t="s">
        <v>180</v>
      </c>
      <c r="F98" s="81" t="s">
        <v>181</v>
      </c>
      <c r="G98" s="81">
        <v>23714</v>
      </c>
      <c r="H98" s="81" t="s">
        <v>92</v>
      </c>
      <c r="I98" s="81" t="s">
        <v>32</v>
      </c>
      <c r="J98" s="81" t="s">
        <v>156</v>
      </c>
      <c r="K98" s="81" t="s">
        <v>34</v>
      </c>
      <c r="L98" s="81" t="s">
        <v>244</v>
      </c>
      <c r="M98" s="81"/>
      <c r="N98" s="90">
        <v>44317</v>
      </c>
      <c r="O98" s="90">
        <v>44715</v>
      </c>
      <c r="P98" s="90">
        <v>44613</v>
      </c>
      <c r="Q98" s="90">
        <v>44613</v>
      </c>
      <c r="R98" s="81">
        <v>5501</v>
      </c>
      <c r="S98" s="90">
        <v>44697</v>
      </c>
      <c r="T98" s="81">
        <v>6748</v>
      </c>
      <c r="U98" s="81" t="s">
        <v>36</v>
      </c>
      <c r="V98" s="90" t="s">
        <v>35</v>
      </c>
      <c r="W98" s="81" t="s">
        <v>284</v>
      </c>
      <c r="X98" s="90">
        <v>44426</v>
      </c>
      <c r="Y98" s="81" t="s">
        <v>38</v>
      </c>
      <c r="Z98" s="81">
        <v>0</v>
      </c>
      <c r="AA98" s="81"/>
      <c r="AB98" s="81">
        <v>0</v>
      </c>
      <c r="AC98" s="81"/>
      <c r="AD98" s="81">
        <v>0</v>
      </c>
      <c r="AE98" s="81" t="s">
        <v>153</v>
      </c>
      <c r="AF98" s="81" t="s">
        <v>62</v>
      </c>
      <c r="AG98" s="83">
        <v>410.4</v>
      </c>
      <c r="AH98" s="95">
        <v>114059.38</v>
      </c>
      <c r="AI98" s="82" t="str">
        <f>CONCATENATE((TEXT(Tabela1[[#This Row],[Data entrega]],"mmmm")),"_",(YEAR(Tabela1[[#This Row],[Data entrega]])))</f>
        <v>junho_2022</v>
      </c>
      <c r="AJ98" s="77" t="str">
        <f>IFERROR(IF(Tabela1[[#This Row],[Programa]]="",Tabela1[[#This Row],[Peso bruto]],VLOOKUP(Tabela1[[#This Row],[Pedido]],'Saldo a Produzir'!$A:$D,4,0)),"")</f>
        <v/>
      </c>
      <c r="AM98" s="73">
        <v>1254.6369999999999</v>
      </c>
    </row>
    <row r="99" spans="1:39" ht="14.5" x14ac:dyDescent="0.35">
      <c r="A99" s="81">
        <v>15062</v>
      </c>
      <c r="B99" s="81" t="s">
        <v>50</v>
      </c>
      <c r="C99" s="81">
        <v>48122295002572</v>
      </c>
      <c r="D99" s="81" t="s">
        <v>211</v>
      </c>
      <c r="E99" s="81" t="s">
        <v>73</v>
      </c>
      <c r="F99" s="81" t="s">
        <v>51</v>
      </c>
      <c r="G99" s="81">
        <v>24163</v>
      </c>
      <c r="H99" s="81" t="s">
        <v>92</v>
      </c>
      <c r="I99" s="81" t="s">
        <v>32</v>
      </c>
      <c r="J99" s="81" t="s">
        <v>33</v>
      </c>
      <c r="K99" s="81" t="s">
        <v>34</v>
      </c>
      <c r="L99" s="81" t="s">
        <v>439</v>
      </c>
      <c r="M99" s="81">
        <v>4500552781</v>
      </c>
      <c r="N99" s="90">
        <v>44411</v>
      </c>
      <c r="O99" s="90">
        <v>44715</v>
      </c>
      <c r="P99" s="90">
        <v>44447</v>
      </c>
      <c r="Q99" s="90" t="s">
        <v>35</v>
      </c>
      <c r="R99" s="81">
        <v>0</v>
      </c>
      <c r="S99" s="90" t="s">
        <v>35</v>
      </c>
      <c r="T99" s="81">
        <v>0</v>
      </c>
      <c r="U99" s="81" t="s">
        <v>36</v>
      </c>
      <c r="V99" s="90" t="s">
        <v>35</v>
      </c>
      <c r="W99" s="81" t="s">
        <v>440</v>
      </c>
      <c r="X99" s="90">
        <v>44572</v>
      </c>
      <c r="Y99" s="81" t="s">
        <v>38</v>
      </c>
      <c r="Z99" s="81">
        <v>44</v>
      </c>
      <c r="AA99" s="81" t="s">
        <v>151</v>
      </c>
      <c r="AB99" s="81">
        <v>0</v>
      </c>
      <c r="AC99" s="81"/>
      <c r="AD99" s="81">
        <v>0</v>
      </c>
      <c r="AE99" s="81" t="s">
        <v>153</v>
      </c>
      <c r="AF99" s="81" t="s">
        <v>39</v>
      </c>
      <c r="AG99" s="83">
        <v>69.94</v>
      </c>
      <c r="AH99" s="95">
        <v>14357.95</v>
      </c>
      <c r="AI99" s="82" t="str">
        <f>CONCATENATE((TEXT(Tabela1[[#This Row],[Data entrega]],"mmmm")),"_",(YEAR(Tabela1[[#This Row],[Data entrega]])))</f>
        <v>junho_2022</v>
      </c>
      <c r="AJ99" s="77">
        <f>IFERROR(IF(Tabela1[[#This Row],[Programa]]="",Tabela1[[#This Row],[Peso bruto]],VLOOKUP(Tabela1[[#This Row],[Pedido]],'Saldo a Produzir'!$A:$D,4,0)),"")</f>
        <v>69.94</v>
      </c>
      <c r="AM99" s="73">
        <v>456.99900000000002</v>
      </c>
    </row>
    <row r="100" spans="1:39" ht="14.5" x14ac:dyDescent="0.35">
      <c r="A100" s="81">
        <v>15063</v>
      </c>
      <c r="B100" s="81" t="s">
        <v>71</v>
      </c>
      <c r="C100" s="81">
        <v>41429688000107</v>
      </c>
      <c r="D100" s="81" t="s">
        <v>464</v>
      </c>
      <c r="E100" s="81" t="s">
        <v>141</v>
      </c>
      <c r="F100" s="81" t="s">
        <v>54</v>
      </c>
      <c r="G100" s="81">
        <v>25325</v>
      </c>
      <c r="H100" s="81" t="s">
        <v>88</v>
      </c>
      <c r="I100" s="81" t="s">
        <v>32</v>
      </c>
      <c r="J100" s="81" t="s">
        <v>33</v>
      </c>
      <c r="K100" s="81" t="s">
        <v>34</v>
      </c>
      <c r="L100" s="81" t="s">
        <v>465</v>
      </c>
      <c r="M100" s="81"/>
      <c r="N100" s="90">
        <v>44585</v>
      </c>
      <c r="O100" s="90">
        <v>44715</v>
      </c>
      <c r="P100" s="90">
        <v>44587</v>
      </c>
      <c r="Q100" s="90" t="s">
        <v>35</v>
      </c>
      <c r="R100" s="81">
        <v>0</v>
      </c>
      <c r="S100" s="90" t="s">
        <v>35</v>
      </c>
      <c r="T100" s="81">
        <v>0</v>
      </c>
      <c r="U100" s="81" t="s">
        <v>36</v>
      </c>
      <c r="V100" s="90" t="s">
        <v>35</v>
      </c>
      <c r="W100" s="81" t="s">
        <v>493</v>
      </c>
      <c r="X100" s="90">
        <v>44602</v>
      </c>
      <c r="Y100" s="81" t="s">
        <v>38</v>
      </c>
      <c r="Z100" s="81">
        <v>2257</v>
      </c>
      <c r="AA100" s="81" t="s">
        <v>155</v>
      </c>
      <c r="AB100" s="81">
        <v>0</v>
      </c>
      <c r="AC100" s="81"/>
      <c r="AD100" s="81">
        <v>0</v>
      </c>
      <c r="AE100" s="81" t="s">
        <v>153</v>
      </c>
      <c r="AF100" s="81" t="s">
        <v>39</v>
      </c>
      <c r="AG100" s="83">
        <v>266.13</v>
      </c>
      <c r="AH100" s="95">
        <v>42206.63</v>
      </c>
      <c r="AI100" s="82" t="str">
        <f>CONCATENATE((TEXT(Tabela1[[#This Row],[Data entrega]],"mmmm")),"_",(YEAR(Tabela1[[#This Row],[Data entrega]])))</f>
        <v>junho_2022</v>
      </c>
      <c r="AJ100" s="77">
        <f>IFERROR(IF(Tabela1[[#This Row],[Programa]]="",Tabela1[[#This Row],[Peso bruto]],VLOOKUP(Tabela1[[#This Row],[Pedido]],'Saldo a Produzir'!$A:$D,4,0)),"")</f>
        <v>266.13</v>
      </c>
      <c r="AM100" s="73">
        <v>2341.6840000000002</v>
      </c>
    </row>
    <row r="101" spans="1:39" ht="14.5" x14ac:dyDescent="0.35">
      <c r="A101" s="81">
        <v>15059</v>
      </c>
      <c r="B101" s="81" t="s">
        <v>63</v>
      </c>
      <c r="C101" s="81">
        <v>14028228000102</v>
      </c>
      <c r="D101" s="81" t="s">
        <v>473</v>
      </c>
      <c r="E101" s="81" t="s">
        <v>474</v>
      </c>
      <c r="F101" s="81" t="s">
        <v>64</v>
      </c>
      <c r="G101" s="81">
        <v>25362</v>
      </c>
      <c r="H101" s="81" t="s">
        <v>88</v>
      </c>
      <c r="I101" s="81" t="s">
        <v>32</v>
      </c>
      <c r="J101" s="81" t="s">
        <v>33</v>
      </c>
      <c r="K101" s="81" t="s">
        <v>34</v>
      </c>
      <c r="L101" s="81" t="s">
        <v>475</v>
      </c>
      <c r="M101" s="81"/>
      <c r="N101" s="90">
        <v>44588</v>
      </c>
      <c r="O101" s="90">
        <v>44715</v>
      </c>
      <c r="P101" s="90">
        <v>44622</v>
      </c>
      <c r="Q101" s="90" t="s">
        <v>35</v>
      </c>
      <c r="R101" s="81">
        <v>0</v>
      </c>
      <c r="S101" s="90" t="s">
        <v>35</v>
      </c>
      <c r="T101" s="81">
        <v>0</v>
      </c>
      <c r="U101" s="81" t="s">
        <v>36</v>
      </c>
      <c r="V101" s="90" t="s">
        <v>35</v>
      </c>
      <c r="W101" s="81" t="s">
        <v>545</v>
      </c>
      <c r="X101" s="90">
        <v>44622</v>
      </c>
      <c r="Y101" s="81" t="s">
        <v>38</v>
      </c>
      <c r="Z101" s="81">
        <v>0</v>
      </c>
      <c r="AA101" s="81"/>
      <c r="AB101" s="81">
        <v>0</v>
      </c>
      <c r="AC101" s="81"/>
      <c r="AD101" s="81">
        <v>0</v>
      </c>
      <c r="AE101" s="81" t="s">
        <v>153</v>
      </c>
      <c r="AF101" s="81" t="s">
        <v>39</v>
      </c>
      <c r="AG101" s="83">
        <v>475.23</v>
      </c>
      <c r="AH101" s="95">
        <v>140130.9</v>
      </c>
      <c r="AI101" s="82" t="str">
        <f>CONCATENATE((TEXT(Tabela1[[#This Row],[Data entrega]],"mmmm")),"_",(YEAR(Tabela1[[#This Row],[Data entrega]])))</f>
        <v>junho_2022</v>
      </c>
      <c r="AJ101" s="77" t="str">
        <f>IFERROR(IF(Tabela1[[#This Row],[Programa]]="",Tabela1[[#This Row],[Peso bruto]],VLOOKUP(Tabela1[[#This Row],[Pedido]],'Saldo a Produzir'!$A:$D,4,0)),"")</f>
        <v/>
      </c>
      <c r="AM101" s="73">
        <v>7175.5</v>
      </c>
    </row>
    <row r="102" spans="1:39" ht="14.5" x14ac:dyDescent="0.35">
      <c r="A102" s="81">
        <v>15069</v>
      </c>
      <c r="B102" s="81" t="s">
        <v>297</v>
      </c>
      <c r="C102" s="81">
        <v>8326720000153</v>
      </c>
      <c r="D102" s="81" t="s">
        <v>220</v>
      </c>
      <c r="E102" s="81" t="s">
        <v>180</v>
      </c>
      <c r="F102" s="81" t="s">
        <v>181</v>
      </c>
      <c r="G102" s="81">
        <v>23717</v>
      </c>
      <c r="H102" s="81" t="s">
        <v>221</v>
      </c>
      <c r="I102" s="81" t="s">
        <v>32</v>
      </c>
      <c r="J102" s="81" t="s">
        <v>156</v>
      </c>
      <c r="K102" s="81" t="s">
        <v>34</v>
      </c>
      <c r="L102" s="81" t="s">
        <v>244</v>
      </c>
      <c r="M102" s="81"/>
      <c r="N102" s="90">
        <v>44317</v>
      </c>
      <c r="O102" s="90">
        <v>44716</v>
      </c>
      <c r="P102" s="90">
        <v>44613</v>
      </c>
      <c r="Q102" s="90">
        <v>44613</v>
      </c>
      <c r="R102" s="81">
        <v>5518</v>
      </c>
      <c r="S102" s="90">
        <v>44697</v>
      </c>
      <c r="T102" s="81">
        <v>6744</v>
      </c>
      <c r="U102" s="81" t="s">
        <v>36</v>
      </c>
      <c r="V102" s="90" t="s">
        <v>35</v>
      </c>
      <c r="W102" s="81" t="s">
        <v>294</v>
      </c>
      <c r="X102" s="90">
        <v>44432</v>
      </c>
      <c r="Y102" s="81" t="s">
        <v>38</v>
      </c>
      <c r="Z102" s="81">
        <v>0</v>
      </c>
      <c r="AA102" s="81"/>
      <c r="AB102" s="81">
        <v>0</v>
      </c>
      <c r="AC102" s="81"/>
      <c r="AD102" s="81">
        <v>0</v>
      </c>
      <c r="AE102" s="81" t="s">
        <v>153</v>
      </c>
      <c r="AF102" s="81" t="s">
        <v>62</v>
      </c>
      <c r="AG102" s="83">
        <v>0</v>
      </c>
      <c r="AH102" s="95">
        <v>247263</v>
      </c>
      <c r="AI102" s="82" t="str">
        <f>CONCATENATE((TEXT(Tabela1[[#This Row],[Data entrega]],"mmmm")),"_",(YEAR(Tabela1[[#This Row],[Data entrega]])))</f>
        <v>junho_2022</v>
      </c>
      <c r="AJ102" s="77">
        <f>IFERROR(IF(Tabela1[[#This Row],[Programa]]="",Tabela1[[#This Row],[Peso bruto]],VLOOKUP(Tabela1[[#This Row],[Pedido]],'Saldo a Produzir'!$A:$D,4,0)),"")</f>
        <v>0</v>
      </c>
      <c r="AM102" s="73">
        <v>3152.5230000000001</v>
      </c>
    </row>
    <row r="103" spans="1:39" ht="14.5" x14ac:dyDescent="0.35">
      <c r="A103" s="81">
        <v>15066</v>
      </c>
      <c r="B103" s="81" t="s">
        <v>72</v>
      </c>
      <c r="C103" s="81">
        <v>64858525013638</v>
      </c>
      <c r="D103" s="81" t="s">
        <v>281</v>
      </c>
      <c r="E103" s="81" t="s">
        <v>282</v>
      </c>
      <c r="F103" s="81" t="s">
        <v>103</v>
      </c>
      <c r="G103" s="81">
        <v>24225</v>
      </c>
      <c r="H103" s="81" t="s">
        <v>91</v>
      </c>
      <c r="I103" s="81" t="s">
        <v>32</v>
      </c>
      <c r="J103" s="81" t="s">
        <v>33</v>
      </c>
      <c r="K103" s="81" t="s">
        <v>34</v>
      </c>
      <c r="L103" s="81" t="s">
        <v>459</v>
      </c>
      <c r="M103" s="81">
        <v>6500480382</v>
      </c>
      <c r="N103" s="90">
        <v>44421</v>
      </c>
      <c r="O103" s="90">
        <v>44716</v>
      </c>
      <c r="P103" s="90">
        <v>44721</v>
      </c>
      <c r="Q103" s="90" t="s">
        <v>35</v>
      </c>
      <c r="R103" s="81">
        <v>0</v>
      </c>
      <c r="S103" s="90" t="s">
        <v>35</v>
      </c>
      <c r="T103" s="81">
        <v>0</v>
      </c>
      <c r="U103" s="81" t="s">
        <v>36</v>
      </c>
      <c r="V103" s="90" t="s">
        <v>35</v>
      </c>
      <c r="W103" s="81" t="s">
        <v>460</v>
      </c>
      <c r="X103" s="90">
        <v>44580</v>
      </c>
      <c r="Y103" s="81" t="s">
        <v>38</v>
      </c>
      <c r="Z103" s="81">
        <v>13</v>
      </c>
      <c r="AA103" s="81" t="s">
        <v>149</v>
      </c>
      <c r="AB103" s="81">
        <v>0</v>
      </c>
      <c r="AC103" s="81"/>
      <c r="AD103" s="81">
        <v>0</v>
      </c>
      <c r="AE103" s="81" t="s">
        <v>153</v>
      </c>
      <c r="AF103" s="81" t="s">
        <v>39</v>
      </c>
      <c r="AG103" s="83">
        <v>4326.55</v>
      </c>
      <c r="AH103" s="95">
        <v>2035237.68</v>
      </c>
      <c r="AI103" s="82" t="str">
        <f>CONCATENATE((TEXT(Tabela1[[#This Row],[Data entrega]],"mmmm")),"_",(YEAR(Tabela1[[#This Row],[Data entrega]])))</f>
        <v>junho_2022</v>
      </c>
      <c r="AJ103" s="77">
        <f>IFERROR(IF(Tabela1[[#This Row],[Programa]]="",Tabela1[[#This Row],[Peso bruto]],VLOOKUP(Tabela1[[#This Row],[Pedido]],'Saldo a Produzir'!$A:$D,4,0)),"")</f>
        <v>4326.55</v>
      </c>
      <c r="AM103" s="73">
        <v>95591.55</v>
      </c>
    </row>
    <row r="104" spans="1:39" ht="14.5" x14ac:dyDescent="0.35">
      <c r="A104" s="81">
        <v>15907</v>
      </c>
      <c r="B104" s="81" t="s">
        <v>272</v>
      </c>
      <c r="C104" s="81">
        <v>8380701000105</v>
      </c>
      <c r="D104" s="81" t="s">
        <v>273</v>
      </c>
      <c r="E104" s="81" t="s">
        <v>180</v>
      </c>
      <c r="F104" s="81" t="s">
        <v>181</v>
      </c>
      <c r="G104" s="81">
        <v>24167</v>
      </c>
      <c r="H104" s="81" t="s">
        <v>92</v>
      </c>
      <c r="I104" s="81" t="s">
        <v>32</v>
      </c>
      <c r="J104" s="81" t="s">
        <v>156</v>
      </c>
      <c r="K104" s="81" t="s">
        <v>34</v>
      </c>
      <c r="L104" s="81" t="s">
        <v>302</v>
      </c>
      <c r="M104" s="81"/>
      <c r="N104" s="90">
        <v>44411</v>
      </c>
      <c r="O104" s="90">
        <v>44717</v>
      </c>
      <c r="P104" s="90">
        <v>44712</v>
      </c>
      <c r="Q104" s="90">
        <v>44712</v>
      </c>
      <c r="R104" s="81">
        <v>6979</v>
      </c>
      <c r="S104" s="90">
        <v>44712</v>
      </c>
      <c r="T104" s="81">
        <v>6979</v>
      </c>
      <c r="U104" s="81" t="s">
        <v>36</v>
      </c>
      <c r="V104" s="90" t="s">
        <v>35</v>
      </c>
      <c r="W104" s="81" t="s">
        <v>993</v>
      </c>
      <c r="X104" s="90">
        <v>44489</v>
      </c>
      <c r="Y104" s="81" t="s">
        <v>38</v>
      </c>
      <c r="Z104" s="81">
        <v>0</v>
      </c>
      <c r="AA104" s="81"/>
      <c r="AB104" s="81">
        <v>0</v>
      </c>
      <c r="AC104" s="81"/>
      <c r="AD104" s="81">
        <v>0</v>
      </c>
      <c r="AE104" s="81" t="s">
        <v>153</v>
      </c>
      <c r="AF104" s="81" t="s">
        <v>39</v>
      </c>
      <c r="AG104" s="83">
        <v>91.96</v>
      </c>
      <c r="AH104" s="95">
        <v>1529.66</v>
      </c>
      <c r="AI104" s="82" t="str">
        <f>CONCATENATE((TEXT(Tabela1[[#This Row],[Data entrega]],"mmmm")),"_",(YEAR(Tabela1[[#This Row],[Data entrega]])))</f>
        <v>junho_2022</v>
      </c>
      <c r="AJ104" s="77" t="str">
        <f>IFERROR(IF(Tabela1[[#This Row],[Programa]]="",Tabela1[[#This Row],[Peso bruto]],VLOOKUP(Tabela1[[#This Row],[Pedido]],'Saldo a Produzir'!$A:$D,4,0)),"")</f>
        <v/>
      </c>
      <c r="AM104" s="73">
        <v>91.95</v>
      </c>
    </row>
    <row r="105" spans="1:39" ht="14.5" x14ac:dyDescent="0.35">
      <c r="A105" s="81">
        <v>15064</v>
      </c>
      <c r="B105" s="81" t="s">
        <v>67</v>
      </c>
      <c r="C105" s="81">
        <v>1838723032592</v>
      </c>
      <c r="D105" s="81" t="s">
        <v>139</v>
      </c>
      <c r="E105" s="81" t="s">
        <v>66</v>
      </c>
      <c r="F105" s="81" t="s">
        <v>44</v>
      </c>
      <c r="G105" s="81">
        <v>25805</v>
      </c>
      <c r="H105" s="81" t="s">
        <v>87</v>
      </c>
      <c r="I105" s="81" t="s">
        <v>32</v>
      </c>
      <c r="J105" s="81" t="s">
        <v>33</v>
      </c>
      <c r="K105" s="81" t="s">
        <v>34</v>
      </c>
      <c r="L105" s="81" t="s">
        <v>674</v>
      </c>
      <c r="M105" s="81">
        <v>105309846</v>
      </c>
      <c r="N105" s="90">
        <v>44651</v>
      </c>
      <c r="O105" s="90">
        <v>44718</v>
      </c>
      <c r="P105" s="90">
        <v>44655</v>
      </c>
      <c r="Q105" s="90" t="s">
        <v>35</v>
      </c>
      <c r="R105" s="81">
        <v>0</v>
      </c>
      <c r="S105" s="90" t="s">
        <v>35</v>
      </c>
      <c r="T105" s="81">
        <v>0</v>
      </c>
      <c r="U105" s="81" t="s">
        <v>36</v>
      </c>
      <c r="V105" s="90" t="s">
        <v>35</v>
      </c>
      <c r="W105" s="81" t="s">
        <v>734</v>
      </c>
      <c r="X105" s="90">
        <v>44658</v>
      </c>
      <c r="Y105" s="81" t="s">
        <v>38</v>
      </c>
      <c r="Z105" s="81">
        <v>482</v>
      </c>
      <c r="AA105" s="81" t="s">
        <v>200</v>
      </c>
      <c r="AB105" s="81">
        <v>0</v>
      </c>
      <c r="AC105" s="81"/>
      <c r="AD105" s="81">
        <v>0</v>
      </c>
      <c r="AE105" s="81"/>
      <c r="AF105" s="81" t="s">
        <v>39</v>
      </c>
      <c r="AG105" s="83">
        <v>0</v>
      </c>
      <c r="AH105" s="95">
        <v>40284.92</v>
      </c>
      <c r="AI105" s="82" t="str">
        <f>CONCATENATE((TEXT(Tabela1[[#This Row],[Data entrega]],"mmmm")),"_",(YEAR(Tabela1[[#This Row],[Data entrega]])))</f>
        <v>junho_2022</v>
      </c>
      <c r="AJ105" s="77" t="str">
        <f>IFERROR(IF(Tabela1[[#This Row],[Programa]]="",Tabela1[[#This Row],[Peso bruto]],VLOOKUP(Tabela1[[#This Row],[Pedido]],'Saldo a Produzir'!$A:$D,4,0)),"")</f>
        <v/>
      </c>
      <c r="AM105" s="73">
        <v>1109.6110000000001</v>
      </c>
    </row>
    <row r="106" spans="1:39" ht="14.5" x14ac:dyDescent="0.35">
      <c r="A106" s="81">
        <v>15909</v>
      </c>
      <c r="B106" s="81" t="s">
        <v>223</v>
      </c>
      <c r="C106" s="81">
        <v>10970887000609</v>
      </c>
      <c r="D106" s="81" t="s">
        <v>227</v>
      </c>
      <c r="E106" s="81" t="s">
        <v>138</v>
      </c>
      <c r="F106" s="81" t="s">
        <v>56</v>
      </c>
      <c r="G106" s="81">
        <v>23828</v>
      </c>
      <c r="H106" s="81" t="s">
        <v>87</v>
      </c>
      <c r="I106" s="81" t="s">
        <v>32</v>
      </c>
      <c r="J106" s="81" t="s">
        <v>156</v>
      </c>
      <c r="K106" s="81" t="s">
        <v>34</v>
      </c>
      <c r="L106" s="81" t="s">
        <v>229</v>
      </c>
      <c r="M106" s="81">
        <v>2021021273</v>
      </c>
      <c r="N106" s="90">
        <v>44330</v>
      </c>
      <c r="O106" s="90">
        <v>44718</v>
      </c>
      <c r="P106" s="90">
        <v>44662</v>
      </c>
      <c r="Q106" s="90">
        <v>44701</v>
      </c>
      <c r="R106" s="81">
        <v>6819</v>
      </c>
      <c r="S106" s="90">
        <v>44701</v>
      </c>
      <c r="T106" s="81">
        <v>6824</v>
      </c>
      <c r="U106" s="81" t="s">
        <v>36</v>
      </c>
      <c r="V106" s="90" t="s">
        <v>35</v>
      </c>
      <c r="W106" s="81" t="s">
        <v>759</v>
      </c>
      <c r="X106" s="90">
        <v>44662</v>
      </c>
      <c r="Y106" s="81" t="s">
        <v>38</v>
      </c>
      <c r="Z106" s="81">
        <v>0</v>
      </c>
      <c r="AA106" s="81"/>
      <c r="AB106" s="81">
        <v>0</v>
      </c>
      <c r="AC106" s="81"/>
      <c r="AD106" s="81">
        <v>0</v>
      </c>
      <c r="AE106" s="81" t="s">
        <v>153</v>
      </c>
      <c r="AF106" s="81" t="s">
        <v>39</v>
      </c>
      <c r="AG106" s="83">
        <v>13785.79</v>
      </c>
      <c r="AH106" s="95">
        <v>338606.27</v>
      </c>
      <c r="AI106" s="82" t="str">
        <f>CONCATENATE((TEXT(Tabela1[[#This Row],[Data entrega]],"mmmm")),"_",(YEAR(Tabela1[[#This Row],[Data entrega]])))</f>
        <v>junho_2022</v>
      </c>
      <c r="AJ106" s="77">
        <f>IFERROR(IF(Tabela1[[#This Row],[Programa]]="",Tabela1[[#This Row],[Peso bruto]],VLOOKUP(Tabela1[[#This Row],[Pedido]],'Saldo a Produzir'!$A:$D,4,0)),"")</f>
        <v>4646.7299999999996</v>
      </c>
      <c r="AM106" s="73">
        <v>25356.644</v>
      </c>
    </row>
    <row r="107" spans="1:39" ht="14.5" x14ac:dyDescent="0.35">
      <c r="A107" s="81">
        <v>15055</v>
      </c>
      <c r="B107" s="81" t="s">
        <v>61</v>
      </c>
      <c r="C107" s="81">
        <v>35065903000720</v>
      </c>
      <c r="D107" s="81" t="s">
        <v>528</v>
      </c>
      <c r="E107" s="81" t="s">
        <v>529</v>
      </c>
      <c r="F107" s="81" t="s">
        <v>142</v>
      </c>
      <c r="G107" s="81">
        <v>24436</v>
      </c>
      <c r="H107" s="81" t="s">
        <v>116</v>
      </c>
      <c r="I107" s="81" t="s">
        <v>32</v>
      </c>
      <c r="J107" s="81" t="s">
        <v>156</v>
      </c>
      <c r="K107" s="81" t="s">
        <v>34</v>
      </c>
      <c r="L107" s="81" t="s">
        <v>314</v>
      </c>
      <c r="M107" s="81"/>
      <c r="N107" s="90">
        <v>44452</v>
      </c>
      <c r="O107" s="90">
        <v>44719</v>
      </c>
      <c r="P107" s="90">
        <v>44686</v>
      </c>
      <c r="Q107" s="90">
        <v>44686</v>
      </c>
      <c r="R107" s="81">
        <v>6597</v>
      </c>
      <c r="S107" s="90">
        <v>44686</v>
      </c>
      <c r="T107" s="81">
        <v>6597</v>
      </c>
      <c r="U107" s="81" t="s">
        <v>36</v>
      </c>
      <c r="V107" s="90" t="s">
        <v>35</v>
      </c>
      <c r="W107" s="81" t="s">
        <v>408</v>
      </c>
      <c r="X107" s="90">
        <v>44532</v>
      </c>
      <c r="Y107" s="81" t="s">
        <v>38</v>
      </c>
      <c r="Z107" s="81">
        <v>0</v>
      </c>
      <c r="AA107" s="81"/>
      <c r="AB107" s="81">
        <v>0</v>
      </c>
      <c r="AC107" s="81"/>
      <c r="AD107" s="81">
        <v>0</v>
      </c>
      <c r="AE107" s="81" t="s">
        <v>153</v>
      </c>
      <c r="AF107" s="81" t="s">
        <v>39</v>
      </c>
      <c r="AG107" s="83">
        <v>71.73</v>
      </c>
      <c r="AH107" s="95">
        <v>3635.5</v>
      </c>
      <c r="AI107" s="82" t="str">
        <f>CONCATENATE((TEXT(Tabela1[[#This Row],[Data entrega]],"mmmm")),"_",(YEAR(Tabela1[[#This Row],[Data entrega]])))</f>
        <v>junho_2022</v>
      </c>
      <c r="AJ107" s="77">
        <f>IFERROR(IF(Tabela1[[#This Row],[Programa]]="",Tabela1[[#This Row],[Peso bruto]],VLOOKUP(Tabela1[[#This Row],[Pedido]],'Saldo a Produzir'!$A:$D,4,0)),"")</f>
        <v>71.73</v>
      </c>
      <c r="AM107" s="73">
        <v>193.16499999999999</v>
      </c>
    </row>
    <row r="108" spans="1:39" ht="14.5" x14ac:dyDescent="0.35">
      <c r="A108" s="81">
        <v>15069</v>
      </c>
      <c r="B108" s="81" t="s">
        <v>297</v>
      </c>
      <c r="C108" s="81">
        <v>8326720000153</v>
      </c>
      <c r="D108" s="81" t="s">
        <v>220</v>
      </c>
      <c r="E108" s="81" t="s">
        <v>180</v>
      </c>
      <c r="F108" s="81" t="s">
        <v>181</v>
      </c>
      <c r="G108" s="81">
        <v>23715</v>
      </c>
      <c r="H108" s="81" t="s">
        <v>116</v>
      </c>
      <c r="I108" s="81" t="s">
        <v>32</v>
      </c>
      <c r="J108" s="81" t="s">
        <v>156</v>
      </c>
      <c r="K108" s="81" t="s">
        <v>34</v>
      </c>
      <c r="L108" s="81" t="s">
        <v>244</v>
      </c>
      <c r="M108" s="81"/>
      <c r="N108" s="90">
        <v>44317</v>
      </c>
      <c r="O108" s="90">
        <v>44720</v>
      </c>
      <c r="P108" s="90">
        <v>44613</v>
      </c>
      <c r="Q108" s="90">
        <v>44613</v>
      </c>
      <c r="R108" s="81">
        <v>5522</v>
      </c>
      <c r="S108" s="90">
        <v>44697</v>
      </c>
      <c r="T108" s="81">
        <v>6743</v>
      </c>
      <c r="U108" s="81" t="s">
        <v>36</v>
      </c>
      <c r="V108" s="90" t="s">
        <v>35</v>
      </c>
      <c r="W108" s="81" t="s">
        <v>295</v>
      </c>
      <c r="X108" s="90">
        <v>44433</v>
      </c>
      <c r="Y108" s="81" t="s">
        <v>38</v>
      </c>
      <c r="Z108" s="81">
        <v>0</v>
      </c>
      <c r="AA108" s="81"/>
      <c r="AB108" s="81">
        <v>0</v>
      </c>
      <c r="AC108" s="81"/>
      <c r="AD108" s="81">
        <v>0</v>
      </c>
      <c r="AE108" s="81" t="s">
        <v>153</v>
      </c>
      <c r="AF108" s="81" t="s">
        <v>62</v>
      </c>
      <c r="AG108" s="83">
        <v>55.16</v>
      </c>
      <c r="AH108" s="95">
        <v>33025.58</v>
      </c>
      <c r="AI108" s="82" t="str">
        <f>CONCATENATE((TEXT(Tabela1[[#This Row],[Data entrega]],"mmmm")),"_",(YEAR(Tabela1[[#This Row],[Data entrega]])))</f>
        <v>junho_2022</v>
      </c>
      <c r="AJ108" s="77" t="str">
        <f>IFERROR(IF(Tabela1[[#This Row],[Programa]]="",Tabela1[[#This Row],[Peso bruto]],VLOOKUP(Tabela1[[#This Row],[Pedido]],'Saldo a Produzir'!$A:$D,4,0)),"")</f>
        <v/>
      </c>
      <c r="AM108" s="73">
        <v>1738.0640000000001</v>
      </c>
    </row>
    <row r="109" spans="1:39" ht="14.5" x14ac:dyDescent="0.35">
      <c r="A109" s="81">
        <v>1</v>
      </c>
      <c r="B109" s="81" t="s">
        <v>974</v>
      </c>
      <c r="C109" s="81">
        <v>87556650001682</v>
      </c>
      <c r="D109" s="81" t="s">
        <v>975</v>
      </c>
      <c r="E109" s="81" t="s">
        <v>233</v>
      </c>
      <c r="F109" s="81" t="s">
        <v>54</v>
      </c>
      <c r="G109" s="81">
        <v>23851</v>
      </c>
      <c r="H109" s="81"/>
      <c r="I109" s="81" t="s">
        <v>976</v>
      </c>
      <c r="J109" s="81" t="s">
        <v>33</v>
      </c>
      <c r="K109" s="81" t="s">
        <v>34</v>
      </c>
      <c r="L109" s="81"/>
      <c r="M109" s="81"/>
      <c r="N109" s="90">
        <v>44336</v>
      </c>
      <c r="O109" s="90">
        <v>44721</v>
      </c>
      <c r="P109" s="90">
        <v>44420</v>
      </c>
      <c r="Q109" s="90" t="s">
        <v>35</v>
      </c>
      <c r="R109" s="81">
        <v>0</v>
      </c>
      <c r="S109" s="90" t="s">
        <v>35</v>
      </c>
      <c r="T109" s="81">
        <v>0</v>
      </c>
      <c r="U109" s="81" t="s">
        <v>36</v>
      </c>
      <c r="V109" s="90" t="s">
        <v>35</v>
      </c>
      <c r="W109" s="81" t="s">
        <v>992</v>
      </c>
      <c r="X109" s="90">
        <v>44420</v>
      </c>
      <c r="Y109" s="81" t="s">
        <v>38</v>
      </c>
      <c r="Z109" s="81">
        <v>0</v>
      </c>
      <c r="AA109" s="81"/>
      <c r="AB109" s="81">
        <v>0</v>
      </c>
      <c r="AC109" s="81"/>
      <c r="AD109" s="81">
        <v>0</v>
      </c>
      <c r="AE109" s="81" t="s">
        <v>153</v>
      </c>
      <c r="AF109" s="81" t="s">
        <v>39</v>
      </c>
      <c r="AG109" s="83">
        <v>1048.97</v>
      </c>
      <c r="AH109" s="95">
        <v>1.03</v>
      </c>
      <c r="AI109" s="82" t="str">
        <f>CONCATENATE((TEXT(Tabela1[[#This Row],[Data entrega]],"mmmm")),"_",(YEAR(Tabela1[[#This Row],[Data entrega]])))</f>
        <v>junho_2022</v>
      </c>
      <c r="AJ109" s="77">
        <f>IFERROR(IF(Tabela1[[#This Row],[Programa]]="",Tabela1[[#This Row],[Peso bruto]],VLOOKUP(Tabela1[[#This Row],[Pedido]],'Saldo a Produzir'!$A:$D,4,0)),"")</f>
        <v>1048.97</v>
      </c>
      <c r="AM109" s="73">
        <v>3385.5070000000001</v>
      </c>
    </row>
    <row r="110" spans="1:39" ht="14.5" x14ac:dyDescent="0.35">
      <c r="A110" s="81">
        <v>15067</v>
      </c>
      <c r="B110" s="81" t="s">
        <v>59</v>
      </c>
      <c r="C110" s="81">
        <v>1838723005358</v>
      </c>
      <c r="D110" s="81" t="s">
        <v>139</v>
      </c>
      <c r="E110" s="81" t="s">
        <v>268</v>
      </c>
      <c r="F110" s="81" t="s">
        <v>58</v>
      </c>
      <c r="G110" s="81">
        <v>25979</v>
      </c>
      <c r="H110" s="81" t="s">
        <v>88</v>
      </c>
      <c r="I110" s="81" t="s">
        <v>976</v>
      </c>
      <c r="J110" s="81" t="s">
        <v>33</v>
      </c>
      <c r="K110" s="81" t="s">
        <v>983</v>
      </c>
      <c r="L110" s="81"/>
      <c r="M110" s="81">
        <v>103985243</v>
      </c>
      <c r="N110" s="90">
        <v>44677</v>
      </c>
      <c r="O110" s="90">
        <v>44721</v>
      </c>
      <c r="P110" s="90">
        <v>44693</v>
      </c>
      <c r="Q110" s="90" t="s">
        <v>35</v>
      </c>
      <c r="R110" s="81">
        <v>0</v>
      </c>
      <c r="S110" s="90" t="s">
        <v>35</v>
      </c>
      <c r="T110" s="81">
        <v>0</v>
      </c>
      <c r="U110" s="81" t="s">
        <v>36</v>
      </c>
      <c r="V110" s="90" t="s">
        <v>35</v>
      </c>
      <c r="W110" s="81" t="s">
        <v>1122</v>
      </c>
      <c r="X110" s="90">
        <v>44707</v>
      </c>
      <c r="Y110" s="81" t="s">
        <v>38</v>
      </c>
      <c r="Z110" s="81">
        <v>0</v>
      </c>
      <c r="AA110" s="81"/>
      <c r="AB110" s="81">
        <v>0</v>
      </c>
      <c r="AC110" s="81"/>
      <c r="AD110" s="81">
        <v>0</v>
      </c>
      <c r="AE110" s="81" t="s">
        <v>153</v>
      </c>
      <c r="AF110" s="81" t="s">
        <v>39</v>
      </c>
      <c r="AG110" s="83">
        <v>20754.61</v>
      </c>
      <c r="AH110" s="95">
        <v>150006.76</v>
      </c>
      <c r="AI110" s="82" t="str">
        <f>CONCATENATE((TEXT(Tabela1[[#This Row],[Data entrega]],"mmmm")),"_",(YEAR(Tabela1[[#This Row],[Data entrega]])))</f>
        <v>junho_2022</v>
      </c>
      <c r="AJ110" s="77">
        <f>IFERROR(IF(Tabela1[[#This Row],[Programa]]="",Tabela1[[#This Row],[Peso bruto]],VLOOKUP(Tabela1[[#This Row],[Pedido]],'Saldo a Produzir'!$A:$D,4,0)),"")</f>
        <v>20754.61</v>
      </c>
      <c r="AM110" s="73">
        <v>20799.606</v>
      </c>
    </row>
    <row r="111" spans="1:39" ht="14.5" x14ac:dyDescent="0.35">
      <c r="A111" s="81">
        <v>15908</v>
      </c>
      <c r="B111" s="81" t="s">
        <v>230</v>
      </c>
      <c r="C111" s="81">
        <v>6147451000132</v>
      </c>
      <c r="D111" s="81" t="s">
        <v>209</v>
      </c>
      <c r="E111" s="81" t="s">
        <v>78</v>
      </c>
      <c r="F111" s="81" t="s">
        <v>42</v>
      </c>
      <c r="G111" s="81">
        <v>25901</v>
      </c>
      <c r="H111" s="81" t="s">
        <v>93</v>
      </c>
      <c r="I111" s="81" t="s">
        <v>976</v>
      </c>
      <c r="J111" s="81" t="s">
        <v>156</v>
      </c>
      <c r="K111" s="81" t="s">
        <v>986</v>
      </c>
      <c r="L111" s="81"/>
      <c r="M111" s="81">
        <v>4501196913</v>
      </c>
      <c r="N111" s="90">
        <v>44664</v>
      </c>
      <c r="O111" s="90">
        <v>44721</v>
      </c>
      <c r="P111" s="90">
        <v>44664</v>
      </c>
      <c r="Q111" s="90">
        <v>44669</v>
      </c>
      <c r="R111" s="81">
        <v>6324</v>
      </c>
      <c r="S111" s="90">
        <v>44706</v>
      </c>
      <c r="T111" s="81">
        <v>6866</v>
      </c>
      <c r="U111" s="81" t="s">
        <v>36</v>
      </c>
      <c r="V111" s="90" t="s">
        <v>35</v>
      </c>
      <c r="W111" s="81" t="s">
        <v>994</v>
      </c>
      <c r="X111" s="90">
        <v>44664</v>
      </c>
      <c r="Y111" s="81" t="s">
        <v>38</v>
      </c>
      <c r="Z111" s="81">
        <v>0</v>
      </c>
      <c r="AA111" s="81"/>
      <c r="AB111" s="81">
        <v>0</v>
      </c>
      <c r="AC111" s="81"/>
      <c r="AD111" s="81">
        <v>0</v>
      </c>
      <c r="AE111" s="81" t="s">
        <v>153</v>
      </c>
      <c r="AF111" s="81" t="s">
        <v>39</v>
      </c>
      <c r="AG111" s="83">
        <v>0</v>
      </c>
      <c r="AH111" s="95">
        <v>-1844.29</v>
      </c>
      <c r="AI111" s="82" t="str">
        <f>CONCATENATE((TEXT(Tabela1[[#This Row],[Data entrega]],"mmmm")),"_",(YEAR(Tabela1[[#This Row],[Data entrega]])))</f>
        <v>junho_2022</v>
      </c>
      <c r="AJ111" s="77">
        <f>IFERROR(IF(Tabela1[[#This Row],[Programa]]="",Tabela1[[#This Row],[Peso bruto]],VLOOKUP(Tabela1[[#This Row],[Pedido]],'Saldo a Produzir'!$A:$D,4,0)),"")</f>
        <v>0</v>
      </c>
      <c r="AM111" s="73">
        <v>-263.87900000000002</v>
      </c>
    </row>
    <row r="112" spans="1:39" ht="14.5" x14ac:dyDescent="0.35">
      <c r="A112" s="81">
        <v>15908</v>
      </c>
      <c r="B112" s="81" t="s">
        <v>230</v>
      </c>
      <c r="C112" s="81">
        <v>3002339014418</v>
      </c>
      <c r="D112" s="81" t="s">
        <v>283</v>
      </c>
      <c r="E112" s="81" t="s">
        <v>177</v>
      </c>
      <c r="F112" s="81" t="s">
        <v>44</v>
      </c>
      <c r="G112" s="81">
        <v>25687</v>
      </c>
      <c r="H112" s="81" t="s">
        <v>116</v>
      </c>
      <c r="I112" s="81" t="s">
        <v>976</v>
      </c>
      <c r="J112" s="81" t="s">
        <v>156</v>
      </c>
      <c r="K112" s="81" t="s">
        <v>986</v>
      </c>
      <c r="L112" s="81"/>
      <c r="M112" s="81">
        <v>16205</v>
      </c>
      <c r="N112" s="90">
        <v>44642</v>
      </c>
      <c r="O112" s="90">
        <v>44721</v>
      </c>
      <c r="P112" s="90">
        <v>44642</v>
      </c>
      <c r="Q112" s="90">
        <v>44656</v>
      </c>
      <c r="R112" s="81">
        <v>6156</v>
      </c>
      <c r="S112" s="90">
        <v>44656</v>
      </c>
      <c r="T112" s="81">
        <v>6156</v>
      </c>
      <c r="U112" s="81" t="s">
        <v>36</v>
      </c>
      <c r="V112" s="90" t="s">
        <v>35</v>
      </c>
      <c r="W112" s="81" t="s">
        <v>987</v>
      </c>
      <c r="X112" s="90">
        <v>44642</v>
      </c>
      <c r="Y112" s="81" t="s">
        <v>38</v>
      </c>
      <c r="Z112" s="81">
        <v>0</v>
      </c>
      <c r="AA112" s="81"/>
      <c r="AB112" s="81">
        <v>0</v>
      </c>
      <c r="AC112" s="81"/>
      <c r="AD112" s="81">
        <v>0</v>
      </c>
      <c r="AE112" s="81" t="s">
        <v>153</v>
      </c>
      <c r="AF112" s="81" t="s">
        <v>39</v>
      </c>
      <c r="AG112" s="83">
        <v>0</v>
      </c>
      <c r="AH112" s="95">
        <v>793.18</v>
      </c>
      <c r="AI112" s="82" t="str">
        <f>CONCATENATE((TEXT(Tabela1[[#This Row],[Data entrega]],"mmmm")),"_",(YEAR(Tabela1[[#This Row],[Data entrega]])))</f>
        <v>junho_2022</v>
      </c>
      <c r="AJ112" s="77">
        <f>IFERROR(IF(Tabela1[[#This Row],[Programa]]="",Tabela1[[#This Row],[Peso bruto]],VLOOKUP(Tabela1[[#This Row],[Pedido]],'Saldo a Produzir'!$A:$D,4,0)),"")</f>
        <v>0</v>
      </c>
      <c r="AM112" s="73">
        <v>140</v>
      </c>
    </row>
    <row r="113" spans="1:39" ht="14.5" x14ac:dyDescent="0.35">
      <c r="A113" s="81">
        <v>15910</v>
      </c>
      <c r="B113" s="81" t="s">
        <v>261</v>
      </c>
      <c r="C113" s="81">
        <v>7814284000107</v>
      </c>
      <c r="D113" s="81" t="s">
        <v>398</v>
      </c>
      <c r="E113" s="81" t="s">
        <v>66</v>
      </c>
      <c r="F113" s="81" t="s">
        <v>44</v>
      </c>
      <c r="G113" s="81">
        <v>25043</v>
      </c>
      <c r="H113" s="81" t="s">
        <v>91</v>
      </c>
      <c r="I113" s="81" t="s">
        <v>32</v>
      </c>
      <c r="J113" s="81" t="s">
        <v>33</v>
      </c>
      <c r="K113" s="81" t="s">
        <v>34</v>
      </c>
      <c r="L113" s="81" t="s">
        <v>399</v>
      </c>
      <c r="M113" s="81"/>
      <c r="N113" s="90">
        <v>44524</v>
      </c>
      <c r="O113" s="90">
        <v>44721</v>
      </c>
      <c r="P113" s="90">
        <v>44540</v>
      </c>
      <c r="Q113" s="90" t="s">
        <v>35</v>
      </c>
      <c r="R113" s="81">
        <v>0</v>
      </c>
      <c r="S113" s="90" t="s">
        <v>35</v>
      </c>
      <c r="T113" s="81">
        <v>0</v>
      </c>
      <c r="U113" s="81" t="s">
        <v>36</v>
      </c>
      <c r="V113" s="90" t="s">
        <v>35</v>
      </c>
      <c r="W113" s="81" t="s">
        <v>419</v>
      </c>
      <c r="X113" s="90">
        <v>44545</v>
      </c>
      <c r="Y113" s="81" t="s">
        <v>38</v>
      </c>
      <c r="Z113" s="81">
        <v>0</v>
      </c>
      <c r="AA113" s="81"/>
      <c r="AB113" s="81">
        <v>0</v>
      </c>
      <c r="AC113" s="81"/>
      <c r="AD113" s="81">
        <v>0</v>
      </c>
      <c r="AE113" s="81" t="s">
        <v>153</v>
      </c>
      <c r="AF113" s="81" t="s">
        <v>39</v>
      </c>
      <c r="AG113" s="83">
        <v>627.41999999999996</v>
      </c>
      <c r="AH113" s="95">
        <v>456758.32</v>
      </c>
      <c r="AI113" s="82" t="str">
        <f>CONCATENATE((TEXT(Tabela1[[#This Row],[Data entrega]],"mmmm")),"_",(YEAR(Tabela1[[#This Row],[Data entrega]])))</f>
        <v>junho_2022</v>
      </c>
      <c r="AJ113" s="77">
        <f>IFERROR(IF(Tabela1[[#This Row],[Programa]]="",Tabela1[[#This Row],[Peso bruto]],VLOOKUP(Tabela1[[#This Row],[Pedido]],'Saldo a Produzir'!$A:$D,4,0)),"")</f>
        <v>627.41999999999996</v>
      </c>
      <c r="AM113" s="73">
        <v>48229.529000000002</v>
      </c>
    </row>
    <row r="114" spans="1:39" ht="14.5" x14ac:dyDescent="0.35">
      <c r="A114" s="81">
        <v>15909</v>
      </c>
      <c r="B114" s="81" t="s">
        <v>223</v>
      </c>
      <c r="C114" s="81">
        <v>10970887007530</v>
      </c>
      <c r="D114" s="81" t="s">
        <v>1418</v>
      </c>
      <c r="E114" s="81" t="s">
        <v>130</v>
      </c>
      <c r="F114" s="81" t="s">
        <v>58</v>
      </c>
      <c r="G114" s="81">
        <v>26346</v>
      </c>
      <c r="H114" s="81"/>
      <c r="I114" s="81" t="s">
        <v>32</v>
      </c>
      <c r="J114" s="81" t="s">
        <v>33</v>
      </c>
      <c r="K114" s="81" t="s">
        <v>1419</v>
      </c>
      <c r="L114" s="81">
        <v>29149</v>
      </c>
      <c r="M114" s="81"/>
      <c r="N114" s="90">
        <v>44721</v>
      </c>
      <c r="O114" s="90">
        <v>44721</v>
      </c>
      <c r="P114" s="90">
        <v>44721</v>
      </c>
      <c r="Q114" s="90" t="s">
        <v>35</v>
      </c>
      <c r="R114" s="81">
        <v>0</v>
      </c>
      <c r="S114" s="90" t="s">
        <v>35</v>
      </c>
      <c r="T114" s="81">
        <v>0</v>
      </c>
      <c r="U114" s="81" t="s">
        <v>36</v>
      </c>
      <c r="V114" s="90" t="s">
        <v>35</v>
      </c>
      <c r="W114" s="81"/>
      <c r="X114" s="90" t="s">
        <v>37</v>
      </c>
      <c r="Y114" s="81" t="s">
        <v>38</v>
      </c>
      <c r="Z114" s="81">
        <v>208</v>
      </c>
      <c r="AA114" s="81" t="s">
        <v>150</v>
      </c>
      <c r="AB114" s="81">
        <v>0</v>
      </c>
      <c r="AC114" s="81"/>
      <c r="AD114" s="81">
        <v>0</v>
      </c>
      <c r="AE114" s="81" t="s">
        <v>153</v>
      </c>
      <c r="AF114" s="81" t="s">
        <v>39</v>
      </c>
      <c r="AG114" s="83">
        <v>0</v>
      </c>
      <c r="AH114" s="95">
        <v>366537.5</v>
      </c>
      <c r="AI114" s="82" t="str">
        <f>CONCATENATE((TEXT(Tabela1[[#This Row],[Data entrega]],"mmmm")),"_",(YEAR(Tabela1[[#This Row],[Data entrega]])))</f>
        <v>junho_2022</v>
      </c>
      <c r="AJ114" s="77">
        <f>IFERROR(IF(Tabela1[[#This Row],[Programa]]="",Tabela1[[#This Row],[Peso bruto]],VLOOKUP(Tabela1[[#This Row],[Pedido]],'Saldo a Produzir'!$A:$D,4,0)),"")</f>
        <v>0</v>
      </c>
      <c r="AM114" s="73">
        <v>0</v>
      </c>
    </row>
    <row r="115" spans="1:39" ht="14.5" x14ac:dyDescent="0.35">
      <c r="A115" s="81">
        <v>15063</v>
      </c>
      <c r="B115" s="81" t="s">
        <v>71</v>
      </c>
      <c r="C115" s="81">
        <v>9316105001605</v>
      </c>
      <c r="D115" s="81" t="s">
        <v>335</v>
      </c>
      <c r="E115" s="81" t="s">
        <v>226</v>
      </c>
      <c r="F115" s="81" t="s">
        <v>56</v>
      </c>
      <c r="G115" s="81">
        <v>24646</v>
      </c>
      <c r="H115" s="81" t="s">
        <v>88</v>
      </c>
      <c r="I115" s="81" t="s">
        <v>32</v>
      </c>
      <c r="J115" s="81" t="s">
        <v>156</v>
      </c>
      <c r="K115" s="81" t="s">
        <v>34</v>
      </c>
      <c r="L115" s="81" t="s">
        <v>381</v>
      </c>
      <c r="M115" s="81">
        <v>1</v>
      </c>
      <c r="N115" s="90">
        <v>44476</v>
      </c>
      <c r="O115" s="90">
        <v>44721</v>
      </c>
      <c r="P115" s="90">
        <v>44665</v>
      </c>
      <c r="Q115" s="90">
        <v>44620</v>
      </c>
      <c r="R115" s="81">
        <v>5609</v>
      </c>
      <c r="S115" s="90">
        <v>44711</v>
      </c>
      <c r="T115" s="81">
        <v>6966</v>
      </c>
      <c r="U115" s="81" t="s">
        <v>36</v>
      </c>
      <c r="V115" s="90" t="s">
        <v>35</v>
      </c>
      <c r="W115" s="81" t="s">
        <v>427</v>
      </c>
      <c r="X115" s="90">
        <v>44551</v>
      </c>
      <c r="Y115" s="81" t="s">
        <v>38</v>
      </c>
      <c r="Z115" s="81">
        <v>0</v>
      </c>
      <c r="AA115" s="81"/>
      <c r="AB115" s="81">
        <v>0</v>
      </c>
      <c r="AC115" s="81"/>
      <c r="AD115" s="81">
        <v>0</v>
      </c>
      <c r="AE115" s="81" t="s">
        <v>153</v>
      </c>
      <c r="AF115" s="81" t="s">
        <v>39</v>
      </c>
      <c r="AG115" s="83">
        <v>29892.66</v>
      </c>
      <c r="AH115" s="95">
        <v>438314.32</v>
      </c>
      <c r="AI115" s="82" t="str">
        <f>CONCATENATE((TEXT(Tabela1[[#This Row],[Data entrega]],"mmmm")),"_",(YEAR(Tabela1[[#This Row],[Data entrega]])))</f>
        <v>junho_2022</v>
      </c>
      <c r="AJ115" s="77">
        <f>IFERROR(IF(Tabela1[[#This Row],[Programa]]="",Tabela1[[#This Row],[Peso bruto]],VLOOKUP(Tabela1[[#This Row],[Pedido]],'Saldo a Produzir'!$A:$D,4,0)),"")</f>
        <v>22686.99</v>
      </c>
      <c r="AM115" s="73">
        <v>15032.406000000001</v>
      </c>
    </row>
    <row r="116" spans="1:39" ht="14.5" x14ac:dyDescent="0.35">
      <c r="A116" s="81">
        <v>15910</v>
      </c>
      <c r="B116" s="81" t="s">
        <v>261</v>
      </c>
      <c r="C116" s="81">
        <v>1438784006995</v>
      </c>
      <c r="D116" s="81" t="s">
        <v>327</v>
      </c>
      <c r="E116" s="81" t="s">
        <v>184</v>
      </c>
      <c r="F116" s="81" t="s">
        <v>44</v>
      </c>
      <c r="G116" s="81">
        <v>25060</v>
      </c>
      <c r="H116" s="81" t="s">
        <v>328</v>
      </c>
      <c r="I116" s="81" t="s">
        <v>32</v>
      </c>
      <c r="J116" s="81" t="s">
        <v>156</v>
      </c>
      <c r="K116" s="81" t="s">
        <v>34</v>
      </c>
      <c r="L116" s="81" t="s">
        <v>415</v>
      </c>
      <c r="M116" s="81"/>
      <c r="N116" s="90">
        <v>44461</v>
      </c>
      <c r="O116" s="90">
        <v>44721</v>
      </c>
      <c r="P116" s="90">
        <v>44691</v>
      </c>
      <c r="Q116" s="90">
        <v>44694</v>
      </c>
      <c r="R116" s="81">
        <v>6698</v>
      </c>
      <c r="S116" s="90">
        <v>44709</v>
      </c>
      <c r="T116" s="81">
        <v>6941</v>
      </c>
      <c r="U116" s="81" t="s">
        <v>36</v>
      </c>
      <c r="V116" s="90" t="s">
        <v>35</v>
      </c>
      <c r="W116" s="81" t="s">
        <v>479</v>
      </c>
      <c r="X116" s="90">
        <v>44594</v>
      </c>
      <c r="Y116" s="81" t="s">
        <v>38</v>
      </c>
      <c r="Z116" s="81">
        <v>0</v>
      </c>
      <c r="AA116" s="81"/>
      <c r="AB116" s="81">
        <v>0</v>
      </c>
      <c r="AC116" s="81"/>
      <c r="AD116" s="81">
        <v>0</v>
      </c>
      <c r="AE116" s="81" t="s">
        <v>153</v>
      </c>
      <c r="AF116" s="81" t="s">
        <v>39</v>
      </c>
      <c r="AG116" s="83">
        <v>21180.14</v>
      </c>
      <c r="AH116" s="95">
        <v>1090037.3</v>
      </c>
      <c r="AI116" s="82" t="str">
        <f>CONCATENATE((TEXT(Tabela1[[#This Row],[Data entrega]],"mmmm")),"_",(YEAR(Tabela1[[#This Row],[Data entrega]])))</f>
        <v>junho_2022</v>
      </c>
      <c r="AJ116" s="77">
        <f>IFERROR(IF(Tabela1[[#This Row],[Programa]]="",Tabela1[[#This Row],[Peso bruto]],VLOOKUP(Tabela1[[#This Row],[Pedido]],'Saldo a Produzir'!$A:$D,4,0)),"")</f>
        <v>21149.64</v>
      </c>
      <c r="AM116" s="73">
        <v>53201.675000000003</v>
      </c>
    </row>
    <row r="117" spans="1:39" ht="14.5" x14ac:dyDescent="0.35">
      <c r="A117" s="81">
        <v>15020</v>
      </c>
      <c r="B117" s="81" t="s">
        <v>46</v>
      </c>
      <c r="C117" s="81">
        <v>140</v>
      </c>
      <c r="D117" s="81" t="s">
        <v>290</v>
      </c>
      <c r="E117" s="81" t="s">
        <v>291</v>
      </c>
      <c r="F117" s="81" t="s">
        <v>49</v>
      </c>
      <c r="G117" s="81">
        <v>25380</v>
      </c>
      <c r="H117" s="81" t="s">
        <v>87</v>
      </c>
      <c r="I117" s="81" t="s">
        <v>32</v>
      </c>
      <c r="J117" s="81" t="s">
        <v>33</v>
      </c>
      <c r="K117" s="81" t="s">
        <v>34</v>
      </c>
      <c r="L117" s="81" t="s">
        <v>480</v>
      </c>
      <c r="M117" s="81"/>
      <c r="N117" s="90">
        <v>44592</v>
      </c>
      <c r="O117" s="90">
        <v>44722</v>
      </c>
      <c r="P117" s="90">
        <v>44594</v>
      </c>
      <c r="Q117" s="90" t="s">
        <v>35</v>
      </c>
      <c r="R117" s="81">
        <v>0</v>
      </c>
      <c r="S117" s="90" t="s">
        <v>35</v>
      </c>
      <c r="T117" s="81">
        <v>0</v>
      </c>
      <c r="U117" s="81" t="s">
        <v>36</v>
      </c>
      <c r="V117" s="90" t="s">
        <v>35</v>
      </c>
      <c r="W117" s="81" t="s">
        <v>502</v>
      </c>
      <c r="X117" s="90">
        <v>44603</v>
      </c>
      <c r="Y117" s="81" t="s">
        <v>293</v>
      </c>
      <c r="Z117" s="81">
        <v>0</v>
      </c>
      <c r="AA117" s="81"/>
      <c r="AB117" s="81">
        <v>0</v>
      </c>
      <c r="AC117" s="81"/>
      <c r="AD117" s="81">
        <v>0</v>
      </c>
      <c r="AE117" s="81"/>
      <c r="AF117" s="81" t="s">
        <v>307</v>
      </c>
      <c r="AG117" s="83">
        <v>188.14</v>
      </c>
      <c r="AH117" s="95">
        <v>7213.19</v>
      </c>
      <c r="AI117" s="82" t="str">
        <f>CONCATENATE((TEXT(Tabela1[[#This Row],[Data entrega]],"mmmm")),"_",(YEAR(Tabela1[[#This Row],[Data entrega]])))</f>
        <v>junho_2022</v>
      </c>
      <c r="AJ117" s="77">
        <f>IFERROR(IF(Tabela1[[#This Row],[Programa]]="",Tabela1[[#This Row],[Peso bruto]],VLOOKUP(Tabela1[[#This Row],[Pedido]],'Saldo a Produzir'!$A:$D,4,0)),"")</f>
        <v>166.01</v>
      </c>
      <c r="AM117" s="73">
        <v>244.65600000000001</v>
      </c>
    </row>
    <row r="118" spans="1:39" ht="14.5" x14ac:dyDescent="0.35">
      <c r="A118" s="81">
        <v>15064</v>
      </c>
      <c r="B118" s="81" t="s">
        <v>67</v>
      </c>
      <c r="C118" s="81">
        <v>1838723032592</v>
      </c>
      <c r="D118" s="81" t="s">
        <v>139</v>
      </c>
      <c r="E118" s="81" t="s">
        <v>66</v>
      </c>
      <c r="F118" s="81" t="s">
        <v>44</v>
      </c>
      <c r="G118" s="81">
        <v>25525</v>
      </c>
      <c r="H118" s="81" t="s">
        <v>92</v>
      </c>
      <c r="I118" s="81" t="s">
        <v>32</v>
      </c>
      <c r="J118" s="81" t="s">
        <v>33</v>
      </c>
      <c r="K118" s="81" t="s">
        <v>34</v>
      </c>
      <c r="L118" s="81" t="s">
        <v>533</v>
      </c>
      <c r="M118" s="81">
        <v>105059059</v>
      </c>
      <c r="N118" s="90">
        <v>44617</v>
      </c>
      <c r="O118" s="90">
        <v>44722</v>
      </c>
      <c r="P118" s="90">
        <v>44708</v>
      </c>
      <c r="Q118" s="90" t="s">
        <v>35</v>
      </c>
      <c r="R118" s="81">
        <v>0</v>
      </c>
      <c r="S118" s="90" t="s">
        <v>35</v>
      </c>
      <c r="T118" s="81">
        <v>0</v>
      </c>
      <c r="U118" s="81" t="s">
        <v>36</v>
      </c>
      <c r="V118" s="90" t="s">
        <v>35</v>
      </c>
      <c r="W118" s="81" t="s">
        <v>551</v>
      </c>
      <c r="X118" s="90">
        <v>44629</v>
      </c>
      <c r="Y118" s="81" t="s">
        <v>38</v>
      </c>
      <c r="Z118" s="81">
        <v>482</v>
      </c>
      <c r="AA118" s="81" t="s">
        <v>200</v>
      </c>
      <c r="AB118" s="81">
        <v>0</v>
      </c>
      <c r="AC118" s="81"/>
      <c r="AD118" s="81">
        <v>0</v>
      </c>
      <c r="AE118" s="81" t="s">
        <v>153</v>
      </c>
      <c r="AF118" s="81" t="s">
        <v>39</v>
      </c>
      <c r="AG118" s="83">
        <v>832.72</v>
      </c>
      <c r="AH118" s="95">
        <v>497045.5</v>
      </c>
      <c r="AI118" s="82" t="str">
        <f>CONCATENATE((TEXT(Tabela1[[#This Row],[Data entrega]],"mmmm")),"_",(YEAR(Tabela1[[#This Row],[Data entrega]])))</f>
        <v>junho_2022</v>
      </c>
      <c r="AJ118" s="77">
        <f>IFERROR(IF(Tabela1[[#This Row],[Programa]]="",Tabela1[[#This Row],[Peso bruto]],VLOOKUP(Tabela1[[#This Row],[Pedido]],'Saldo a Produzir'!$A:$D,4,0)),"")</f>
        <v>0</v>
      </c>
      <c r="AM118" s="73">
        <v>26771.778999999999</v>
      </c>
    </row>
    <row r="119" spans="1:39" ht="14.5" x14ac:dyDescent="0.35">
      <c r="A119" s="81">
        <v>15020</v>
      </c>
      <c r="B119" s="81" t="s">
        <v>46</v>
      </c>
      <c r="C119" s="81">
        <v>0</v>
      </c>
      <c r="D119" s="81" t="s">
        <v>421</v>
      </c>
      <c r="E119" s="81" t="s">
        <v>422</v>
      </c>
      <c r="F119" s="81" t="s">
        <v>49</v>
      </c>
      <c r="G119" s="81">
        <v>25122</v>
      </c>
      <c r="H119" s="81" t="s">
        <v>112</v>
      </c>
      <c r="I119" s="81" t="s">
        <v>32</v>
      </c>
      <c r="J119" s="81" t="s">
        <v>33</v>
      </c>
      <c r="K119" s="81" t="s">
        <v>34</v>
      </c>
      <c r="L119" s="81" t="s">
        <v>423</v>
      </c>
      <c r="M119" s="81"/>
      <c r="N119" s="90">
        <v>44543</v>
      </c>
      <c r="O119" s="90">
        <v>44722</v>
      </c>
      <c r="P119" s="90">
        <v>44629</v>
      </c>
      <c r="Q119" s="90" t="s">
        <v>35</v>
      </c>
      <c r="R119" s="81">
        <v>0</v>
      </c>
      <c r="S119" s="90" t="s">
        <v>35</v>
      </c>
      <c r="T119" s="81">
        <v>0</v>
      </c>
      <c r="U119" s="81" t="s">
        <v>36</v>
      </c>
      <c r="V119" s="90" t="s">
        <v>35</v>
      </c>
      <c r="W119" s="81" t="s">
        <v>530</v>
      </c>
      <c r="X119" s="90">
        <v>44615</v>
      </c>
      <c r="Y119" s="81" t="s">
        <v>38</v>
      </c>
      <c r="Z119" s="81">
        <v>0</v>
      </c>
      <c r="AA119" s="81"/>
      <c r="AB119" s="81">
        <v>0</v>
      </c>
      <c r="AC119" s="81"/>
      <c r="AD119" s="81">
        <v>0</v>
      </c>
      <c r="AE119" s="81"/>
      <c r="AF119" s="81" t="s">
        <v>39</v>
      </c>
      <c r="AG119" s="83">
        <v>9842.66</v>
      </c>
      <c r="AH119" s="95">
        <v>3741079.5</v>
      </c>
      <c r="AI119" s="82" t="str">
        <f>CONCATENATE((TEXT(Tabela1[[#This Row],[Data entrega]],"mmmm")),"_",(YEAR(Tabela1[[#This Row],[Data entrega]])))</f>
        <v>junho_2022</v>
      </c>
      <c r="AJ119" s="77">
        <f>IFERROR(IF(Tabela1[[#This Row],[Programa]]="",Tabela1[[#This Row],[Peso bruto]],VLOOKUP(Tabela1[[#This Row],[Pedido]],'Saldo a Produzir'!$A:$D,4,0)),"")</f>
        <v>9785.7000000000007</v>
      </c>
      <c r="AM119" s="73">
        <v>170688.56299999999</v>
      </c>
    </row>
    <row r="120" spans="1:39" ht="14.5" x14ac:dyDescent="0.35">
      <c r="A120" s="81">
        <v>15020</v>
      </c>
      <c r="B120" s="81" t="s">
        <v>46</v>
      </c>
      <c r="C120" s="81">
        <v>0</v>
      </c>
      <c r="D120" s="81" t="s">
        <v>421</v>
      </c>
      <c r="E120" s="81" t="s">
        <v>422</v>
      </c>
      <c r="F120" s="81" t="s">
        <v>49</v>
      </c>
      <c r="G120" s="81">
        <v>25123</v>
      </c>
      <c r="H120" s="81" t="s">
        <v>88</v>
      </c>
      <c r="I120" s="81" t="s">
        <v>32</v>
      </c>
      <c r="J120" s="81" t="s">
        <v>33</v>
      </c>
      <c r="K120" s="81" t="s">
        <v>34</v>
      </c>
      <c r="L120" s="81" t="s">
        <v>423</v>
      </c>
      <c r="M120" s="81"/>
      <c r="N120" s="90">
        <v>44543</v>
      </c>
      <c r="O120" s="90">
        <v>44722</v>
      </c>
      <c r="P120" s="90">
        <v>44629</v>
      </c>
      <c r="Q120" s="90" t="s">
        <v>35</v>
      </c>
      <c r="R120" s="81">
        <v>0</v>
      </c>
      <c r="S120" s="90" t="s">
        <v>35</v>
      </c>
      <c r="T120" s="81">
        <v>0</v>
      </c>
      <c r="U120" s="81" t="s">
        <v>36</v>
      </c>
      <c r="V120" s="90" t="s">
        <v>35</v>
      </c>
      <c r="W120" s="81" t="s">
        <v>532</v>
      </c>
      <c r="X120" s="90">
        <v>44617</v>
      </c>
      <c r="Y120" s="81" t="s">
        <v>38</v>
      </c>
      <c r="Z120" s="81">
        <v>0</v>
      </c>
      <c r="AA120" s="81"/>
      <c r="AB120" s="81">
        <v>0</v>
      </c>
      <c r="AC120" s="81"/>
      <c r="AD120" s="81">
        <v>0</v>
      </c>
      <c r="AE120" s="81"/>
      <c r="AF120" s="81" t="s">
        <v>39</v>
      </c>
      <c r="AG120" s="83">
        <v>4710.5300000000007</v>
      </c>
      <c r="AH120" s="95">
        <v>1460537</v>
      </c>
      <c r="AI120" s="82" t="str">
        <f>CONCATENATE((TEXT(Tabela1[[#This Row],[Data entrega]],"mmmm")),"_",(YEAR(Tabela1[[#This Row],[Data entrega]])))</f>
        <v>junho_2022</v>
      </c>
      <c r="AJ120" s="77">
        <f>IFERROR(IF(Tabela1[[#This Row],[Programa]]="",Tabela1[[#This Row],[Peso bruto]],VLOOKUP(Tabela1[[#This Row],[Pedido]],'Saldo a Produzir'!$A:$D,4,0)),"")</f>
        <v>18206.12</v>
      </c>
      <c r="AM120" s="73">
        <v>41903.828000000001</v>
      </c>
    </row>
    <row r="121" spans="1:39" ht="14.5" x14ac:dyDescent="0.35">
      <c r="A121" s="81">
        <v>15062</v>
      </c>
      <c r="B121" s="81" t="s">
        <v>50</v>
      </c>
      <c r="C121" s="81">
        <v>55566871000592</v>
      </c>
      <c r="D121" s="81" t="s">
        <v>1123</v>
      </c>
      <c r="E121" s="81" t="s">
        <v>1124</v>
      </c>
      <c r="F121" s="81" t="s">
        <v>51</v>
      </c>
      <c r="G121" s="81">
        <v>26221</v>
      </c>
      <c r="H121" s="81" t="s">
        <v>91</v>
      </c>
      <c r="I121" s="81" t="s">
        <v>976</v>
      </c>
      <c r="J121" s="81" t="s">
        <v>33</v>
      </c>
      <c r="K121" s="81" t="s">
        <v>983</v>
      </c>
      <c r="L121" s="81"/>
      <c r="M121" s="81">
        <v>2021989240</v>
      </c>
      <c r="N121" s="90">
        <v>44707</v>
      </c>
      <c r="O121" s="90">
        <v>44722</v>
      </c>
      <c r="P121" s="90">
        <v>44712</v>
      </c>
      <c r="Q121" s="90" t="s">
        <v>35</v>
      </c>
      <c r="R121" s="81">
        <v>0</v>
      </c>
      <c r="S121" s="90" t="s">
        <v>35</v>
      </c>
      <c r="T121" s="81">
        <v>0</v>
      </c>
      <c r="U121" s="81" t="s">
        <v>36</v>
      </c>
      <c r="V121" s="90" t="s">
        <v>35</v>
      </c>
      <c r="W121" s="81" t="s">
        <v>1169</v>
      </c>
      <c r="X121" s="90">
        <v>44712</v>
      </c>
      <c r="Y121" s="81" t="s">
        <v>38</v>
      </c>
      <c r="Z121" s="81">
        <v>0</v>
      </c>
      <c r="AA121" s="81"/>
      <c r="AB121" s="81">
        <v>0</v>
      </c>
      <c r="AC121" s="81"/>
      <c r="AD121" s="81">
        <v>0</v>
      </c>
      <c r="AE121" s="81" t="s">
        <v>153</v>
      </c>
      <c r="AF121" s="81" t="s">
        <v>39</v>
      </c>
      <c r="AG121" s="83">
        <v>1357.4099999999999</v>
      </c>
      <c r="AH121" s="95">
        <v>14043.03</v>
      </c>
      <c r="AI121" s="82" t="str">
        <f>CONCATENATE((TEXT(Tabela1[[#This Row],[Data entrega]],"mmmm")),"_",(YEAR(Tabela1[[#This Row],[Data entrega]])))</f>
        <v>junho_2022</v>
      </c>
      <c r="AJ121" s="77">
        <f>IFERROR(IF(Tabela1[[#This Row],[Programa]]="",Tabela1[[#This Row],[Peso bruto]],VLOOKUP(Tabela1[[#This Row],[Pedido]],'Saldo a Produzir'!$A:$D,4,0)),"")</f>
        <v>406.97</v>
      </c>
      <c r="AM121" s="73">
        <v>1863.66</v>
      </c>
    </row>
    <row r="122" spans="1:39" ht="14.5" x14ac:dyDescent="0.35">
      <c r="A122" s="81">
        <v>15066</v>
      </c>
      <c r="B122" s="81" t="s">
        <v>72</v>
      </c>
      <c r="C122" s="81">
        <v>43818780000194</v>
      </c>
      <c r="D122" s="81" t="s">
        <v>1170</v>
      </c>
      <c r="E122" s="81" t="s">
        <v>79</v>
      </c>
      <c r="F122" s="81" t="s">
        <v>44</v>
      </c>
      <c r="G122" s="81">
        <v>26262</v>
      </c>
      <c r="H122" s="81"/>
      <c r="I122" s="81" t="s">
        <v>32</v>
      </c>
      <c r="J122" s="81" t="s">
        <v>33</v>
      </c>
      <c r="K122" s="81" t="s">
        <v>34</v>
      </c>
      <c r="L122" s="81" t="s">
        <v>939</v>
      </c>
      <c r="M122" s="81"/>
      <c r="N122" s="90">
        <v>44711</v>
      </c>
      <c r="O122" s="90">
        <v>44722</v>
      </c>
      <c r="P122" s="90">
        <v>44711</v>
      </c>
      <c r="Q122" s="90" t="s">
        <v>35</v>
      </c>
      <c r="R122" s="81">
        <v>0</v>
      </c>
      <c r="S122" s="90" t="s">
        <v>35</v>
      </c>
      <c r="T122" s="81">
        <v>0</v>
      </c>
      <c r="U122" s="81" t="s">
        <v>36</v>
      </c>
      <c r="V122" s="90" t="s">
        <v>35</v>
      </c>
      <c r="W122" s="81"/>
      <c r="X122" s="90" t="s">
        <v>37</v>
      </c>
      <c r="Y122" s="81" t="s">
        <v>38</v>
      </c>
      <c r="Z122" s="81">
        <v>2011</v>
      </c>
      <c r="AA122" s="81" t="s">
        <v>303</v>
      </c>
      <c r="AB122" s="81">
        <v>0</v>
      </c>
      <c r="AC122" s="81"/>
      <c r="AD122" s="81">
        <v>0</v>
      </c>
      <c r="AE122" s="81"/>
      <c r="AF122" s="81" t="s">
        <v>39</v>
      </c>
      <c r="AG122" s="83">
        <v>70687</v>
      </c>
      <c r="AH122" s="95">
        <v>1231567.28</v>
      </c>
      <c r="AI122" s="82" t="str">
        <f>CONCATENATE((TEXT(Tabela1[[#This Row],[Data entrega]],"mmmm")),"_",(YEAR(Tabela1[[#This Row],[Data entrega]])))</f>
        <v>junho_2022</v>
      </c>
      <c r="AJ122" s="77">
        <f>IFERROR(IF(Tabela1[[#This Row],[Programa]]="",Tabela1[[#This Row],[Peso bruto]],VLOOKUP(Tabela1[[#This Row],[Pedido]],'Saldo a Produzir'!$A:$D,4,0)),"")</f>
        <v>70687</v>
      </c>
      <c r="AM122" s="73">
        <v>70687</v>
      </c>
    </row>
    <row r="123" spans="1:39" ht="14.5" x14ac:dyDescent="0.35">
      <c r="A123" s="81">
        <v>15067</v>
      </c>
      <c r="B123" s="81" t="s">
        <v>59</v>
      </c>
      <c r="C123" s="81">
        <v>3961151000447</v>
      </c>
      <c r="D123" s="81" t="s">
        <v>409</v>
      </c>
      <c r="E123" s="81" t="s">
        <v>308</v>
      </c>
      <c r="F123" s="81" t="s">
        <v>64</v>
      </c>
      <c r="G123" s="81">
        <v>25036</v>
      </c>
      <c r="H123" s="81" t="s">
        <v>88</v>
      </c>
      <c r="I123" s="81" t="s">
        <v>32</v>
      </c>
      <c r="J123" s="81" t="s">
        <v>156</v>
      </c>
      <c r="K123" s="81" t="s">
        <v>34</v>
      </c>
      <c r="L123" s="81" t="s">
        <v>410</v>
      </c>
      <c r="M123" s="81"/>
      <c r="N123" s="90">
        <v>44531</v>
      </c>
      <c r="O123" s="90">
        <v>44722</v>
      </c>
      <c r="P123" s="90">
        <v>44544</v>
      </c>
      <c r="Q123" s="90">
        <v>44651</v>
      </c>
      <c r="R123" s="81">
        <v>6114</v>
      </c>
      <c r="S123" s="90">
        <v>44651</v>
      </c>
      <c r="T123" s="81">
        <v>6116</v>
      </c>
      <c r="U123" s="81" t="s">
        <v>36</v>
      </c>
      <c r="V123" s="90" t="s">
        <v>35</v>
      </c>
      <c r="W123" s="81" t="s">
        <v>429</v>
      </c>
      <c r="X123" s="90">
        <v>44557</v>
      </c>
      <c r="Y123" s="81" t="s">
        <v>38</v>
      </c>
      <c r="Z123" s="81">
        <v>0</v>
      </c>
      <c r="AA123" s="81"/>
      <c r="AB123" s="81">
        <v>0</v>
      </c>
      <c r="AC123" s="81"/>
      <c r="AD123" s="81">
        <v>0</v>
      </c>
      <c r="AE123" s="81" t="s">
        <v>153</v>
      </c>
      <c r="AF123" s="81" t="s">
        <v>39</v>
      </c>
      <c r="AG123" s="83">
        <v>4843.01</v>
      </c>
      <c r="AH123" s="95">
        <v>1674632.21</v>
      </c>
      <c r="AI123" s="82" t="str">
        <f>CONCATENATE((TEXT(Tabela1[[#This Row],[Data entrega]],"mmmm")),"_",(YEAR(Tabela1[[#This Row],[Data entrega]])))</f>
        <v>junho_2022</v>
      </c>
      <c r="AJ123" s="77">
        <f>IFERROR(IF(Tabela1[[#This Row],[Programa]]="",Tabela1[[#This Row],[Peso bruto]],VLOOKUP(Tabela1[[#This Row],[Pedido]],'Saldo a Produzir'!$A:$D,4,0)),"")</f>
        <v>0</v>
      </c>
      <c r="AM123" s="73">
        <v>100984.988</v>
      </c>
    </row>
    <row r="124" spans="1:39" ht="14.5" x14ac:dyDescent="0.35">
      <c r="A124" s="81">
        <v>15059</v>
      </c>
      <c r="B124" s="81" t="s">
        <v>63</v>
      </c>
      <c r="C124" s="81">
        <v>12680452001112</v>
      </c>
      <c r="D124" s="81" t="s">
        <v>1420</v>
      </c>
      <c r="E124" s="81" t="s">
        <v>308</v>
      </c>
      <c r="F124" s="81" t="s">
        <v>64</v>
      </c>
      <c r="G124" s="81">
        <v>26318</v>
      </c>
      <c r="H124" s="81" t="s">
        <v>87</v>
      </c>
      <c r="I124" s="81" t="s">
        <v>976</v>
      </c>
      <c r="J124" s="81" t="s">
        <v>33</v>
      </c>
      <c r="K124" s="81" t="s">
        <v>983</v>
      </c>
      <c r="L124" s="81"/>
      <c r="M124" s="81"/>
      <c r="N124" s="90">
        <v>44718</v>
      </c>
      <c r="O124" s="90">
        <v>44722</v>
      </c>
      <c r="P124" s="90">
        <v>44719</v>
      </c>
      <c r="Q124" s="90" t="s">
        <v>35</v>
      </c>
      <c r="R124" s="81">
        <v>0</v>
      </c>
      <c r="S124" s="90" t="s">
        <v>35</v>
      </c>
      <c r="T124" s="81">
        <v>0</v>
      </c>
      <c r="U124" s="81" t="s">
        <v>36</v>
      </c>
      <c r="V124" s="90" t="s">
        <v>35</v>
      </c>
      <c r="W124" s="81" t="s">
        <v>1421</v>
      </c>
      <c r="X124" s="90">
        <v>44719</v>
      </c>
      <c r="Y124" s="81" t="s">
        <v>38</v>
      </c>
      <c r="Z124" s="81">
        <v>0</v>
      </c>
      <c r="AA124" s="81"/>
      <c r="AB124" s="81">
        <v>0</v>
      </c>
      <c r="AC124" s="81"/>
      <c r="AD124" s="81">
        <v>0</v>
      </c>
      <c r="AE124" s="81" t="s">
        <v>153</v>
      </c>
      <c r="AF124" s="81" t="s">
        <v>39</v>
      </c>
      <c r="AG124" s="83">
        <v>0</v>
      </c>
      <c r="AH124" s="95">
        <v>166.23</v>
      </c>
      <c r="AI124" s="82" t="str">
        <f>CONCATENATE((TEXT(Tabela1[[#This Row],[Data entrega]],"mmmm")),"_",(YEAR(Tabela1[[#This Row],[Data entrega]])))</f>
        <v>junho_2022</v>
      </c>
      <c r="AJ124" s="77" t="str">
        <f>IFERROR(IF(Tabela1[[#This Row],[Programa]]="",Tabela1[[#This Row],[Peso bruto]],VLOOKUP(Tabela1[[#This Row],[Pedido]],'Saldo a Produzir'!$A:$D,4,0)),"")</f>
        <v/>
      </c>
      <c r="AM124" s="73">
        <v>19.158999999999999</v>
      </c>
    </row>
    <row r="125" spans="1:39" ht="14.5" x14ac:dyDescent="0.35">
      <c r="A125" s="81">
        <v>15073</v>
      </c>
      <c r="B125" s="81" t="s">
        <v>172</v>
      </c>
      <c r="C125" s="81">
        <v>2229804000516</v>
      </c>
      <c r="D125" s="81" t="s">
        <v>1171</v>
      </c>
      <c r="E125" s="81" t="s">
        <v>66</v>
      </c>
      <c r="F125" s="81" t="s">
        <v>44</v>
      </c>
      <c r="G125" s="81">
        <v>26274</v>
      </c>
      <c r="H125" s="81" t="s">
        <v>87</v>
      </c>
      <c r="I125" s="81" t="s">
        <v>32</v>
      </c>
      <c r="J125" s="81" t="s">
        <v>33</v>
      </c>
      <c r="K125" s="81" t="s">
        <v>34</v>
      </c>
      <c r="L125" s="81" t="s">
        <v>1172</v>
      </c>
      <c r="M125" s="81">
        <v>723186</v>
      </c>
      <c r="N125" s="90">
        <v>44712</v>
      </c>
      <c r="O125" s="90">
        <v>44722</v>
      </c>
      <c r="P125" s="90">
        <v>44712</v>
      </c>
      <c r="Q125" s="90" t="s">
        <v>35</v>
      </c>
      <c r="R125" s="81">
        <v>0</v>
      </c>
      <c r="S125" s="90" t="s">
        <v>35</v>
      </c>
      <c r="T125" s="81">
        <v>0</v>
      </c>
      <c r="U125" s="81" t="s">
        <v>36</v>
      </c>
      <c r="V125" s="90" t="s">
        <v>35</v>
      </c>
      <c r="W125" s="81" t="s">
        <v>1422</v>
      </c>
      <c r="X125" s="90">
        <v>44715</v>
      </c>
      <c r="Y125" s="81" t="s">
        <v>38</v>
      </c>
      <c r="Z125" s="81">
        <v>2000</v>
      </c>
      <c r="AA125" s="81" t="s">
        <v>154</v>
      </c>
      <c r="AB125" s="81">
        <v>0</v>
      </c>
      <c r="AC125" s="81"/>
      <c r="AD125" s="81">
        <v>0</v>
      </c>
      <c r="AE125" s="81" t="s">
        <v>153</v>
      </c>
      <c r="AF125" s="81" t="s">
        <v>39</v>
      </c>
      <c r="AG125" s="83">
        <v>0</v>
      </c>
      <c r="AH125" s="95">
        <v>2065</v>
      </c>
      <c r="AI125" s="82" t="str">
        <f>CONCATENATE((TEXT(Tabela1[[#This Row],[Data entrega]],"mmmm")),"_",(YEAR(Tabela1[[#This Row],[Data entrega]])))</f>
        <v>junho_2022</v>
      </c>
      <c r="AJ125" s="77">
        <f>IFERROR(IF(Tabela1[[#This Row],[Programa]]="",Tabela1[[#This Row],[Peso bruto]],VLOOKUP(Tabela1[[#This Row],[Pedido]],'Saldo a Produzir'!$A:$D,4,0)),"")</f>
        <v>0</v>
      </c>
      <c r="AM125" s="73">
        <v>13.5</v>
      </c>
    </row>
    <row r="126" spans="1:39" ht="14.5" x14ac:dyDescent="0.35">
      <c r="A126" s="81">
        <v>15066</v>
      </c>
      <c r="B126" s="81" t="s">
        <v>72</v>
      </c>
      <c r="C126" s="81">
        <v>4423462000172</v>
      </c>
      <c r="D126" s="81" t="s">
        <v>938</v>
      </c>
      <c r="E126" s="81" t="s">
        <v>126</v>
      </c>
      <c r="F126" s="81" t="s">
        <v>56</v>
      </c>
      <c r="G126" s="81">
        <v>26127</v>
      </c>
      <c r="H126" s="81" t="s">
        <v>87</v>
      </c>
      <c r="I126" s="81" t="s">
        <v>976</v>
      </c>
      <c r="J126" s="81" t="s">
        <v>33</v>
      </c>
      <c r="K126" s="81" t="s">
        <v>34</v>
      </c>
      <c r="L126" s="81" t="s">
        <v>939</v>
      </c>
      <c r="M126" s="81"/>
      <c r="N126" s="90">
        <v>44694</v>
      </c>
      <c r="O126" s="90">
        <v>44722</v>
      </c>
      <c r="P126" s="90">
        <v>44715</v>
      </c>
      <c r="Q126" s="90" t="s">
        <v>35</v>
      </c>
      <c r="R126" s="81">
        <v>0</v>
      </c>
      <c r="S126" s="90" t="s">
        <v>35</v>
      </c>
      <c r="T126" s="81">
        <v>0</v>
      </c>
      <c r="U126" s="81" t="s">
        <v>36</v>
      </c>
      <c r="V126" s="90" t="s">
        <v>35</v>
      </c>
      <c r="W126" s="81" t="s">
        <v>1047</v>
      </c>
      <c r="X126" s="90">
        <v>44699</v>
      </c>
      <c r="Y126" s="81" t="s">
        <v>38</v>
      </c>
      <c r="Z126" s="81">
        <v>2011</v>
      </c>
      <c r="AA126" s="81" t="s">
        <v>303</v>
      </c>
      <c r="AB126" s="81">
        <v>0</v>
      </c>
      <c r="AC126" s="81"/>
      <c r="AD126" s="81">
        <v>0</v>
      </c>
      <c r="AE126" s="81" t="s">
        <v>153</v>
      </c>
      <c r="AF126" s="81" t="s">
        <v>39</v>
      </c>
      <c r="AG126" s="83">
        <v>345.62</v>
      </c>
      <c r="AH126" s="95">
        <v>1231567.28</v>
      </c>
      <c r="AI126" s="82" t="str">
        <f>CONCATENATE((TEXT(Tabela1[[#This Row],[Data entrega]],"mmmm")),"_",(YEAR(Tabela1[[#This Row],[Data entrega]])))</f>
        <v>junho_2022</v>
      </c>
      <c r="AJ126" s="77" t="str">
        <f>IFERROR(IF(Tabela1[[#This Row],[Programa]]="",Tabela1[[#This Row],[Peso bruto]],VLOOKUP(Tabela1[[#This Row],[Pedido]],'Saldo a Produzir'!$A:$D,4,0)),"")</f>
        <v/>
      </c>
      <c r="AM126" s="73">
        <v>67306.563999999998</v>
      </c>
    </row>
    <row r="127" spans="1:39" ht="14.5" x14ac:dyDescent="0.35">
      <c r="A127" s="81">
        <v>15059</v>
      </c>
      <c r="B127" s="81" t="s">
        <v>63</v>
      </c>
      <c r="C127" s="81">
        <v>1333984000276</v>
      </c>
      <c r="D127" s="81" t="s">
        <v>163</v>
      </c>
      <c r="E127" s="81" t="s">
        <v>164</v>
      </c>
      <c r="F127" s="81" t="s">
        <v>64</v>
      </c>
      <c r="G127" s="81">
        <v>26240</v>
      </c>
      <c r="H127" s="81" t="s">
        <v>112</v>
      </c>
      <c r="I127" s="81" t="s">
        <v>976</v>
      </c>
      <c r="J127" s="81" t="s">
        <v>33</v>
      </c>
      <c r="K127" s="81" t="s">
        <v>978</v>
      </c>
      <c r="L127" s="81"/>
      <c r="M127" s="81"/>
      <c r="N127" s="90">
        <v>44708</v>
      </c>
      <c r="O127" s="90">
        <v>44722</v>
      </c>
      <c r="P127" s="90">
        <v>44708</v>
      </c>
      <c r="Q127" s="90" t="s">
        <v>35</v>
      </c>
      <c r="R127" s="81">
        <v>0</v>
      </c>
      <c r="S127" s="90" t="s">
        <v>35</v>
      </c>
      <c r="T127" s="81">
        <v>0</v>
      </c>
      <c r="U127" s="81" t="s">
        <v>36</v>
      </c>
      <c r="V127" s="90" t="s">
        <v>35</v>
      </c>
      <c r="W127" s="81" t="s">
        <v>1152</v>
      </c>
      <c r="X127" s="90">
        <v>44708</v>
      </c>
      <c r="Y127" s="81" t="s">
        <v>38</v>
      </c>
      <c r="Z127" s="81">
        <v>0</v>
      </c>
      <c r="AA127" s="81"/>
      <c r="AB127" s="81">
        <v>0</v>
      </c>
      <c r="AC127" s="81"/>
      <c r="AD127" s="81">
        <v>0</v>
      </c>
      <c r="AE127" s="81" t="s">
        <v>153</v>
      </c>
      <c r="AF127" s="81" t="s">
        <v>39</v>
      </c>
      <c r="AG127" s="83">
        <v>0</v>
      </c>
      <c r="AH127" s="95">
        <v>520.1</v>
      </c>
      <c r="AI127" s="82" t="str">
        <f>CONCATENATE((TEXT(Tabela1[[#This Row],[Data entrega]],"mmmm")),"_",(YEAR(Tabela1[[#This Row],[Data entrega]])))</f>
        <v>junho_2022</v>
      </c>
      <c r="AJ127" s="77">
        <f>IFERROR(IF(Tabela1[[#This Row],[Programa]]="",Tabela1[[#This Row],[Peso bruto]],VLOOKUP(Tabela1[[#This Row],[Pedido]],'Saldo a Produzir'!$A:$D,4,0)),"")</f>
        <v>0</v>
      </c>
      <c r="AM127" s="73">
        <v>70.953000000000003</v>
      </c>
    </row>
    <row r="128" spans="1:39" ht="14.5" x14ac:dyDescent="0.35">
      <c r="A128" s="81">
        <v>15020</v>
      </c>
      <c r="B128" s="81" t="s">
        <v>46</v>
      </c>
      <c r="C128" s="81">
        <v>0</v>
      </c>
      <c r="D128" s="81" t="s">
        <v>1084</v>
      </c>
      <c r="E128" s="81" t="s">
        <v>1085</v>
      </c>
      <c r="F128" s="81" t="s">
        <v>49</v>
      </c>
      <c r="G128" s="81">
        <v>26203</v>
      </c>
      <c r="H128" s="81" t="s">
        <v>109</v>
      </c>
      <c r="I128" s="81" t="s">
        <v>32</v>
      </c>
      <c r="J128" s="81" t="s">
        <v>33</v>
      </c>
      <c r="K128" s="81" t="s">
        <v>34</v>
      </c>
      <c r="L128" s="81" t="s">
        <v>1086</v>
      </c>
      <c r="M128" s="81"/>
      <c r="N128" s="90">
        <v>44705</v>
      </c>
      <c r="O128" s="90">
        <v>44725</v>
      </c>
      <c r="P128" s="90">
        <v>44707</v>
      </c>
      <c r="Q128" s="90" t="s">
        <v>35</v>
      </c>
      <c r="R128" s="81">
        <v>0</v>
      </c>
      <c r="S128" s="90" t="s">
        <v>35</v>
      </c>
      <c r="T128" s="81">
        <v>0</v>
      </c>
      <c r="U128" s="81" t="s">
        <v>36</v>
      </c>
      <c r="V128" s="90" t="s">
        <v>35</v>
      </c>
      <c r="W128" s="81"/>
      <c r="X128" s="90" t="s">
        <v>37</v>
      </c>
      <c r="Y128" s="81" t="s">
        <v>38</v>
      </c>
      <c r="Z128" s="81">
        <v>0</v>
      </c>
      <c r="AA128" s="81"/>
      <c r="AB128" s="81">
        <v>0</v>
      </c>
      <c r="AC128" s="81"/>
      <c r="AD128" s="81">
        <v>0</v>
      </c>
      <c r="AE128" s="81"/>
      <c r="AF128" s="81" t="s">
        <v>39</v>
      </c>
      <c r="AG128" s="83">
        <v>0</v>
      </c>
      <c r="AH128" s="95">
        <v>19561.2</v>
      </c>
      <c r="AI128" s="82" t="str">
        <f>CONCATENATE((TEXT(Tabela1[[#This Row],[Data entrega]],"mmmm")),"_",(YEAR(Tabela1[[#This Row],[Data entrega]])))</f>
        <v>junho_2022</v>
      </c>
      <c r="AJ128" s="77">
        <f>IFERROR(IF(Tabela1[[#This Row],[Programa]]="",Tabela1[[#This Row],[Peso bruto]],VLOOKUP(Tabela1[[#This Row],[Pedido]],'Saldo a Produzir'!$A:$D,4,0)),"")</f>
        <v>0</v>
      </c>
      <c r="AM128" s="73">
        <v>0</v>
      </c>
    </row>
    <row r="129" spans="1:39" ht="14.5" x14ac:dyDescent="0.35">
      <c r="A129" s="81">
        <v>15000</v>
      </c>
      <c r="B129" s="81" t="s">
        <v>234</v>
      </c>
      <c r="C129" s="81">
        <v>87556650001410</v>
      </c>
      <c r="D129" s="81" t="s">
        <v>975</v>
      </c>
      <c r="E129" s="81" t="s">
        <v>77</v>
      </c>
      <c r="F129" s="81" t="s">
        <v>58</v>
      </c>
      <c r="G129" s="81">
        <v>26250</v>
      </c>
      <c r="H129" s="81"/>
      <c r="I129" s="81" t="s">
        <v>989</v>
      </c>
      <c r="J129" s="81" t="s">
        <v>33</v>
      </c>
      <c r="K129" s="81" t="s">
        <v>34</v>
      </c>
      <c r="L129" s="81"/>
      <c r="M129" s="81"/>
      <c r="N129" s="90">
        <v>44708</v>
      </c>
      <c r="O129" s="90">
        <v>44725</v>
      </c>
      <c r="P129" s="90">
        <v>44720</v>
      </c>
      <c r="Q129" s="90" t="s">
        <v>35</v>
      </c>
      <c r="R129" s="81">
        <v>0</v>
      </c>
      <c r="S129" s="90" t="s">
        <v>35</v>
      </c>
      <c r="T129" s="81">
        <v>0</v>
      </c>
      <c r="U129" s="81" t="s">
        <v>36</v>
      </c>
      <c r="V129" s="90" t="s">
        <v>35</v>
      </c>
      <c r="W129" s="81"/>
      <c r="X129" s="90" t="s">
        <v>37</v>
      </c>
      <c r="Y129" s="81" t="s">
        <v>38</v>
      </c>
      <c r="Z129" s="81">
        <v>0</v>
      </c>
      <c r="AA129" s="81"/>
      <c r="AB129" s="81">
        <v>0</v>
      </c>
      <c r="AC129" s="81"/>
      <c r="AD129" s="81">
        <v>0</v>
      </c>
      <c r="AE129" s="81" t="s">
        <v>153</v>
      </c>
      <c r="AF129" s="81" t="s">
        <v>39</v>
      </c>
      <c r="AG129" s="83">
        <v>438.87</v>
      </c>
      <c r="AH129" s="95">
        <v>1.03</v>
      </c>
      <c r="AI129" s="82" t="str">
        <f>CONCATENATE((TEXT(Tabela1[[#This Row],[Data entrega]],"mmmm")),"_",(YEAR(Tabela1[[#This Row],[Data entrega]])))</f>
        <v>junho_2022</v>
      </c>
      <c r="AJ129" s="77">
        <f>IFERROR(IF(Tabela1[[#This Row],[Programa]]="",Tabela1[[#This Row],[Peso bruto]],VLOOKUP(Tabela1[[#This Row],[Pedido]],'Saldo a Produzir'!$A:$D,4,0)),"")</f>
        <v>438.87</v>
      </c>
      <c r="AM129" s="73">
        <v>438.87</v>
      </c>
    </row>
    <row r="130" spans="1:39" ht="14.5" x14ac:dyDescent="0.35">
      <c r="A130" s="81">
        <v>15910</v>
      </c>
      <c r="B130" s="81" t="s">
        <v>261</v>
      </c>
      <c r="C130" s="81">
        <v>1438784006995</v>
      </c>
      <c r="D130" s="81" t="s">
        <v>327</v>
      </c>
      <c r="E130" s="81" t="s">
        <v>184</v>
      </c>
      <c r="F130" s="81" t="s">
        <v>44</v>
      </c>
      <c r="G130" s="81">
        <v>24502</v>
      </c>
      <c r="H130" s="81" t="s">
        <v>328</v>
      </c>
      <c r="I130" s="81" t="s">
        <v>32</v>
      </c>
      <c r="J130" s="81" t="s">
        <v>156</v>
      </c>
      <c r="K130" s="81" t="s">
        <v>34</v>
      </c>
      <c r="L130" s="81" t="s">
        <v>415</v>
      </c>
      <c r="M130" s="81"/>
      <c r="N130" s="90">
        <v>44461</v>
      </c>
      <c r="O130" s="90">
        <v>44725</v>
      </c>
      <c r="P130" s="90">
        <v>44691</v>
      </c>
      <c r="Q130" s="90">
        <v>44694</v>
      </c>
      <c r="R130" s="81">
        <v>6696</v>
      </c>
      <c r="S130" s="90">
        <v>44709</v>
      </c>
      <c r="T130" s="81">
        <v>6940</v>
      </c>
      <c r="U130" s="81" t="s">
        <v>36</v>
      </c>
      <c r="V130" s="90" t="s">
        <v>35</v>
      </c>
      <c r="W130" s="81" t="s">
        <v>478</v>
      </c>
      <c r="X130" s="90">
        <v>44594</v>
      </c>
      <c r="Y130" s="81" t="s">
        <v>38</v>
      </c>
      <c r="Z130" s="81">
        <v>0</v>
      </c>
      <c r="AA130" s="81"/>
      <c r="AB130" s="81">
        <v>0</v>
      </c>
      <c r="AC130" s="81"/>
      <c r="AD130" s="81">
        <v>0</v>
      </c>
      <c r="AE130" s="81" t="s">
        <v>153</v>
      </c>
      <c r="AF130" s="81" t="s">
        <v>39</v>
      </c>
      <c r="AG130" s="83">
        <v>26157.72</v>
      </c>
      <c r="AH130" s="95">
        <v>768412</v>
      </c>
      <c r="AI130" s="82" t="str">
        <f>CONCATENATE((TEXT(Tabela1[[#This Row],[Data entrega]],"mmmm")),"_",(YEAR(Tabela1[[#This Row],[Data entrega]])))</f>
        <v>junho_2022</v>
      </c>
      <c r="AJ130" s="77">
        <f>IFERROR(IF(Tabela1[[#This Row],[Programa]]="",Tabela1[[#This Row],[Peso bruto]],VLOOKUP(Tabela1[[#This Row],[Pedido]],'Saldo a Produzir'!$A:$D,4,0)),"")</f>
        <v>23983.940000000002</v>
      </c>
      <c r="AM130" s="73">
        <v>32248.853999999999</v>
      </c>
    </row>
    <row r="131" spans="1:39" ht="14.5" x14ac:dyDescent="0.35">
      <c r="A131" s="81">
        <v>15062</v>
      </c>
      <c r="B131" s="81" t="s">
        <v>50</v>
      </c>
      <c r="C131" s="81">
        <v>68915891003408</v>
      </c>
      <c r="D131" s="81" t="s">
        <v>94</v>
      </c>
      <c r="E131" s="81" t="s">
        <v>69</v>
      </c>
      <c r="F131" s="81" t="s">
        <v>51</v>
      </c>
      <c r="G131" s="81">
        <v>25434</v>
      </c>
      <c r="H131" s="81" t="s">
        <v>92</v>
      </c>
      <c r="I131" s="81" t="s">
        <v>32</v>
      </c>
      <c r="J131" s="81" t="s">
        <v>33</v>
      </c>
      <c r="K131" s="81" t="s">
        <v>34</v>
      </c>
      <c r="L131" s="81" t="s">
        <v>495</v>
      </c>
      <c r="M131" s="81" t="s">
        <v>496</v>
      </c>
      <c r="N131" s="90">
        <v>44602</v>
      </c>
      <c r="O131" s="90">
        <v>44725</v>
      </c>
      <c r="P131" s="90">
        <v>44602</v>
      </c>
      <c r="Q131" s="90" t="s">
        <v>35</v>
      </c>
      <c r="R131" s="81">
        <v>0</v>
      </c>
      <c r="S131" s="90" t="s">
        <v>35</v>
      </c>
      <c r="T131" s="81">
        <v>0</v>
      </c>
      <c r="U131" s="81" t="s">
        <v>36</v>
      </c>
      <c r="V131" s="90" t="s">
        <v>35</v>
      </c>
      <c r="W131" s="81" t="s">
        <v>546</v>
      </c>
      <c r="X131" s="90">
        <v>44621</v>
      </c>
      <c r="Y131" s="81" t="s">
        <v>38</v>
      </c>
      <c r="Z131" s="81">
        <v>13</v>
      </c>
      <c r="AA131" s="81" t="s">
        <v>149</v>
      </c>
      <c r="AB131" s="81">
        <v>0</v>
      </c>
      <c r="AC131" s="81"/>
      <c r="AD131" s="81">
        <v>0</v>
      </c>
      <c r="AE131" s="81" t="s">
        <v>153</v>
      </c>
      <c r="AF131" s="81" t="s">
        <v>39</v>
      </c>
      <c r="AG131" s="83">
        <v>626.49</v>
      </c>
      <c r="AH131" s="95">
        <v>64196.72</v>
      </c>
      <c r="AI131" s="82" t="str">
        <f>CONCATENATE((TEXT(Tabela1[[#This Row],[Data entrega]],"mmmm")),"_",(YEAR(Tabela1[[#This Row],[Data entrega]])))</f>
        <v>junho_2022</v>
      </c>
      <c r="AJ131" s="77">
        <f>IFERROR(IF(Tabela1[[#This Row],[Programa]]="",Tabela1[[#This Row],[Peso bruto]],VLOOKUP(Tabela1[[#This Row],[Pedido]],'Saldo a Produzir'!$A:$D,4,0)),"")</f>
        <v>557.73</v>
      </c>
      <c r="AM131" s="73">
        <v>1950.694</v>
      </c>
    </row>
    <row r="132" spans="1:39" ht="14.5" x14ac:dyDescent="0.35">
      <c r="A132" s="81">
        <v>15910</v>
      </c>
      <c r="B132" s="81" t="s">
        <v>261</v>
      </c>
      <c r="C132" s="81">
        <v>6053214000102</v>
      </c>
      <c r="D132" s="81" t="s">
        <v>557</v>
      </c>
      <c r="E132" s="81" t="s">
        <v>558</v>
      </c>
      <c r="F132" s="81" t="s">
        <v>44</v>
      </c>
      <c r="G132" s="81">
        <v>25653</v>
      </c>
      <c r="H132" s="81" t="s">
        <v>92</v>
      </c>
      <c r="I132" s="81" t="s">
        <v>976</v>
      </c>
      <c r="J132" s="81" t="s">
        <v>33</v>
      </c>
      <c r="K132" s="81" t="s">
        <v>983</v>
      </c>
      <c r="L132" s="81"/>
      <c r="M132" s="81">
        <v>217220</v>
      </c>
      <c r="N132" s="90">
        <v>44637</v>
      </c>
      <c r="O132" s="90">
        <v>44726</v>
      </c>
      <c r="P132" s="90">
        <v>44637</v>
      </c>
      <c r="Q132" s="90" t="s">
        <v>35</v>
      </c>
      <c r="R132" s="81">
        <v>0</v>
      </c>
      <c r="S132" s="90" t="s">
        <v>35</v>
      </c>
      <c r="T132" s="81">
        <v>0</v>
      </c>
      <c r="U132" s="81" t="s">
        <v>36</v>
      </c>
      <c r="V132" s="90" t="s">
        <v>35</v>
      </c>
      <c r="W132" s="81" t="s">
        <v>984</v>
      </c>
      <c r="X132" s="90">
        <v>44637</v>
      </c>
      <c r="Y132" s="81" t="s">
        <v>38</v>
      </c>
      <c r="Z132" s="81">
        <v>0</v>
      </c>
      <c r="AA132" s="81"/>
      <c r="AB132" s="81">
        <v>0</v>
      </c>
      <c r="AC132" s="81"/>
      <c r="AD132" s="81">
        <v>0</v>
      </c>
      <c r="AE132" s="81" t="s">
        <v>153</v>
      </c>
      <c r="AF132" s="81" t="s">
        <v>39</v>
      </c>
      <c r="AG132" s="83">
        <v>0</v>
      </c>
      <c r="AH132" s="95">
        <v>1503.32</v>
      </c>
      <c r="AI132" s="82" t="str">
        <f>CONCATENATE((TEXT(Tabela1[[#This Row],[Data entrega]],"mmmm")),"_",(YEAR(Tabela1[[#This Row],[Data entrega]])))</f>
        <v>junho_2022</v>
      </c>
      <c r="AJ132" s="77" t="str">
        <f>IFERROR(IF(Tabela1[[#This Row],[Programa]]="",Tabela1[[#This Row],[Peso bruto]],VLOOKUP(Tabela1[[#This Row],[Pedido]],'Saldo a Produzir'!$A:$D,4,0)),"")</f>
        <v/>
      </c>
      <c r="AM132" s="73">
        <v>186.369</v>
      </c>
    </row>
    <row r="133" spans="1:39" ht="14.5" x14ac:dyDescent="0.35">
      <c r="A133" s="81">
        <v>15909</v>
      </c>
      <c r="B133" s="81" t="s">
        <v>223</v>
      </c>
      <c r="C133" s="81">
        <v>11137051040641</v>
      </c>
      <c r="D133" s="81" t="s">
        <v>1173</v>
      </c>
      <c r="E133" s="81" t="s">
        <v>1174</v>
      </c>
      <c r="F133" s="81" t="s">
        <v>44</v>
      </c>
      <c r="G133" s="81">
        <v>26728</v>
      </c>
      <c r="H133" s="81" t="s">
        <v>125</v>
      </c>
      <c r="I133" s="81" t="s">
        <v>32</v>
      </c>
      <c r="J133" s="81" t="s">
        <v>33</v>
      </c>
      <c r="K133" s="81" t="s">
        <v>34</v>
      </c>
      <c r="L133" s="81" t="s">
        <v>1175</v>
      </c>
      <c r="M133" s="81"/>
      <c r="N133" s="90">
        <v>44712</v>
      </c>
      <c r="O133" s="90">
        <v>44727</v>
      </c>
      <c r="P133" s="90">
        <v>44712</v>
      </c>
      <c r="Q133" s="90" t="s">
        <v>35</v>
      </c>
      <c r="R133" s="81">
        <v>0</v>
      </c>
      <c r="S133" s="90" t="s">
        <v>35</v>
      </c>
      <c r="T133" s="81">
        <v>0</v>
      </c>
      <c r="U133" s="81" t="s">
        <v>36</v>
      </c>
      <c r="V133" s="90" t="s">
        <v>35</v>
      </c>
      <c r="W133" s="81"/>
      <c r="X133" s="90" t="s">
        <v>37</v>
      </c>
      <c r="Y133" s="81" t="s">
        <v>38</v>
      </c>
      <c r="Z133" s="81">
        <v>944</v>
      </c>
      <c r="AA133" s="81" t="s">
        <v>152</v>
      </c>
      <c r="AB133" s="81">
        <v>0</v>
      </c>
      <c r="AC133" s="81"/>
      <c r="AD133" s="81">
        <v>0</v>
      </c>
      <c r="AE133" s="81"/>
      <c r="AF133" s="81" t="s">
        <v>39</v>
      </c>
      <c r="AG133" s="83">
        <v>0</v>
      </c>
      <c r="AH133" s="95">
        <v>170000</v>
      </c>
      <c r="AI133" s="82" t="str">
        <f>CONCATENATE((TEXT(Tabela1[[#This Row],[Data entrega]],"mmmm")),"_",(YEAR(Tabela1[[#This Row],[Data entrega]])))</f>
        <v>junho_2022</v>
      </c>
      <c r="AJ133" s="77">
        <f>IFERROR(IF(Tabela1[[#This Row],[Programa]]="",Tabela1[[#This Row],[Peso bruto]],VLOOKUP(Tabela1[[#This Row],[Pedido]],'Saldo a Produzir'!$A:$D,4,0)),"")</f>
        <v>0</v>
      </c>
      <c r="AM133" s="73">
        <v>0</v>
      </c>
    </row>
    <row r="134" spans="1:39" ht="14.5" x14ac:dyDescent="0.35">
      <c r="A134" s="81">
        <v>15073</v>
      </c>
      <c r="B134" s="81" t="s">
        <v>172</v>
      </c>
      <c r="C134" s="81">
        <v>382468003375</v>
      </c>
      <c r="D134" s="81" t="s">
        <v>773</v>
      </c>
      <c r="E134" s="81" t="s">
        <v>558</v>
      </c>
      <c r="F134" s="81" t="s">
        <v>44</v>
      </c>
      <c r="G134" s="81">
        <v>26330</v>
      </c>
      <c r="H134" s="81" t="s">
        <v>125</v>
      </c>
      <c r="I134" s="81" t="s">
        <v>32</v>
      </c>
      <c r="J134" s="81" t="s">
        <v>33</v>
      </c>
      <c r="K134" s="81" t="s">
        <v>34</v>
      </c>
      <c r="L134" s="81" t="s">
        <v>1423</v>
      </c>
      <c r="M134" s="81">
        <v>8500253443</v>
      </c>
      <c r="N134" s="90">
        <v>44720</v>
      </c>
      <c r="O134" s="90">
        <v>44727</v>
      </c>
      <c r="P134" s="90">
        <v>44721</v>
      </c>
      <c r="Q134" s="90" t="s">
        <v>35</v>
      </c>
      <c r="R134" s="81">
        <v>0</v>
      </c>
      <c r="S134" s="90" t="s">
        <v>35</v>
      </c>
      <c r="T134" s="81">
        <v>0</v>
      </c>
      <c r="U134" s="81" t="s">
        <v>36</v>
      </c>
      <c r="V134" s="90" t="s">
        <v>35</v>
      </c>
      <c r="W134" s="81"/>
      <c r="X134" s="90" t="s">
        <v>37</v>
      </c>
      <c r="Y134" s="81" t="s">
        <v>38</v>
      </c>
      <c r="Z134" s="81">
        <v>1217</v>
      </c>
      <c r="AA134" s="81" t="s">
        <v>1424</v>
      </c>
      <c r="AB134" s="81">
        <v>0</v>
      </c>
      <c r="AC134" s="81"/>
      <c r="AD134" s="81">
        <v>0</v>
      </c>
      <c r="AE134" s="81"/>
      <c r="AF134" s="81" t="s">
        <v>39</v>
      </c>
      <c r="AG134" s="83">
        <v>0</v>
      </c>
      <c r="AH134" s="95">
        <v>21000</v>
      </c>
      <c r="AI134" s="82" t="str">
        <f>CONCATENATE((TEXT(Tabela1[[#This Row],[Data entrega]],"mmmm")),"_",(YEAR(Tabela1[[#This Row],[Data entrega]])))</f>
        <v>junho_2022</v>
      </c>
      <c r="AJ134" s="77">
        <f>IFERROR(IF(Tabela1[[#This Row],[Programa]]="",Tabela1[[#This Row],[Peso bruto]],VLOOKUP(Tabela1[[#This Row],[Pedido]],'Saldo a Produzir'!$A:$D,4,0)),"")</f>
        <v>0</v>
      </c>
      <c r="AM134" s="73">
        <v>0</v>
      </c>
    </row>
    <row r="135" spans="1:39" ht="14.5" x14ac:dyDescent="0.35">
      <c r="A135" s="81">
        <v>15070</v>
      </c>
      <c r="B135" s="81" t="s">
        <v>140</v>
      </c>
      <c r="C135" s="81">
        <v>77595395005025</v>
      </c>
      <c r="D135" s="81" t="s">
        <v>207</v>
      </c>
      <c r="E135" s="81" t="s">
        <v>208</v>
      </c>
      <c r="F135" s="81" t="s">
        <v>42</v>
      </c>
      <c r="G135" s="81">
        <v>23505</v>
      </c>
      <c r="H135" s="81" t="s">
        <v>91</v>
      </c>
      <c r="I135" s="81" t="s">
        <v>32</v>
      </c>
      <c r="J135" s="81" t="s">
        <v>156</v>
      </c>
      <c r="K135" s="81" t="s">
        <v>34</v>
      </c>
      <c r="L135" s="81" t="s">
        <v>216</v>
      </c>
      <c r="M135" s="81">
        <v>2260950</v>
      </c>
      <c r="N135" s="90">
        <v>44280</v>
      </c>
      <c r="O135" s="90">
        <v>44727</v>
      </c>
      <c r="P135" s="90">
        <v>44698</v>
      </c>
      <c r="Q135" s="90">
        <v>44698</v>
      </c>
      <c r="R135" s="81">
        <v>6767</v>
      </c>
      <c r="S135" s="90">
        <v>44719</v>
      </c>
      <c r="T135" s="81">
        <v>7078</v>
      </c>
      <c r="U135" s="81" t="s">
        <v>36</v>
      </c>
      <c r="V135" s="90" t="s">
        <v>35</v>
      </c>
      <c r="W135" s="81" t="s">
        <v>218</v>
      </c>
      <c r="X135" s="90">
        <v>44330</v>
      </c>
      <c r="Y135" s="81" t="s">
        <v>38</v>
      </c>
      <c r="Z135" s="81">
        <v>0</v>
      </c>
      <c r="AA135" s="81"/>
      <c r="AB135" s="81">
        <v>0</v>
      </c>
      <c r="AC135" s="81"/>
      <c r="AD135" s="81">
        <v>0</v>
      </c>
      <c r="AE135" s="81" t="s">
        <v>153</v>
      </c>
      <c r="AF135" s="81" t="s">
        <v>39</v>
      </c>
      <c r="AG135" s="83">
        <v>28003.429999999997</v>
      </c>
      <c r="AH135" s="95">
        <v>926250.65</v>
      </c>
      <c r="AI135" s="82" t="str">
        <f>CONCATENATE((TEXT(Tabela1[[#This Row],[Data entrega]],"mmmm")),"_",(YEAR(Tabela1[[#This Row],[Data entrega]])))</f>
        <v>junho_2022</v>
      </c>
      <c r="AJ135" s="77">
        <f>IFERROR(IF(Tabela1[[#This Row],[Programa]]="",Tabela1[[#This Row],[Peso bruto]],VLOOKUP(Tabela1[[#This Row],[Pedido]],'Saldo a Produzir'!$A:$D,4,0)),"")</f>
        <v>14280.94</v>
      </c>
      <c r="AM135" s="73">
        <v>34017.864999999998</v>
      </c>
    </row>
    <row r="136" spans="1:39" ht="14.5" x14ac:dyDescent="0.35">
      <c r="A136" s="81">
        <v>15910</v>
      </c>
      <c r="B136" s="81" t="s">
        <v>261</v>
      </c>
      <c r="C136" s="81">
        <v>1438784006995</v>
      </c>
      <c r="D136" s="81" t="s">
        <v>327</v>
      </c>
      <c r="E136" s="81" t="s">
        <v>184</v>
      </c>
      <c r="F136" s="81" t="s">
        <v>44</v>
      </c>
      <c r="G136" s="81">
        <v>25061</v>
      </c>
      <c r="H136" s="81" t="s">
        <v>328</v>
      </c>
      <c r="I136" s="81" t="s">
        <v>32</v>
      </c>
      <c r="J136" s="81" t="s">
        <v>156</v>
      </c>
      <c r="K136" s="81" t="s">
        <v>34</v>
      </c>
      <c r="L136" s="81" t="s">
        <v>415</v>
      </c>
      <c r="M136" s="81"/>
      <c r="N136" s="90">
        <v>44461</v>
      </c>
      <c r="O136" s="90">
        <v>44727</v>
      </c>
      <c r="P136" s="90">
        <v>44593</v>
      </c>
      <c r="Q136" s="90">
        <v>44707</v>
      </c>
      <c r="R136" s="81">
        <v>6905</v>
      </c>
      <c r="S136" s="90">
        <v>44712</v>
      </c>
      <c r="T136" s="81">
        <v>6994</v>
      </c>
      <c r="U136" s="81" t="s">
        <v>36</v>
      </c>
      <c r="V136" s="90" t="s">
        <v>35</v>
      </c>
      <c r="W136" s="81" t="s">
        <v>483</v>
      </c>
      <c r="X136" s="90">
        <v>44594</v>
      </c>
      <c r="Y136" s="81" t="s">
        <v>38</v>
      </c>
      <c r="Z136" s="81">
        <v>0</v>
      </c>
      <c r="AA136" s="81"/>
      <c r="AB136" s="81">
        <v>0</v>
      </c>
      <c r="AC136" s="81"/>
      <c r="AD136" s="81">
        <v>0</v>
      </c>
      <c r="AE136" s="81" t="s">
        <v>153</v>
      </c>
      <c r="AF136" s="81" t="s">
        <v>39</v>
      </c>
      <c r="AG136" s="83">
        <v>42572.61</v>
      </c>
      <c r="AH136" s="95">
        <v>2258819.9700000002</v>
      </c>
      <c r="AI136" s="82" t="str">
        <f>CONCATENATE((TEXT(Tabela1[[#This Row],[Data entrega]],"mmmm")),"_",(YEAR(Tabela1[[#This Row],[Data entrega]])))</f>
        <v>junho_2022</v>
      </c>
      <c r="AJ136" s="77">
        <f>IFERROR(IF(Tabela1[[#This Row],[Programa]]="",Tabela1[[#This Row],[Peso bruto]],VLOOKUP(Tabela1[[#This Row],[Pedido]],'Saldo a Produzir'!$A:$D,4,0)),"")</f>
        <v>42376.98</v>
      </c>
      <c r="AM136" s="73">
        <v>110524.067</v>
      </c>
    </row>
    <row r="137" spans="1:39" ht="14.5" x14ac:dyDescent="0.35">
      <c r="A137" s="81">
        <v>15910</v>
      </c>
      <c r="B137" s="81" t="s">
        <v>261</v>
      </c>
      <c r="C137" s="81">
        <v>1438784006995</v>
      </c>
      <c r="D137" s="81" t="s">
        <v>327</v>
      </c>
      <c r="E137" s="81" t="s">
        <v>184</v>
      </c>
      <c r="F137" s="81" t="s">
        <v>44</v>
      </c>
      <c r="G137" s="81">
        <v>25062</v>
      </c>
      <c r="H137" s="81" t="s">
        <v>328</v>
      </c>
      <c r="I137" s="81" t="s">
        <v>32</v>
      </c>
      <c r="J137" s="81" t="s">
        <v>156</v>
      </c>
      <c r="K137" s="81" t="s">
        <v>34</v>
      </c>
      <c r="L137" s="81" t="s">
        <v>415</v>
      </c>
      <c r="M137" s="81"/>
      <c r="N137" s="90">
        <v>44461</v>
      </c>
      <c r="O137" s="90">
        <v>44727</v>
      </c>
      <c r="P137" s="90">
        <v>44593</v>
      </c>
      <c r="Q137" s="90">
        <v>44707</v>
      </c>
      <c r="R137" s="81">
        <v>6903</v>
      </c>
      <c r="S137" s="90">
        <v>44709</v>
      </c>
      <c r="T137" s="81">
        <v>6943</v>
      </c>
      <c r="U137" s="81" t="s">
        <v>36</v>
      </c>
      <c r="V137" s="90" t="s">
        <v>35</v>
      </c>
      <c r="W137" s="81" t="s">
        <v>484</v>
      </c>
      <c r="X137" s="90">
        <v>44594</v>
      </c>
      <c r="Y137" s="81" t="s">
        <v>38</v>
      </c>
      <c r="Z137" s="81">
        <v>0</v>
      </c>
      <c r="AA137" s="81"/>
      <c r="AB137" s="81">
        <v>0</v>
      </c>
      <c r="AC137" s="81"/>
      <c r="AD137" s="81">
        <v>0</v>
      </c>
      <c r="AE137" s="81" t="s">
        <v>153</v>
      </c>
      <c r="AF137" s="81" t="s">
        <v>39</v>
      </c>
      <c r="AG137" s="83">
        <v>95073.43</v>
      </c>
      <c r="AH137" s="95">
        <v>2386938.33</v>
      </c>
      <c r="AI137" s="82" t="str">
        <f>CONCATENATE((TEXT(Tabela1[[#This Row],[Data entrega]],"mmmm")),"_",(YEAR(Tabela1[[#This Row],[Data entrega]])))</f>
        <v>junho_2022</v>
      </c>
      <c r="AJ137" s="77">
        <f>IFERROR(IF(Tabela1[[#This Row],[Programa]]="",Tabela1[[#This Row],[Peso bruto]],VLOOKUP(Tabela1[[#This Row],[Pedido]],'Saldo a Produzir'!$A:$D,4,0)),"")</f>
        <v>90690.82</v>
      </c>
      <c r="AM137" s="73">
        <v>109067.81200000001</v>
      </c>
    </row>
    <row r="138" spans="1:39" ht="14.5" x14ac:dyDescent="0.35">
      <c r="A138" s="81">
        <v>15908</v>
      </c>
      <c r="B138" s="81" t="s">
        <v>230</v>
      </c>
      <c r="C138" s="81">
        <v>577604000448</v>
      </c>
      <c r="D138" s="81" t="s">
        <v>222</v>
      </c>
      <c r="E138" s="81" t="s">
        <v>121</v>
      </c>
      <c r="F138" s="81" t="s">
        <v>42</v>
      </c>
      <c r="G138" s="81">
        <v>26265</v>
      </c>
      <c r="H138" s="81" t="s">
        <v>87</v>
      </c>
      <c r="I138" s="81" t="s">
        <v>976</v>
      </c>
      <c r="J138" s="81" t="s">
        <v>33</v>
      </c>
      <c r="K138" s="81" t="s">
        <v>978</v>
      </c>
      <c r="L138" s="81"/>
      <c r="M138" s="81"/>
      <c r="N138" s="90">
        <v>44711</v>
      </c>
      <c r="O138" s="90">
        <v>44727</v>
      </c>
      <c r="P138" s="90">
        <v>44714</v>
      </c>
      <c r="Q138" s="90" t="s">
        <v>35</v>
      </c>
      <c r="R138" s="81">
        <v>0</v>
      </c>
      <c r="S138" s="90" t="s">
        <v>35</v>
      </c>
      <c r="T138" s="81">
        <v>0</v>
      </c>
      <c r="U138" s="81" t="s">
        <v>36</v>
      </c>
      <c r="V138" s="90" t="s">
        <v>35</v>
      </c>
      <c r="W138" s="81" t="s">
        <v>1230</v>
      </c>
      <c r="X138" s="90">
        <v>44714</v>
      </c>
      <c r="Y138" s="81" t="s">
        <v>38</v>
      </c>
      <c r="Z138" s="81">
        <v>0</v>
      </c>
      <c r="AA138" s="81"/>
      <c r="AB138" s="81">
        <v>0</v>
      </c>
      <c r="AC138" s="81"/>
      <c r="AD138" s="81">
        <v>0</v>
      </c>
      <c r="AE138" s="81" t="s">
        <v>153</v>
      </c>
      <c r="AF138" s="81" t="s">
        <v>39</v>
      </c>
      <c r="AG138" s="83">
        <v>0</v>
      </c>
      <c r="AH138" s="95">
        <v>350</v>
      </c>
      <c r="AI138" s="82" t="str">
        <f>CONCATENATE((TEXT(Tabela1[[#This Row],[Data entrega]],"mmmm")),"_",(YEAR(Tabela1[[#This Row],[Data entrega]])))</f>
        <v>junho_2022</v>
      </c>
      <c r="AJ138" s="77">
        <f>IFERROR(IF(Tabela1[[#This Row],[Programa]]="",Tabela1[[#This Row],[Peso bruto]],VLOOKUP(Tabela1[[#This Row],[Pedido]],'Saldo a Produzir'!$A:$D,4,0)),"")</f>
        <v>0</v>
      </c>
      <c r="AM138" s="73">
        <v>45.225999999999999</v>
      </c>
    </row>
    <row r="139" spans="1:39" ht="14.5" x14ac:dyDescent="0.35">
      <c r="A139" s="81">
        <v>15052</v>
      </c>
      <c r="B139" s="81" t="s">
        <v>43</v>
      </c>
      <c r="C139" s="81">
        <v>18631739002968</v>
      </c>
      <c r="D139" s="81" t="s">
        <v>1425</v>
      </c>
      <c r="E139" s="81" t="s">
        <v>1426</v>
      </c>
      <c r="F139" s="81" t="s">
        <v>44</v>
      </c>
      <c r="G139" s="81">
        <v>26312</v>
      </c>
      <c r="H139" s="81" t="s">
        <v>109</v>
      </c>
      <c r="I139" s="81" t="s">
        <v>32</v>
      </c>
      <c r="J139" s="81" t="s">
        <v>33</v>
      </c>
      <c r="K139" s="81" t="s">
        <v>34</v>
      </c>
      <c r="L139" s="81" t="s">
        <v>1427</v>
      </c>
      <c r="M139" s="81"/>
      <c r="N139" s="90">
        <v>44715</v>
      </c>
      <c r="O139" s="90">
        <v>44727</v>
      </c>
      <c r="P139" s="90">
        <v>44715</v>
      </c>
      <c r="Q139" s="90" t="s">
        <v>35</v>
      </c>
      <c r="R139" s="81">
        <v>0</v>
      </c>
      <c r="S139" s="90" t="s">
        <v>35</v>
      </c>
      <c r="T139" s="81">
        <v>0</v>
      </c>
      <c r="U139" s="81" t="s">
        <v>36</v>
      </c>
      <c r="V139" s="90" t="s">
        <v>35</v>
      </c>
      <c r="W139" s="81"/>
      <c r="X139" s="90" t="s">
        <v>37</v>
      </c>
      <c r="Y139" s="81" t="s">
        <v>38</v>
      </c>
      <c r="Z139" s="81">
        <v>879</v>
      </c>
      <c r="AA139" s="81" t="s">
        <v>45</v>
      </c>
      <c r="AB139" s="81">
        <v>0</v>
      </c>
      <c r="AC139" s="81"/>
      <c r="AD139" s="81">
        <v>0</v>
      </c>
      <c r="AE139" s="81"/>
      <c r="AF139" s="81" t="s">
        <v>39</v>
      </c>
      <c r="AG139" s="83">
        <v>0</v>
      </c>
      <c r="AH139" s="95">
        <v>13346</v>
      </c>
      <c r="AI139" s="82" t="str">
        <f>CONCATENATE((TEXT(Tabela1[[#This Row],[Data entrega]],"mmmm")),"_",(YEAR(Tabela1[[#This Row],[Data entrega]])))</f>
        <v>junho_2022</v>
      </c>
      <c r="AJ139" s="77">
        <f>IFERROR(IF(Tabela1[[#This Row],[Programa]]="",Tabela1[[#This Row],[Peso bruto]],VLOOKUP(Tabela1[[#This Row],[Pedido]],'Saldo a Produzir'!$A:$D,4,0)),"")</f>
        <v>0</v>
      </c>
      <c r="AM139" s="73">
        <v>0</v>
      </c>
    </row>
    <row r="140" spans="1:39" ht="14.5" x14ac:dyDescent="0.35">
      <c r="A140" s="81">
        <v>15059</v>
      </c>
      <c r="B140" s="81" t="s">
        <v>63</v>
      </c>
      <c r="C140" s="81">
        <v>7175725001484</v>
      </c>
      <c r="D140" s="81" t="s">
        <v>199</v>
      </c>
      <c r="E140" s="81" t="s">
        <v>143</v>
      </c>
      <c r="F140" s="81" t="s">
        <v>64</v>
      </c>
      <c r="G140" s="81">
        <v>25522</v>
      </c>
      <c r="H140" s="81" t="s">
        <v>92</v>
      </c>
      <c r="I140" s="81" t="s">
        <v>32</v>
      </c>
      <c r="J140" s="81" t="s">
        <v>33</v>
      </c>
      <c r="K140" s="81" t="s">
        <v>34</v>
      </c>
      <c r="L140" s="81" t="s">
        <v>531</v>
      </c>
      <c r="M140" s="81">
        <v>4512525877</v>
      </c>
      <c r="N140" s="90">
        <v>44616</v>
      </c>
      <c r="O140" s="90">
        <v>44727</v>
      </c>
      <c r="P140" s="90">
        <v>44616</v>
      </c>
      <c r="Q140" s="90" t="s">
        <v>35</v>
      </c>
      <c r="R140" s="81">
        <v>0</v>
      </c>
      <c r="S140" s="90" t="s">
        <v>35</v>
      </c>
      <c r="T140" s="81">
        <v>0</v>
      </c>
      <c r="U140" s="81" t="s">
        <v>36</v>
      </c>
      <c r="V140" s="90" t="s">
        <v>35</v>
      </c>
      <c r="W140" s="81" t="s">
        <v>554</v>
      </c>
      <c r="X140" s="90">
        <v>44628</v>
      </c>
      <c r="Y140" s="81" t="s">
        <v>38</v>
      </c>
      <c r="Z140" s="81">
        <v>2000</v>
      </c>
      <c r="AA140" s="81" t="s">
        <v>154</v>
      </c>
      <c r="AB140" s="81">
        <v>0</v>
      </c>
      <c r="AC140" s="81"/>
      <c r="AD140" s="81">
        <v>0</v>
      </c>
      <c r="AE140" s="81" t="s">
        <v>153</v>
      </c>
      <c r="AF140" s="81" t="s">
        <v>39</v>
      </c>
      <c r="AG140" s="83">
        <v>15.77</v>
      </c>
      <c r="AH140" s="95">
        <v>2053.64</v>
      </c>
      <c r="AI140" s="82" t="str">
        <f>CONCATENATE((TEXT(Tabela1[[#This Row],[Data entrega]],"mmmm")),"_",(YEAR(Tabela1[[#This Row],[Data entrega]])))</f>
        <v>junho_2022</v>
      </c>
      <c r="AJ140" s="77" t="str">
        <f>IFERROR(IF(Tabela1[[#This Row],[Programa]]="",Tabela1[[#This Row],[Peso bruto]],VLOOKUP(Tabela1[[#This Row],[Pedido]],'Saldo a Produzir'!$A:$D,4,0)),"")</f>
        <v/>
      </c>
      <c r="AM140" s="73">
        <v>64.962999999999994</v>
      </c>
    </row>
    <row r="141" spans="1:39" ht="14.5" x14ac:dyDescent="0.35">
      <c r="A141" s="81">
        <v>15079</v>
      </c>
      <c r="B141" s="81" t="s">
        <v>552</v>
      </c>
      <c r="C141" s="81">
        <v>22902554000117</v>
      </c>
      <c r="D141" s="81" t="s">
        <v>669</v>
      </c>
      <c r="E141" s="81" t="s">
        <v>670</v>
      </c>
      <c r="F141" s="81" t="s">
        <v>56</v>
      </c>
      <c r="G141" s="81">
        <v>25794</v>
      </c>
      <c r="H141" s="81" t="s">
        <v>92</v>
      </c>
      <c r="I141" s="81" t="s">
        <v>32</v>
      </c>
      <c r="J141" s="81" t="s">
        <v>33</v>
      </c>
      <c r="K141" s="81" t="s">
        <v>34</v>
      </c>
      <c r="L141" s="81" t="s">
        <v>671</v>
      </c>
      <c r="M141" s="81" t="s">
        <v>672</v>
      </c>
      <c r="N141" s="90">
        <v>44651</v>
      </c>
      <c r="O141" s="90">
        <v>44728</v>
      </c>
      <c r="P141" s="90">
        <v>44656</v>
      </c>
      <c r="Q141" s="90" t="s">
        <v>35</v>
      </c>
      <c r="R141" s="81">
        <v>0</v>
      </c>
      <c r="S141" s="90" t="s">
        <v>35</v>
      </c>
      <c r="T141" s="81">
        <v>0</v>
      </c>
      <c r="U141" s="81" t="s">
        <v>36</v>
      </c>
      <c r="V141" s="90" t="s">
        <v>35</v>
      </c>
      <c r="W141" s="81" t="s">
        <v>734</v>
      </c>
      <c r="X141" s="90">
        <v>44658</v>
      </c>
      <c r="Y141" s="81" t="s">
        <v>38</v>
      </c>
      <c r="Z141" s="81">
        <v>44</v>
      </c>
      <c r="AA141" s="81" t="s">
        <v>151</v>
      </c>
      <c r="AB141" s="81">
        <v>0</v>
      </c>
      <c r="AC141" s="81"/>
      <c r="AD141" s="81">
        <v>0</v>
      </c>
      <c r="AE141" s="81"/>
      <c r="AF141" s="81" t="s">
        <v>39</v>
      </c>
      <c r="AG141" s="83">
        <v>2380.81</v>
      </c>
      <c r="AH141" s="95">
        <v>104091.38</v>
      </c>
      <c r="AI141" s="82" t="str">
        <f>CONCATENATE((TEXT(Tabela1[[#This Row],[Data entrega]],"mmmm")),"_",(YEAR(Tabela1[[#This Row],[Data entrega]])))</f>
        <v>junho_2022</v>
      </c>
      <c r="AJ141" s="77">
        <f>IFERROR(IF(Tabela1[[#This Row],[Programa]]="",Tabela1[[#This Row],[Peso bruto]],VLOOKUP(Tabela1[[#This Row],[Pedido]],'Saldo a Produzir'!$A:$D,4,0)),"")</f>
        <v>2380.81</v>
      </c>
      <c r="AM141" s="73">
        <v>4608.098</v>
      </c>
    </row>
    <row r="142" spans="1:39" ht="14.5" x14ac:dyDescent="0.35">
      <c r="A142" s="81">
        <v>15908</v>
      </c>
      <c r="B142" s="81" t="s">
        <v>230</v>
      </c>
      <c r="C142" s="81">
        <v>6147451000132</v>
      </c>
      <c r="D142" s="81" t="s">
        <v>209</v>
      </c>
      <c r="E142" s="81" t="s">
        <v>78</v>
      </c>
      <c r="F142" s="81" t="s">
        <v>42</v>
      </c>
      <c r="G142" s="81">
        <v>26319</v>
      </c>
      <c r="H142" s="81" t="s">
        <v>1428</v>
      </c>
      <c r="I142" s="81" t="s">
        <v>976</v>
      </c>
      <c r="J142" s="81" t="s">
        <v>33</v>
      </c>
      <c r="K142" s="81" t="s">
        <v>980</v>
      </c>
      <c r="L142" s="81"/>
      <c r="M142" s="81"/>
      <c r="N142" s="90">
        <v>44719</v>
      </c>
      <c r="O142" s="90">
        <v>44729</v>
      </c>
      <c r="P142" s="90">
        <v>44721</v>
      </c>
      <c r="Q142" s="90" t="s">
        <v>35</v>
      </c>
      <c r="R142" s="81">
        <v>0</v>
      </c>
      <c r="S142" s="90" t="s">
        <v>35</v>
      </c>
      <c r="T142" s="81">
        <v>0</v>
      </c>
      <c r="U142" s="81" t="s">
        <v>36</v>
      </c>
      <c r="V142" s="90" t="s">
        <v>35</v>
      </c>
      <c r="W142" s="81" t="s">
        <v>1429</v>
      </c>
      <c r="X142" s="90">
        <v>44721</v>
      </c>
      <c r="Y142" s="81" t="s">
        <v>38</v>
      </c>
      <c r="Z142" s="81">
        <v>0</v>
      </c>
      <c r="AA142" s="81"/>
      <c r="AB142" s="81">
        <v>0</v>
      </c>
      <c r="AC142" s="81"/>
      <c r="AD142" s="81">
        <v>0</v>
      </c>
      <c r="AE142" s="81" t="s">
        <v>153</v>
      </c>
      <c r="AF142" s="81" t="s">
        <v>39</v>
      </c>
      <c r="AG142" s="83" t="s">
        <v>1475</v>
      </c>
      <c r="AH142" s="95">
        <v>11853.1</v>
      </c>
      <c r="AI142" s="82" t="str">
        <f>CONCATENATE((TEXT(Tabela1[[#This Row],[Data entrega]],"mmmm")),"_",(YEAR(Tabela1[[#This Row],[Data entrega]])))</f>
        <v>junho_2022</v>
      </c>
      <c r="AJ142" s="77">
        <f>IFERROR(IF(Tabela1[[#This Row],[Programa]]="",Tabela1[[#This Row],[Peso bruto]],VLOOKUP(Tabela1[[#This Row],[Pedido]],'Saldo a Produzir'!$A:$D,4,0)),"")</f>
        <v>0</v>
      </c>
      <c r="AM142" s="73">
        <v>1634.941</v>
      </c>
    </row>
    <row r="143" spans="1:39" ht="14.5" x14ac:dyDescent="0.35">
      <c r="A143" s="81">
        <v>15063</v>
      </c>
      <c r="B143" s="81" t="s">
        <v>71</v>
      </c>
      <c r="C143" s="81">
        <v>27942085003956</v>
      </c>
      <c r="D143" s="81" t="s">
        <v>504</v>
      </c>
      <c r="E143" s="81" t="s">
        <v>505</v>
      </c>
      <c r="F143" s="81" t="s">
        <v>54</v>
      </c>
      <c r="G143" s="81">
        <v>25458</v>
      </c>
      <c r="H143" s="81" t="s">
        <v>87</v>
      </c>
      <c r="I143" s="81" t="s">
        <v>32</v>
      </c>
      <c r="J143" s="81" t="s">
        <v>33</v>
      </c>
      <c r="K143" s="81" t="s">
        <v>34</v>
      </c>
      <c r="L143" s="81" t="s">
        <v>506</v>
      </c>
      <c r="M143" s="81"/>
      <c r="N143" s="90">
        <v>44606</v>
      </c>
      <c r="O143" s="90">
        <v>44729</v>
      </c>
      <c r="P143" s="90">
        <v>44628</v>
      </c>
      <c r="Q143" s="90" t="s">
        <v>35</v>
      </c>
      <c r="R143" s="81">
        <v>0</v>
      </c>
      <c r="S143" s="90" t="s">
        <v>35</v>
      </c>
      <c r="T143" s="81">
        <v>0</v>
      </c>
      <c r="U143" s="81" t="s">
        <v>36</v>
      </c>
      <c r="V143" s="90" t="s">
        <v>35</v>
      </c>
      <c r="W143" s="81" t="s">
        <v>551</v>
      </c>
      <c r="X143" s="90">
        <v>44629</v>
      </c>
      <c r="Y143" s="81" t="s">
        <v>38</v>
      </c>
      <c r="Z143" s="81">
        <v>0</v>
      </c>
      <c r="AA143" s="81"/>
      <c r="AB143" s="81">
        <v>0</v>
      </c>
      <c r="AC143" s="81"/>
      <c r="AD143" s="81">
        <v>0</v>
      </c>
      <c r="AE143" s="81" t="s">
        <v>153</v>
      </c>
      <c r="AF143" s="81" t="s">
        <v>39</v>
      </c>
      <c r="AG143" s="83">
        <v>846.52</v>
      </c>
      <c r="AH143" s="95">
        <v>62250</v>
      </c>
      <c r="AI143" s="82" t="str">
        <f>CONCATENATE((TEXT(Tabela1[[#This Row],[Data entrega]],"mmmm")),"_",(YEAR(Tabela1[[#This Row],[Data entrega]])))</f>
        <v>junho_2022</v>
      </c>
      <c r="AJ143" s="77">
        <f>IFERROR(IF(Tabela1[[#This Row],[Programa]]="",Tabela1[[#This Row],[Peso bruto]],VLOOKUP(Tabela1[[#This Row],[Pedido]],'Saldo a Produzir'!$A:$D,4,0)),"")</f>
        <v>17.28</v>
      </c>
      <c r="AM143" s="73">
        <v>3352.982</v>
      </c>
    </row>
    <row r="144" spans="1:39" ht="14.5" x14ac:dyDescent="0.35">
      <c r="A144" s="81">
        <v>15000</v>
      </c>
      <c r="B144" s="81" t="s">
        <v>234</v>
      </c>
      <c r="C144" s="81">
        <v>87556650001410</v>
      </c>
      <c r="D144" s="81" t="s">
        <v>975</v>
      </c>
      <c r="E144" s="81" t="s">
        <v>77</v>
      </c>
      <c r="F144" s="81" t="s">
        <v>58</v>
      </c>
      <c r="G144" s="81">
        <v>26316</v>
      </c>
      <c r="H144" s="81"/>
      <c r="I144" s="81" t="s">
        <v>976</v>
      </c>
      <c r="J144" s="81" t="s">
        <v>33</v>
      </c>
      <c r="K144" s="81" t="s">
        <v>34</v>
      </c>
      <c r="L144" s="81"/>
      <c r="M144" s="81"/>
      <c r="N144" s="90">
        <v>44715</v>
      </c>
      <c r="O144" s="90">
        <v>44729</v>
      </c>
      <c r="P144" s="90">
        <v>44715</v>
      </c>
      <c r="Q144" s="90" t="s">
        <v>35</v>
      </c>
      <c r="R144" s="81">
        <v>0</v>
      </c>
      <c r="S144" s="90" t="s">
        <v>35</v>
      </c>
      <c r="T144" s="81">
        <v>0</v>
      </c>
      <c r="U144" s="81" t="s">
        <v>36</v>
      </c>
      <c r="V144" s="90" t="s">
        <v>35</v>
      </c>
      <c r="W144" s="81" t="s">
        <v>1430</v>
      </c>
      <c r="X144" s="90">
        <v>44718</v>
      </c>
      <c r="Y144" s="81" t="s">
        <v>38</v>
      </c>
      <c r="Z144" s="81">
        <v>0</v>
      </c>
      <c r="AA144" s="81"/>
      <c r="AB144" s="81">
        <v>0</v>
      </c>
      <c r="AC144" s="81"/>
      <c r="AD144" s="81">
        <v>0</v>
      </c>
      <c r="AE144" s="81" t="s">
        <v>232</v>
      </c>
      <c r="AF144" s="81" t="s">
        <v>39</v>
      </c>
      <c r="AG144" s="83">
        <v>0</v>
      </c>
      <c r="AH144" s="95">
        <v>1.03</v>
      </c>
      <c r="AI144" s="82" t="str">
        <f>CONCATENATE((TEXT(Tabela1[[#This Row],[Data entrega]],"mmmm")),"_",(YEAR(Tabela1[[#This Row],[Data entrega]])))</f>
        <v>junho_2022</v>
      </c>
      <c r="AJ144" s="77">
        <f>IFERROR(IF(Tabela1[[#This Row],[Programa]]="",Tabela1[[#This Row],[Peso bruto]],VLOOKUP(Tabela1[[#This Row],[Pedido]],'Saldo a Produzir'!$A:$D,4,0)),"")</f>
        <v>0</v>
      </c>
      <c r="AM144" s="73">
        <v>122.874</v>
      </c>
    </row>
    <row r="145" spans="1:39" ht="14.5" x14ac:dyDescent="0.35">
      <c r="A145" s="81">
        <v>15062</v>
      </c>
      <c r="B145" s="81" t="s">
        <v>50</v>
      </c>
      <c r="C145" s="81">
        <v>2385669000174</v>
      </c>
      <c r="D145" s="81" t="s">
        <v>679</v>
      </c>
      <c r="E145" s="81" t="s">
        <v>73</v>
      </c>
      <c r="F145" s="81" t="s">
        <v>51</v>
      </c>
      <c r="G145" s="81">
        <v>25806</v>
      </c>
      <c r="H145" s="81" t="s">
        <v>92</v>
      </c>
      <c r="I145" s="81" t="s">
        <v>32</v>
      </c>
      <c r="J145" s="81" t="s">
        <v>33</v>
      </c>
      <c r="K145" s="81" t="s">
        <v>34</v>
      </c>
      <c r="L145" s="81" t="s">
        <v>850</v>
      </c>
      <c r="M145" s="81">
        <v>4500313614</v>
      </c>
      <c r="N145" s="90">
        <v>44651</v>
      </c>
      <c r="O145" s="90">
        <v>44729</v>
      </c>
      <c r="P145" s="90">
        <v>44687</v>
      </c>
      <c r="Q145" s="90" t="s">
        <v>35</v>
      </c>
      <c r="R145" s="81">
        <v>0</v>
      </c>
      <c r="S145" s="90" t="s">
        <v>35</v>
      </c>
      <c r="T145" s="81">
        <v>0</v>
      </c>
      <c r="U145" s="81" t="s">
        <v>36</v>
      </c>
      <c r="V145" s="90" t="s">
        <v>35</v>
      </c>
      <c r="W145" s="81" t="s">
        <v>873</v>
      </c>
      <c r="X145" s="90">
        <v>44687</v>
      </c>
      <c r="Y145" s="81" t="s">
        <v>38</v>
      </c>
      <c r="Z145" s="81">
        <v>44</v>
      </c>
      <c r="AA145" s="81" t="s">
        <v>151</v>
      </c>
      <c r="AB145" s="81">
        <v>0</v>
      </c>
      <c r="AC145" s="81"/>
      <c r="AD145" s="81">
        <v>0</v>
      </c>
      <c r="AE145" s="81"/>
      <c r="AF145" s="81" t="s">
        <v>39</v>
      </c>
      <c r="AG145" s="83">
        <v>2224.5299999999997</v>
      </c>
      <c r="AH145" s="95">
        <v>122491.81</v>
      </c>
      <c r="AI145" s="82" t="str">
        <f>CONCATENATE((TEXT(Tabela1[[#This Row],[Data entrega]],"mmmm")),"_",(YEAR(Tabela1[[#This Row],[Data entrega]])))</f>
        <v>junho_2022</v>
      </c>
      <c r="AJ145" s="77">
        <f>IFERROR(IF(Tabela1[[#This Row],[Programa]]="",Tabela1[[#This Row],[Peso bruto]],VLOOKUP(Tabela1[[#This Row],[Pedido]],'Saldo a Produzir'!$A:$D,4,0)),"")</f>
        <v>2184.31</v>
      </c>
      <c r="AM145" s="73">
        <v>5224.3149999999996</v>
      </c>
    </row>
    <row r="146" spans="1:39" ht="14.5" x14ac:dyDescent="0.35">
      <c r="A146" s="81">
        <v>15051</v>
      </c>
      <c r="B146" s="81" t="s">
        <v>40</v>
      </c>
      <c r="C146" s="81">
        <v>76204130000108</v>
      </c>
      <c r="D146" s="81" t="s">
        <v>507</v>
      </c>
      <c r="E146" s="81" t="s">
        <v>104</v>
      </c>
      <c r="F146" s="81" t="s">
        <v>42</v>
      </c>
      <c r="G146" s="81">
        <v>25456</v>
      </c>
      <c r="H146" s="81" t="s">
        <v>87</v>
      </c>
      <c r="I146" s="81" t="s">
        <v>32</v>
      </c>
      <c r="J146" s="81" t="s">
        <v>33</v>
      </c>
      <c r="K146" s="81" t="s">
        <v>34</v>
      </c>
      <c r="L146" s="81" t="s">
        <v>508</v>
      </c>
      <c r="M146" s="81">
        <v>5000204287</v>
      </c>
      <c r="N146" s="90">
        <v>44606</v>
      </c>
      <c r="O146" s="90">
        <v>44729</v>
      </c>
      <c r="P146" s="90">
        <v>44617</v>
      </c>
      <c r="Q146" s="90" t="s">
        <v>35</v>
      </c>
      <c r="R146" s="81">
        <v>0</v>
      </c>
      <c r="S146" s="90" t="s">
        <v>35</v>
      </c>
      <c r="T146" s="81">
        <v>0</v>
      </c>
      <c r="U146" s="81" t="s">
        <v>36</v>
      </c>
      <c r="V146" s="90" t="s">
        <v>35</v>
      </c>
      <c r="W146" s="81" t="s">
        <v>535</v>
      </c>
      <c r="X146" s="90">
        <v>44621</v>
      </c>
      <c r="Y146" s="81" t="s">
        <v>38</v>
      </c>
      <c r="Z146" s="81">
        <v>2000</v>
      </c>
      <c r="AA146" s="81" t="s">
        <v>154</v>
      </c>
      <c r="AB146" s="81">
        <v>0</v>
      </c>
      <c r="AC146" s="81"/>
      <c r="AD146" s="81">
        <v>0</v>
      </c>
      <c r="AE146" s="81" t="s">
        <v>153</v>
      </c>
      <c r="AF146" s="81" t="s">
        <v>39</v>
      </c>
      <c r="AG146" s="83" t="s">
        <v>1475</v>
      </c>
      <c r="AH146" s="95">
        <v>46462.5</v>
      </c>
      <c r="AI146" s="82" t="str">
        <f>CONCATENATE((TEXT(Tabela1[[#This Row],[Data entrega]],"mmmm")),"_",(YEAR(Tabela1[[#This Row],[Data entrega]])))</f>
        <v>junho_2022</v>
      </c>
      <c r="AJ146" s="77" t="str">
        <f>IFERROR(IF(Tabela1[[#This Row],[Programa]]="",Tabela1[[#This Row],[Peso bruto]],VLOOKUP(Tabela1[[#This Row],[Pedido]],'Saldo a Produzir'!$A:$D,4,0)),"")</f>
        <v/>
      </c>
      <c r="AM146" s="73">
        <v>1635.6780000000001</v>
      </c>
    </row>
    <row r="147" spans="1:39" ht="14.5" x14ac:dyDescent="0.35">
      <c r="A147" s="81">
        <v>15059</v>
      </c>
      <c r="B147" s="81" t="s">
        <v>63</v>
      </c>
      <c r="C147" s="81">
        <v>18252904000170</v>
      </c>
      <c r="D147" s="81" t="s">
        <v>571</v>
      </c>
      <c r="E147" s="81" t="s">
        <v>572</v>
      </c>
      <c r="F147" s="81" t="s">
        <v>64</v>
      </c>
      <c r="G147" s="81">
        <v>25645</v>
      </c>
      <c r="H147" s="81" t="s">
        <v>88</v>
      </c>
      <c r="I147" s="81" t="s">
        <v>32</v>
      </c>
      <c r="J147" s="81" t="s">
        <v>33</v>
      </c>
      <c r="K147" s="81" t="s">
        <v>34</v>
      </c>
      <c r="L147" s="81" t="s">
        <v>573</v>
      </c>
      <c r="M147" s="81"/>
      <c r="N147" s="90">
        <v>44636</v>
      </c>
      <c r="O147" s="90">
        <v>44729</v>
      </c>
      <c r="P147" s="90">
        <v>44637</v>
      </c>
      <c r="Q147" s="90" t="s">
        <v>35</v>
      </c>
      <c r="R147" s="81">
        <v>0</v>
      </c>
      <c r="S147" s="90" t="s">
        <v>35</v>
      </c>
      <c r="T147" s="81">
        <v>0</v>
      </c>
      <c r="U147" s="81" t="s">
        <v>36</v>
      </c>
      <c r="V147" s="90" t="s">
        <v>35</v>
      </c>
      <c r="W147" s="81" t="s">
        <v>630</v>
      </c>
      <c r="X147" s="90">
        <v>44649</v>
      </c>
      <c r="Y147" s="81" t="s">
        <v>38</v>
      </c>
      <c r="Z147" s="81">
        <v>0</v>
      </c>
      <c r="AA147" s="81"/>
      <c r="AB147" s="81">
        <v>0</v>
      </c>
      <c r="AC147" s="81"/>
      <c r="AD147" s="81">
        <v>0</v>
      </c>
      <c r="AE147" s="81" t="s">
        <v>153</v>
      </c>
      <c r="AF147" s="81" t="s">
        <v>39</v>
      </c>
      <c r="AG147" s="83">
        <v>4108.95</v>
      </c>
      <c r="AH147" s="95">
        <v>157017.44</v>
      </c>
      <c r="AI147" s="82" t="str">
        <f>CONCATENATE((TEXT(Tabela1[[#This Row],[Data entrega]],"mmmm")),"_",(YEAR(Tabela1[[#This Row],[Data entrega]])))</f>
        <v>junho_2022</v>
      </c>
      <c r="AJ147" s="77" t="str">
        <f>IFERROR(IF(Tabela1[[#This Row],[Programa]]="",Tabela1[[#This Row],[Peso bruto]],VLOOKUP(Tabela1[[#This Row],[Pedido]],'Saldo a Produzir'!$A:$D,4,0)),"")</f>
        <v/>
      </c>
      <c r="AM147" s="73">
        <v>7972.7370000000001</v>
      </c>
    </row>
    <row r="148" spans="1:39" ht="14.5" x14ac:dyDescent="0.35">
      <c r="A148" s="81">
        <v>15057</v>
      </c>
      <c r="B148" s="81" t="s">
        <v>60</v>
      </c>
      <c r="C148" s="81">
        <v>92702158000121</v>
      </c>
      <c r="D148" s="81" t="s">
        <v>536</v>
      </c>
      <c r="E148" s="81" t="s">
        <v>537</v>
      </c>
      <c r="F148" s="81" t="s">
        <v>58</v>
      </c>
      <c r="G148" s="81">
        <v>25547</v>
      </c>
      <c r="H148" s="81" t="s">
        <v>87</v>
      </c>
      <c r="I148" s="81" t="s">
        <v>32</v>
      </c>
      <c r="J148" s="81" t="s">
        <v>33</v>
      </c>
      <c r="K148" s="81" t="s">
        <v>34</v>
      </c>
      <c r="L148" s="81" t="s">
        <v>538</v>
      </c>
      <c r="M148" s="81"/>
      <c r="N148" s="90">
        <v>44620</v>
      </c>
      <c r="O148" s="90">
        <v>44729</v>
      </c>
      <c r="P148" s="90">
        <v>44623</v>
      </c>
      <c r="Q148" s="90" t="s">
        <v>35</v>
      </c>
      <c r="R148" s="81">
        <v>0</v>
      </c>
      <c r="S148" s="90" t="s">
        <v>35</v>
      </c>
      <c r="T148" s="81">
        <v>0</v>
      </c>
      <c r="U148" s="81" t="s">
        <v>36</v>
      </c>
      <c r="V148" s="90" t="s">
        <v>35</v>
      </c>
      <c r="W148" s="81" t="s">
        <v>554</v>
      </c>
      <c r="X148" s="90">
        <v>44628</v>
      </c>
      <c r="Y148" s="81" t="s">
        <v>38</v>
      </c>
      <c r="Z148" s="81">
        <v>2235</v>
      </c>
      <c r="AA148" s="81" t="s">
        <v>144</v>
      </c>
      <c r="AB148" s="81">
        <v>0</v>
      </c>
      <c r="AC148" s="81"/>
      <c r="AD148" s="81">
        <v>0</v>
      </c>
      <c r="AE148" s="81" t="s">
        <v>153</v>
      </c>
      <c r="AF148" s="81" t="s">
        <v>39</v>
      </c>
      <c r="AG148" s="83">
        <v>1974.1</v>
      </c>
      <c r="AH148" s="95">
        <v>91624.05</v>
      </c>
      <c r="AI148" s="82" t="str">
        <f>CONCATENATE((TEXT(Tabela1[[#This Row],[Data entrega]],"mmmm")),"_",(YEAR(Tabela1[[#This Row],[Data entrega]])))</f>
        <v>junho_2022</v>
      </c>
      <c r="AJ148" s="77">
        <f>IFERROR(IF(Tabela1[[#This Row],[Programa]]="",Tabela1[[#This Row],[Peso bruto]],VLOOKUP(Tabela1[[#This Row],[Pedido]],'Saldo a Produzir'!$A:$D,4,0)),"")</f>
        <v>454.16</v>
      </c>
      <c r="AM148" s="73">
        <v>4725.5479999999998</v>
      </c>
    </row>
    <row r="149" spans="1:39" ht="14.5" x14ac:dyDescent="0.35">
      <c r="A149" s="81">
        <v>15081</v>
      </c>
      <c r="B149" s="81" t="s">
        <v>699</v>
      </c>
      <c r="C149" s="81">
        <v>3623218000271</v>
      </c>
      <c r="D149" s="81" t="s">
        <v>851</v>
      </c>
      <c r="E149" s="81" t="s">
        <v>852</v>
      </c>
      <c r="F149" s="81" t="s">
        <v>142</v>
      </c>
      <c r="G149" s="81">
        <v>26018</v>
      </c>
      <c r="H149" s="81" t="s">
        <v>88</v>
      </c>
      <c r="I149" s="81" t="s">
        <v>32</v>
      </c>
      <c r="J149" s="81" t="s">
        <v>33</v>
      </c>
      <c r="K149" s="81" t="s">
        <v>34</v>
      </c>
      <c r="L149" s="81" t="s">
        <v>853</v>
      </c>
      <c r="M149" s="81"/>
      <c r="N149" s="90">
        <v>44680</v>
      </c>
      <c r="O149" s="90">
        <v>44729</v>
      </c>
      <c r="P149" s="90">
        <v>44714</v>
      </c>
      <c r="Q149" s="90" t="s">
        <v>35</v>
      </c>
      <c r="R149" s="81">
        <v>0</v>
      </c>
      <c r="S149" s="90" t="s">
        <v>35</v>
      </c>
      <c r="T149" s="81">
        <v>0</v>
      </c>
      <c r="U149" s="81" t="s">
        <v>36</v>
      </c>
      <c r="V149" s="90" t="s">
        <v>35</v>
      </c>
      <c r="W149" s="81" t="s">
        <v>874</v>
      </c>
      <c r="X149" s="90">
        <v>44686</v>
      </c>
      <c r="Y149" s="81" t="s">
        <v>38</v>
      </c>
      <c r="Z149" s="81">
        <v>0</v>
      </c>
      <c r="AA149" s="81"/>
      <c r="AB149" s="81">
        <v>0</v>
      </c>
      <c r="AC149" s="81"/>
      <c r="AD149" s="81">
        <v>0</v>
      </c>
      <c r="AE149" s="81"/>
      <c r="AF149" s="81" t="s">
        <v>62</v>
      </c>
      <c r="AG149" s="83">
        <v>17879.89</v>
      </c>
      <c r="AH149" s="95">
        <v>400610</v>
      </c>
      <c r="AI149" s="82" t="str">
        <f>CONCATENATE((TEXT(Tabela1[[#This Row],[Data entrega]],"mmmm")),"_",(YEAR(Tabela1[[#This Row],[Data entrega]])))</f>
        <v>junho_2022</v>
      </c>
      <c r="AJ149" s="77">
        <f>IFERROR(IF(Tabela1[[#This Row],[Programa]]="",Tabela1[[#This Row],[Peso bruto]],VLOOKUP(Tabela1[[#This Row],[Pedido]],'Saldo a Produzir'!$A:$D,4,0)),"")</f>
        <v>10414.59</v>
      </c>
      <c r="AM149" s="73">
        <v>22142.14</v>
      </c>
    </row>
    <row r="150" spans="1:39" ht="14.5" x14ac:dyDescent="0.35">
      <c r="A150" s="81">
        <v>15070</v>
      </c>
      <c r="B150" s="81" t="s">
        <v>140</v>
      </c>
      <c r="C150" s="81">
        <v>76795418000102</v>
      </c>
      <c r="D150" s="81" t="s">
        <v>1431</v>
      </c>
      <c r="E150" s="81" t="s">
        <v>1432</v>
      </c>
      <c r="F150" s="81" t="s">
        <v>42</v>
      </c>
      <c r="G150" s="81">
        <v>26340</v>
      </c>
      <c r="H150" s="81" t="s">
        <v>88</v>
      </c>
      <c r="I150" s="81" t="s">
        <v>976</v>
      </c>
      <c r="J150" s="81" t="s">
        <v>33</v>
      </c>
      <c r="K150" s="81" t="s">
        <v>981</v>
      </c>
      <c r="L150" s="81"/>
      <c r="M150" s="81"/>
      <c r="N150" s="90">
        <v>44721</v>
      </c>
      <c r="O150" s="90">
        <v>44729</v>
      </c>
      <c r="P150" s="90">
        <v>44721</v>
      </c>
      <c r="Q150" s="90" t="s">
        <v>35</v>
      </c>
      <c r="R150" s="81">
        <v>0</v>
      </c>
      <c r="S150" s="90" t="s">
        <v>35</v>
      </c>
      <c r="T150" s="81">
        <v>0</v>
      </c>
      <c r="U150" s="81" t="s">
        <v>36</v>
      </c>
      <c r="V150" s="90" t="s">
        <v>35</v>
      </c>
      <c r="W150" s="81"/>
      <c r="X150" s="90" t="s">
        <v>37</v>
      </c>
      <c r="Y150" s="81" t="s">
        <v>38</v>
      </c>
      <c r="Z150" s="81">
        <v>0</v>
      </c>
      <c r="AA150" s="81"/>
      <c r="AB150" s="81">
        <v>0</v>
      </c>
      <c r="AC150" s="81"/>
      <c r="AD150" s="81">
        <v>0</v>
      </c>
      <c r="AE150" s="81" t="s">
        <v>153</v>
      </c>
      <c r="AF150" s="81" t="s">
        <v>39</v>
      </c>
      <c r="AG150" s="83">
        <v>15</v>
      </c>
      <c r="AH150" s="95">
        <v>108.41</v>
      </c>
      <c r="AI150" s="82" t="str">
        <f>CONCATENATE((TEXT(Tabela1[[#This Row],[Data entrega]],"mmmm")),"_",(YEAR(Tabela1[[#This Row],[Data entrega]])))</f>
        <v>junho_2022</v>
      </c>
      <c r="AJ150" s="77">
        <f>IFERROR(IF(Tabela1[[#This Row],[Programa]]="",Tabela1[[#This Row],[Peso bruto]],VLOOKUP(Tabela1[[#This Row],[Pedido]],'Saldo a Produzir'!$A:$D,4,0)),"")</f>
        <v>15</v>
      </c>
      <c r="AM150" s="73">
        <v>15</v>
      </c>
    </row>
    <row r="151" spans="1:39" ht="14.5" x14ac:dyDescent="0.35">
      <c r="A151" s="81">
        <v>15910</v>
      </c>
      <c r="B151" s="81" t="s">
        <v>261</v>
      </c>
      <c r="C151" s="81">
        <v>8969770000159</v>
      </c>
      <c r="D151" s="81" t="s">
        <v>1194</v>
      </c>
      <c r="E151" s="81" t="s">
        <v>73</v>
      </c>
      <c r="F151" s="81" t="s">
        <v>51</v>
      </c>
      <c r="G151" s="81">
        <v>26286</v>
      </c>
      <c r="H151" s="81" t="s">
        <v>87</v>
      </c>
      <c r="I151" s="81" t="s">
        <v>32</v>
      </c>
      <c r="J151" s="81" t="s">
        <v>33</v>
      </c>
      <c r="K151" s="81" t="s">
        <v>34</v>
      </c>
      <c r="L151" s="81" t="s">
        <v>1195</v>
      </c>
      <c r="M151" s="81"/>
      <c r="N151" s="90">
        <v>44712</v>
      </c>
      <c r="O151" s="90">
        <v>44729</v>
      </c>
      <c r="P151" s="90">
        <v>44721</v>
      </c>
      <c r="Q151" s="90" t="s">
        <v>35</v>
      </c>
      <c r="R151" s="81">
        <v>0</v>
      </c>
      <c r="S151" s="90" t="s">
        <v>35</v>
      </c>
      <c r="T151" s="81">
        <v>0</v>
      </c>
      <c r="U151" s="81" t="s">
        <v>36</v>
      </c>
      <c r="V151" s="90" t="s">
        <v>35</v>
      </c>
      <c r="W151" s="81" t="s">
        <v>1433</v>
      </c>
      <c r="X151" s="90">
        <v>44719</v>
      </c>
      <c r="Y151" s="81" t="s">
        <v>38</v>
      </c>
      <c r="Z151" s="81">
        <v>2257</v>
      </c>
      <c r="AA151" s="81" t="s">
        <v>155</v>
      </c>
      <c r="AB151" s="81">
        <v>0</v>
      </c>
      <c r="AC151" s="81"/>
      <c r="AD151" s="81">
        <v>0</v>
      </c>
      <c r="AE151" s="81"/>
      <c r="AF151" s="81" t="s">
        <v>39</v>
      </c>
      <c r="AG151" s="83">
        <v>0</v>
      </c>
      <c r="AH151" s="95">
        <v>17469.900000000001</v>
      </c>
      <c r="AI151" s="82" t="str">
        <f>CONCATENATE((TEXT(Tabela1[[#This Row],[Data entrega]],"mmmm")),"_",(YEAR(Tabela1[[#This Row],[Data entrega]])))</f>
        <v>junho_2022</v>
      </c>
      <c r="AJ151" s="77" t="str">
        <f>IFERROR(IF(Tabela1[[#This Row],[Programa]]="",Tabela1[[#This Row],[Peso bruto]],VLOOKUP(Tabela1[[#This Row],[Pedido]],'Saldo a Produzir'!$A:$D,4,0)),"")</f>
        <v/>
      </c>
      <c r="AM151" s="73">
        <v>129.5</v>
      </c>
    </row>
    <row r="152" spans="1:39" ht="14.5" x14ac:dyDescent="0.35">
      <c r="A152" s="81">
        <v>15063</v>
      </c>
      <c r="B152" s="81" t="s">
        <v>71</v>
      </c>
      <c r="C152" s="81">
        <v>8237002006060</v>
      </c>
      <c r="D152" s="81" t="s">
        <v>814</v>
      </c>
      <c r="E152" s="81" t="s">
        <v>173</v>
      </c>
      <c r="F152" s="81" t="s">
        <v>54</v>
      </c>
      <c r="G152" s="81">
        <v>26016</v>
      </c>
      <c r="H152" s="81" t="s">
        <v>87</v>
      </c>
      <c r="I152" s="81" t="s">
        <v>32</v>
      </c>
      <c r="J152" s="81" t="s">
        <v>33</v>
      </c>
      <c r="K152" s="81" t="s">
        <v>34</v>
      </c>
      <c r="L152" s="81" t="s">
        <v>815</v>
      </c>
      <c r="M152" s="81">
        <v>2513058</v>
      </c>
      <c r="N152" s="90">
        <v>44679</v>
      </c>
      <c r="O152" s="90">
        <v>44729</v>
      </c>
      <c r="P152" s="90">
        <v>44679</v>
      </c>
      <c r="Q152" s="90" t="s">
        <v>35</v>
      </c>
      <c r="R152" s="81">
        <v>0</v>
      </c>
      <c r="S152" s="90" t="s">
        <v>35</v>
      </c>
      <c r="T152" s="81">
        <v>0</v>
      </c>
      <c r="U152" s="81" t="s">
        <v>36</v>
      </c>
      <c r="V152" s="90" t="s">
        <v>35</v>
      </c>
      <c r="W152" s="81" t="s">
        <v>875</v>
      </c>
      <c r="X152" s="90">
        <v>44684</v>
      </c>
      <c r="Y152" s="81" t="s">
        <v>38</v>
      </c>
      <c r="Z152" s="81">
        <v>44</v>
      </c>
      <c r="AA152" s="81" t="s">
        <v>151</v>
      </c>
      <c r="AB152" s="81">
        <v>0</v>
      </c>
      <c r="AC152" s="81"/>
      <c r="AD152" s="81">
        <v>0</v>
      </c>
      <c r="AE152" s="81" t="s">
        <v>153</v>
      </c>
      <c r="AF152" s="81" t="s">
        <v>39</v>
      </c>
      <c r="AG152" s="83">
        <v>36822.43</v>
      </c>
      <c r="AH152" s="95">
        <v>639117.5</v>
      </c>
      <c r="AI152" s="82" t="str">
        <f>CONCATENATE((TEXT(Tabela1[[#This Row],[Data entrega]],"mmmm")),"_",(YEAR(Tabela1[[#This Row],[Data entrega]])))</f>
        <v>junho_2022</v>
      </c>
      <c r="AJ152" s="77" t="str">
        <f>IFERROR(IF(Tabela1[[#This Row],[Programa]]="",Tabela1[[#This Row],[Peso bruto]],VLOOKUP(Tabela1[[#This Row],[Pedido]],'Saldo a Produzir'!$A:$D,4,0)),"")</f>
        <v/>
      </c>
      <c r="AM152" s="73">
        <v>38461.839999999997</v>
      </c>
    </row>
    <row r="153" spans="1:39" ht="14.5" x14ac:dyDescent="0.35">
      <c r="A153" s="81">
        <v>15063</v>
      </c>
      <c r="B153" s="81" t="s">
        <v>71</v>
      </c>
      <c r="C153" s="81">
        <v>8237002002901</v>
      </c>
      <c r="D153" s="81" t="s">
        <v>814</v>
      </c>
      <c r="E153" s="81" t="s">
        <v>171</v>
      </c>
      <c r="F153" s="81" t="s">
        <v>64</v>
      </c>
      <c r="G153" s="81">
        <v>26024</v>
      </c>
      <c r="H153" s="81" t="s">
        <v>87</v>
      </c>
      <c r="I153" s="81" t="s">
        <v>32</v>
      </c>
      <c r="J153" s="81" t="s">
        <v>33</v>
      </c>
      <c r="K153" s="81" t="s">
        <v>34</v>
      </c>
      <c r="L153" s="81" t="s">
        <v>854</v>
      </c>
      <c r="M153" s="81">
        <v>2523062</v>
      </c>
      <c r="N153" s="90">
        <v>44680</v>
      </c>
      <c r="O153" s="90">
        <v>44729</v>
      </c>
      <c r="P153" s="90">
        <v>44680</v>
      </c>
      <c r="Q153" s="90" t="s">
        <v>35</v>
      </c>
      <c r="R153" s="81">
        <v>0</v>
      </c>
      <c r="S153" s="90" t="s">
        <v>35</v>
      </c>
      <c r="T153" s="81">
        <v>0</v>
      </c>
      <c r="U153" s="81" t="s">
        <v>36</v>
      </c>
      <c r="V153" s="90" t="s">
        <v>35</v>
      </c>
      <c r="W153" s="81" t="s">
        <v>874</v>
      </c>
      <c r="X153" s="90">
        <v>44686</v>
      </c>
      <c r="Y153" s="81" t="s">
        <v>38</v>
      </c>
      <c r="Z153" s="81">
        <v>44</v>
      </c>
      <c r="AA153" s="81" t="s">
        <v>151</v>
      </c>
      <c r="AB153" s="81">
        <v>0</v>
      </c>
      <c r="AC153" s="81"/>
      <c r="AD153" s="81">
        <v>0</v>
      </c>
      <c r="AE153" s="81"/>
      <c r="AF153" s="81" t="s">
        <v>39</v>
      </c>
      <c r="AG153" s="83">
        <v>2486.9699999999998</v>
      </c>
      <c r="AH153" s="95">
        <v>70277.08</v>
      </c>
      <c r="AI153" s="82" t="str">
        <f>CONCATENATE((TEXT(Tabela1[[#This Row],[Data entrega]],"mmmm")),"_",(YEAR(Tabela1[[#This Row],[Data entrega]])))</f>
        <v>junho_2022</v>
      </c>
      <c r="AJ153" s="77" t="str">
        <f>IFERROR(IF(Tabela1[[#This Row],[Programa]]="",Tabela1[[#This Row],[Peso bruto]],VLOOKUP(Tabela1[[#This Row],[Pedido]],'Saldo a Produzir'!$A:$D,4,0)),"")</f>
        <v/>
      </c>
      <c r="AM153" s="73">
        <v>3762.7550000000001</v>
      </c>
    </row>
    <row r="154" spans="1:39" ht="14.5" x14ac:dyDescent="0.35">
      <c r="A154" s="81">
        <v>15057</v>
      </c>
      <c r="B154" s="81" t="s">
        <v>60</v>
      </c>
      <c r="C154" s="81">
        <v>79687588000153</v>
      </c>
      <c r="D154" s="81" t="s">
        <v>390</v>
      </c>
      <c r="E154" s="81" t="s">
        <v>391</v>
      </c>
      <c r="F154" s="81" t="s">
        <v>64</v>
      </c>
      <c r="G154" s="81">
        <v>24949</v>
      </c>
      <c r="H154" s="81" t="s">
        <v>92</v>
      </c>
      <c r="I154" s="81" t="s">
        <v>32</v>
      </c>
      <c r="J154" s="81" t="s">
        <v>156</v>
      </c>
      <c r="K154" s="81" t="s">
        <v>34</v>
      </c>
      <c r="L154" s="81" t="s">
        <v>392</v>
      </c>
      <c r="M154" s="81">
        <v>4500171674</v>
      </c>
      <c r="N154" s="90">
        <v>44519</v>
      </c>
      <c r="O154" s="90">
        <v>44729</v>
      </c>
      <c r="P154" s="90">
        <v>44708</v>
      </c>
      <c r="Q154" s="90">
        <v>44708</v>
      </c>
      <c r="R154" s="81">
        <v>6913</v>
      </c>
      <c r="S154" s="90">
        <v>44708</v>
      </c>
      <c r="T154" s="81">
        <v>6917</v>
      </c>
      <c r="U154" s="81" t="s">
        <v>36</v>
      </c>
      <c r="V154" s="90" t="s">
        <v>35</v>
      </c>
      <c r="W154" s="81" t="s">
        <v>501</v>
      </c>
      <c r="X154" s="90">
        <v>44603</v>
      </c>
      <c r="Y154" s="81" t="s">
        <v>38</v>
      </c>
      <c r="Z154" s="81">
        <v>0</v>
      </c>
      <c r="AA154" s="81"/>
      <c r="AB154" s="81">
        <v>0</v>
      </c>
      <c r="AC154" s="81"/>
      <c r="AD154" s="81">
        <v>0</v>
      </c>
      <c r="AE154" s="81" t="s">
        <v>153</v>
      </c>
      <c r="AF154" s="81" t="s">
        <v>39</v>
      </c>
      <c r="AG154" s="83">
        <v>1020.64</v>
      </c>
      <c r="AH154" s="95">
        <v>119134.62</v>
      </c>
      <c r="AI154" s="82" t="str">
        <f>CONCATENATE((TEXT(Tabela1[[#This Row],[Data entrega]],"mmmm")),"_",(YEAR(Tabela1[[#This Row],[Data entrega]])))</f>
        <v>junho_2022</v>
      </c>
      <c r="AJ154" s="77" t="str">
        <f>IFERROR(IF(Tabela1[[#This Row],[Programa]]="",Tabela1[[#This Row],[Peso bruto]],VLOOKUP(Tabela1[[#This Row],[Pedido]],'Saldo a Produzir'!$A:$D,4,0)),"")</f>
        <v/>
      </c>
      <c r="AM154" s="73">
        <v>6612.6729999999998</v>
      </c>
    </row>
    <row r="155" spans="1:39" ht="14.5" x14ac:dyDescent="0.35">
      <c r="A155" s="81">
        <v>15909</v>
      </c>
      <c r="B155" s="81" t="s">
        <v>223</v>
      </c>
      <c r="C155" s="81">
        <v>92754738047983</v>
      </c>
      <c r="D155" s="81" t="s">
        <v>80</v>
      </c>
      <c r="E155" s="81" t="s">
        <v>177</v>
      </c>
      <c r="F155" s="81" t="s">
        <v>44</v>
      </c>
      <c r="G155" s="81">
        <v>26264</v>
      </c>
      <c r="H155" s="81"/>
      <c r="I155" s="81" t="s">
        <v>976</v>
      </c>
      <c r="J155" s="81" t="s">
        <v>156</v>
      </c>
      <c r="K155" s="81" t="s">
        <v>1176</v>
      </c>
      <c r="L155" s="81"/>
      <c r="M155" s="81"/>
      <c r="N155" s="90">
        <v>44711</v>
      </c>
      <c r="O155" s="90">
        <v>44732</v>
      </c>
      <c r="P155" s="90">
        <v>44715</v>
      </c>
      <c r="Q155" s="90">
        <v>44715</v>
      </c>
      <c r="R155" s="81">
        <v>7048</v>
      </c>
      <c r="S155" s="90">
        <v>44715</v>
      </c>
      <c r="T155" s="81">
        <v>7048</v>
      </c>
      <c r="U155" s="81" t="s">
        <v>36</v>
      </c>
      <c r="V155" s="90" t="s">
        <v>35</v>
      </c>
      <c r="W155" s="81"/>
      <c r="X155" s="90" t="s">
        <v>37</v>
      </c>
      <c r="Y155" s="81" t="s">
        <v>38</v>
      </c>
      <c r="Z155" s="81">
        <v>0</v>
      </c>
      <c r="AA155" s="81"/>
      <c r="AB155" s="81">
        <v>0</v>
      </c>
      <c r="AC155" s="81"/>
      <c r="AD155" s="81">
        <v>0</v>
      </c>
      <c r="AE155" s="81" t="s">
        <v>153</v>
      </c>
      <c r="AF155" s="81" t="s">
        <v>39</v>
      </c>
      <c r="AG155" s="83">
        <v>0</v>
      </c>
      <c r="AH155" s="95">
        <v>159750</v>
      </c>
      <c r="AI155" s="82" t="str">
        <f>CONCATENATE((TEXT(Tabela1[[#This Row],[Data entrega]],"mmmm")),"_",(YEAR(Tabela1[[#This Row],[Data entrega]])))</f>
        <v>junho_2022</v>
      </c>
      <c r="AJ155" s="77">
        <f>IFERROR(IF(Tabela1[[#This Row],[Programa]]="",Tabela1[[#This Row],[Peso bruto]],VLOOKUP(Tabela1[[#This Row],[Pedido]],'Saldo a Produzir'!$A:$D,4,0)),"")</f>
        <v>0</v>
      </c>
      <c r="AM155" s="73">
        <v>0</v>
      </c>
    </row>
    <row r="156" spans="1:39" ht="14.5" x14ac:dyDescent="0.35">
      <c r="A156" s="81">
        <v>15020</v>
      </c>
      <c r="B156" s="81" t="s">
        <v>46</v>
      </c>
      <c r="C156" s="81">
        <v>0</v>
      </c>
      <c r="D156" s="81" t="s">
        <v>995</v>
      </c>
      <c r="E156" s="81" t="s">
        <v>187</v>
      </c>
      <c r="F156" s="81" t="s">
        <v>49</v>
      </c>
      <c r="G156" s="81">
        <v>25887</v>
      </c>
      <c r="H156" s="81" t="s">
        <v>88</v>
      </c>
      <c r="I156" s="81" t="s">
        <v>976</v>
      </c>
      <c r="J156" s="81" t="s">
        <v>33</v>
      </c>
      <c r="K156" s="81" t="s">
        <v>981</v>
      </c>
      <c r="L156" s="81"/>
      <c r="M156" s="81"/>
      <c r="N156" s="90">
        <v>44662</v>
      </c>
      <c r="O156" s="90">
        <v>44733</v>
      </c>
      <c r="P156" s="90">
        <v>44665</v>
      </c>
      <c r="Q156" s="90" t="s">
        <v>35</v>
      </c>
      <c r="R156" s="81">
        <v>0</v>
      </c>
      <c r="S156" s="90" t="s">
        <v>35</v>
      </c>
      <c r="T156" s="81">
        <v>0</v>
      </c>
      <c r="U156" s="81" t="s">
        <v>36</v>
      </c>
      <c r="V156" s="90" t="s">
        <v>35</v>
      </c>
      <c r="W156" s="81" t="s">
        <v>996</v>
      </c>
      <c r="X156" s="90">
        <v>44680</v>
      </c>
      <c r="Y156" s="81" t="s">
        <v>38</v>
      </c>
      <c r="Z156" s="81">
        <v>0</v>
      </c>
      <c r="AA156" s="81"/>
      <c r="AB156" s="81">
        <v>0</v>
      </c>
      <c r="AC156" s="81"/>
      <c r="AD156" s="81">
        <v>0</v>
      </c>
      <c r="AE156" s="81"/>
      <c r="AF156" s="81" t="s">
        <v>39</v>
      </c>
      <c r="AG156" s="83">
        <v>649.20000000000005</v>
      </c>
      <c r="AH156" s="95">
        <v>6269.36</v>
      </c>
      <c r="AI156" s="82" t="str">
        <f>CONCATENATE((TEXT(Tabela1[[#This Row],[Data entrega]],"mmmm")),"_",(YEAR(Tabela1[[#This Row],[Data entrega]])))</f>
        <v>junho_2022</v>
      </c>
      <c r="AJ156" s="77">
        <f>IFERROR(IF(Tabela1[[#This Row],[Programa]]="",Tabela1[[#This Row],[Peso bruto]],VLOOKUP(Tabela1[[#This Row],[Pedido]],'Saldo a Produzir'!$A:$D,4,0)),"")</f>
        <v>649.20000000000005</v>
      </c>
      <c r="AM156" s="73">
        <v>890.26300000000003</v>
      </c>
    </row>
    <row r="157" spans="1:39" ht="14.5" x14ac:dyDescent="0.35">
      <c r="A157" s="81">
        <v>15907</v>
      </c>
      <c r="B157" s="81" t="s">
        <v>272</v>
      </c>
      <c r="C157" s="81">
        <v>8380701000105</v>
      </c>
      <c r="D157" s="81" t="s">
        <v>273</v>
      </c>
      <c r="E157" s="81" t="s">
        <v>180</v>
      </c>
      <c r="F157" s="81" t="s">
        <v>181</v>
      </c>
      <c r="G157" s="81">
        <v>26332</v>
      </c>
      <c r="H157" s="81" t="s">
        <v>92</v>
      </c>
      <c r="I157" s="81" t="s">
        <v>976</v>
      </c>
      <c r="J157" s="81" t="s">
        <v>33</v>
      </c>
      <c r="K157" s="81" t="s">
        <v>1434</v>
      </c>
      <c r="L157" s="81"/>
      <c r="M157" s="81"/>
      <c r="N157" s="90">
        <v>44720</v>
      </c>
      <c r="O157" s="90">
        <v>44734</v>
      </c>
      <c r="P157" s="90">
        <v>44721</v>
      </c>
      <c r="Q157" s="90" t="s">
        <v>35</v>
      </c>
      <c r="R157" s="81">
        <v>0</v>
      </c>
      <c r="S157" s="90" t="s">
        <v>35</v>
      </c>
      <c r="T157" s="81">
        <v>0</v>
      </c>
      <c r="U157" s="81" t="s">
        <v>36</v>
      </c>
      <c r="V157" s="90" t="s">
        <v>35</v>
      </c>
      <c r="W157" s="81" t="s">
        <v>1429</v>
      </c>
      <c r="X157" s="90">
        <v>44721</v>
      </c>
      <c r="Y157" s="81" t="s">
        <v>38</v>
      </c>
      <c r="Z157" s="81">
        <v>0</v>
      </c>
      <c r="AA157" s="81"/>
      <c r="AB157" s="81">
        <v>0</v>
      </c>
      <c r="AC157" s="81"/>
      <c r="AD157" s="81">
        <v>0</v>
      </c>
      <c r="AE157" s="81" t="s">
        <v>153</v>
      </c>
      <c r="AF157" s="81" t="s">
        <v>39</v>
      </c>
      <c r="AG157" s="83" t="s">
        <v>1475</v>
      </c>
      <c r="AH157" s="95">
        <v>10458.4</v>
      </c>
      <c r="AI157" s="82" t="str">
        <f>CONCATENATE((TEXT(Tabela1[[#This Row],[Data entrega]],"mmmm")),"_",(YEAR(Tabela1[[#This Row],[Data entrega]])))</f>
        <v>junho_2022</v>
      </c>
      <c r="AJ157" s="77">
        <f>IFERROR(IF(Tabela1[[#This Row],[Programa]]="",Tabela1[[#This Row],[Peso bruto]],VLOOKUP(Tabela1[[#This Row],[Pedido]],'Saldo a Produzir'!$A:$D,4,0)),"")</f>
        <v>0</v>
      </c>
      <c r="AM157" s="73">
        <v>2149.123</v>
      </c>
    </row>
    <row r="158" spans="1:39" ht="14.5" x14ac:dyDescent="0.35">
      <c r="A158" s="81">
        <v>15066</v>
      </c>
      <c r="B158" s="81" t="s">
        <v>72</v>
      </c>
      <c r="C158" s="81">
        <v>64858525003756</v>
      </c>
      <c r="D158" s="81" t="s">
        <v>281</v>
      </c>
      <c r="E158" s="81" t="s">
        <v>733</v>
      </c>
      <c r="F158" s="81" t="s">
        <v>44</v>
      </c>
      <c r="G158" s="81">
        <v>26031</v>
      </c>
      <c r="H158" s="81" t="s">
        <v>1005</v>
      </c>
      <c r="I158" s="81" t="s">
        <v>976</v>
      </c>
      <c r="J158" s="81" t="s">
        <v>33</v>
      </c>
      <c r="K158" s="81" t="s">
        <v>986</v>
      </c>
      <c r="L158" s="81"/>
      <c r="M158" s="81">
        <v>6500480179</v>
      </c>
      <c r="N158" s="90">
        <v>44680</v>
      </c>
      <c r="O158" s="90">
        <v>44735</v>
      </c>
      <c r="P158" s="90">
        <v>44683</v>
      </c>
      <c r="Q158" s="90" t="s">
        <v>35</v>
      </c>
      <c r="R158" s="81">
        <v>0</v>
      </c>
      <c r="S158" s="90" t="s">
        <v>35</v>
      </c>
      <c r="T158" s="81">
        <v>0</v>
      </c>
      <c r="U158" s="81" t="s">
        <v>36</v>
      </c>
      <c r="V158" s="90" t="s">
        <v>35</v>
      </c>
      <c r="W158" s="81" t="s">
        <v>1006</v>
      </c>
      <c r="X158" s="90">
        <v>44683</v>
      </c>
      <c r="Y158" s="81" t="s">
        <v>38</v>
      </c>
      <c r="Z158" s="81">
        <v>0</v>
      </c>
      <c r="AA158" s="81"/>
      <c r="AB158" s="81">
        <v>0</v>
      </c>
      <c r="AC158" s="81"/>
      <c r="AD158" s="81">
        <v>0</v>
      </c>
      <c r="AE158" s="81" t="s">
        <v>153</v>
      </c>
      <c r="AF158" s="81" t="s">
        <v>39</v>
      </c>
      <c r="AG158" s="83">
        <v>10678.97</v>
      </c>
      <c r="AH158" s="95">
        <v>80442.080000000002</v>
      </c>
      <c r="AI158" s="82" t="str">
        <f>CONCATENATE((TEXT(Tabela1[[#This Row],[Data entrega]],"mmmm")),"_",(YEAR(Tabela1[[#This Row],[Data entrega]])))</f>
        <v>junho_2022</v>
      </c>
      <c r="AJ158" s="77">
        <f>IFERROR(IF(Tabela1[[#This Row],[Programa]]="",Tabela1[[#This Row],[Peso bruto]],VLOOKUP(Tabela1[[#This Row],[Pedido]],'Saldo a Produzir'!$A:$D,4,0)),"")</f>
        <v>9953.92</v>
      </c>
      <c r="AM158" s="73">
        <v>10766.687</v>
      </c>
    </row>
    <row r="159" spans="1:39" ht="14.5" x14ac:dyDescent="0.35">
      <c r="A159" s="81">
        <v>15055</v>
      </c>
      <c r="B159" s="81" t="s">
        <v>61</v>
      </c>
      <c r="C159" s="81">
        <v>12423997000171</v>
      </c>
      <c r="D159" s="81" t="s">
        <v>594</v>
      </c>
      <c r="E159" s="81" t="s">
        <v>595</v>
      </c>
      <c r="F159" s="81" t="s">
        <v>596</v>
      </c>
      <c r="G159" s="81">
        <v>25690</v>
      </c>
      <c r="H159" s="81" t="s">
        <v>87</v>
      </c>
      <c r="I159" s="81" t="s">
        <v>32</v>
      </c>
      <c r="J159" s="81" t="s">
        <v>33</v>
      </c>
      <c r="K159" s="81" t="s">
        <v>34</v>
      </c>
      <c r="L159" s="81" t="s">
        <v>597</v>
      </c>
      <c r="M159" s="81"/>
      <c r="N159" s="90">
        <v>44642</v>
      </c>
      <c r="O159" s="90">
        <v>44735</v>
      </c>
      <c r="P159" s="90">
        <v>44642</v>
      </c>
      <c r="Q159" s="90" t="s">
        <v>35</v>
      </c>
      <c r="R159" s="81">
        <v>0</v>
      </c>
      <c r="S159" s="90" t="s">
        <v>35</v>
      </c>
      <c r="T159" s="81">
        <v>0</v>
      </c>
      <c r="U159" s="81" t="s">
        <v>36</v>
      </c>
      <c r="V159" s="90" t="s">
        <v>35</v>
      </c>
      <c r="W159" s="81" t="s">
        <v>630</v>
      </c>
      <c r="X159" s="90">
        <v>44649</v>
      </c>
      <c r="Y159" s="81" t="s">
        <v>38</v>
      </c>
      <c r="Z159" s="81">
        <v>2163</v>
      </c>
      <c r="AA159" s="81" t="s">
        <v>598</v>
      </c>
      <c r="AB159" s="81">
        <v>0</v>
      </c>
      <c r="AC159" s="81"/>
      <c r="AD159" s="81">
        <v>0</v>
      </c>
      <c r="AE159" s="81" t="s">
        <v>153</v>
      </c>
      <c r="AF159" s="81" t="s">
        <v>39</v>
      </c>
      <c r="AG159" s="83">
        <v>5841.4699999999993</v>
      </c>
      <c r="AH159" s="95">
        <v>270225.90000000002</v>
      </c>
      <c r="AI159" s="82" t="str">
        <f>CONCATENATE((TEXT(Tabela1[[#This Row],[Data entrega]],"mmmm")),"_",(YEAR(Tabela1[[#This Row],[Data entrega]])))</f>
        <v>junho_2022</v>
      </c>
      <c r="AJ159" s="77">
        <f>IFERROR(IF(Tabela1[[#This Row],[Programa]]="",Tabela1[[#This Row],[Peso bruto]],VLOOKUP(Tabela1[[#This Row],[Pedido]],'Saldo a Produzir'!$A:$D,4,0)),"")</f>
        <v>0</v>
      </c>
      <c r="AM159" s="73">
        <v>15757.29</v>
      </c>
    </row>
    <row r="160" spans="1:39" ht="14.5" x14ac:dyDescent="0.35">
      <c r="A160" s="81">
        <v>15000</v>
      </c>
      <c r="B160" s="81" t="s">
        <v>234</v>
      </c>
      <c r="C160" s="81">
        <v>87556650001500</v>
      </c>
      <c r="D160" s="81" t="s">
        <v>975</v>
      </c>
      <c r="E160" s="81" t="s">
        <v>233</v>
      </c>
      <c r="F160" s="81" t="s">
        <v>54</v>
      </c>
      <c r="G160" s="81">
        <v>26344</v>
      </c>
      <c r="H160" s="81"/>
      <c r="I160" s="81" t="s">
        <v>989</v>
      </c>
      <c r="J160" s="81" t="s">
        <v>33</v>
      </c>
      <c r="K160" s="81" t="s">
        <v>34</v>
      </c>
      <c r="L160" s="81" t="s">
        <v>1435</v>
      </c>
      <c r="M160" s="81"/>
      <c r="N160" s="90">
        <v>44721</v>
      </c>
      <c r="O160" s="90">
        <v>44736</v>
      </c>
      <c r="P160" s="90">
        <v>44721</v>
      </c>
      <c r="Q160" s="90" t="s">
        <v>35</v>
      </c>
      <c r="R160" s="81">
        <v>0</v>
      </c>
      <c r="S160" s="90" t="s">
        <v>35</v>
      </c>
      <c r="T160" s="81">
        <v>0</v>
      </c>
      <c r="U160" s="81" t="s">
        <v>36</v>
      </c>
      <c r="V160" s="90" t="s">
        <v>35</v>
      </c>
      <c r="W160" s="81"/>
      <c r="X160" s="90" t="s">
        <v>37</v>
      </c>
      <c r="Y160" s="81" t="s">
        <v>38</v>
      </c>
      <c r="Z160" s="81">
        <v>0</v>
      </c>
      <c r="AA160" s="81"/>
      <c r="AB160" s="81">
        <v>0</v>
      </c>
      <c r="AC160" s="81"/>
      <c r="AD160" s="81">
        <v>0</v>
      </c>
      <c r="AE160" s="81" t="s">
        <v>153</v>
      </c>
      <c r="AF160" s="81" t="s">
        <v>39</v>
      </c>
      <c r="AG160" s="83">
        <v>7693</v>
      </c>
      <c r="AH160" s="95">
        <v>112542.5</v>
      </c>
      <c r="AI160" s="82" t="str">
        <f>CONCATENATE((TEXT(Tabela1[[#This Row],[Data entrega]],"mmmm")),"_",(YEAR(Tabela1[[#This Row],[Data entrega]])))</f>
        <v>junho_2022</v>
      </c>
      <c r="AJ160" s="77">
        <f>IFERROR(IF(Tabela1[[#This Row],[Programa]]="",Tabela1[[#This Row],[Peso bruto]],VLOOKUP(Tabela1[[#This Row],[Pedido]],'Saldo a Produzir'!$A:$D,4,0)),"")</f>
        <v>7693</v>
      </c>
      <c r="AM160" s="73">
        <v>7693</v>
      </c>
    </row>
    <row r="161" spans="1:39" ht="14.5" x14ac:dyDescent="0.35">
      <c r="A161" s="81">
        <v>15908</v>
      </c>
      <c r="B161" s="81" t="s">
        <v>230</v>
      </c>
      <c r="C161" s="81">
        <v>77388007000157</v>
      </c>
      <c r="D161" s="81" t="s">
        <v>387</v>
      </c>
      <c r="E161" s="81" t="s">
        <v>121</v>
      </c>
      <c r="F161" s="81" t="s">
        <v>42</v>
      </c>
      <c r="G161" s="81">
        <v>24931</v>
      </c>
      <c r="H161" s="81" t="s">
        <v>116</v>
      </c>
      <c r="I161" s="81" t="s">
        <v>32</v>
      </c>
      <c r="J161" s="81" t="s">
        <v>33</v>
      </c>
      <c r="K161" s="81" t="s">
        <v>34</v>
      </c>
      <c r="L161" s="81" t="s">
        <v>520</v>
      </c>
      <c r="M161" s="81">
        <v>4501263453</v>
      </c>
      <c r="N161" s="90">
        <v>44518</v>
      </c>
      <c r="O161" s="90">
        <v>44736</v>
      </c>
      <c r="P161" s="90">
        <v>44665</v>
      </c>
      <c r="Q161" s="90" t="s">
        <v>35</v>
      </c>
      <c r="R161" s="81">
        <v>0</v>
      </c>
      <c r="S161" s="90" t="s">
        <v>35</v>
      </c>
      <c r="T161" s="81">
        <v>0</v>
      </c>
      <c r="U161" s="81" t="s">
        <v>36</v>
      </c>
      <c r="V161" s="90" t="s">
        <v>35</v>
      </c>
      <c r="W161" s="81" t="s">
        <v>593</v>
      </c>
      <c r="X161" s="90">
        <v>44641</v>
      </c>
      <c r="Y161" s="81" t="s">
        <v>38</v>
      </c>
      <c r="Z161" s="81">
        <v>944</v>
      </c>
      <c r="AA161" s="81" t="s">
        <v>152</v>
      </c>
      <c r="AB161" s="81">
        <v>0</v>
      </c>
      <c r="AC161" s="81"/>
      <c r="AD161" s="81">
        <v>0</v>
      </c>
      <c r="AE161" s="81" t="s">
        <v>153</v>
      </c>
      <c r="AF161" s="81" t="s">
        <v>39</v>
      </c>
      <c r="AG161" s="83">
        <v>5148.55</v>
      </c>
      <c r="AH161" s="95">
        <v>170362.5</v>
      </c>
      <c r="AI161" s="82" t="str">
        <f>CONCATENATE((TEXT(Tabela1[[#This Row],[Data entrega]],"mmmm")),"_",(YEAR(Tabela1[[#This Row],[Data entrega]])))</f>
        <v>junho_2022</v>
      </c>
      <c r="AJ161" s="77">
        <f>IFERROR(IF(Tabela1[[#This Row],[Programa]]="",Tabela1[[#This Row],[Peso bruto]],VLOOKUP(Tabela1[[#This Row],[Pedido]],'Saldo a Produzir'!$A:$D,4,0)),"")</f>
        <v>20.05</v>
      </c>
      <c r="AM161" s="73">
        <v>9391.8430000000008</v>
      </c>
    </row>
    <row r="162" spans="1:39" ht="14.5" x14ac:dyDescent="0.35">
      <c r="A162" s="81">
        <v>15059</v>
      </c>
      <c r="B162" s="81" t="s">
        <v>63</v>
      </c>
      <c r="C162" s="81">
        <v>7593518000397</v>
      </c>
      <c r="D162" s="81" t="s">
        <v>521</v>
      </c>
      <c r="E162" s="81" t="s">
        <v>168</v>
      </c>
      <c r="F162" s="81" t="s">
        <v>64</v>
      </c>
      <c r="G162" s="81">
        <v>25489</v>
      </c>
      <c r="H162" s="81" t="s">
        <v>92</v>
      </c>
      <c r="I162" s="81" t="s">
        <v>32</v>
      </c>
      <c r="J162" s="81" t="s">
        <v>33</v>
      </c>
      <c r="K162" s="81" t="s">
        <v>34</v>
      </c>
      <c r="L162" s="81" t="s">
        <v>522</v>
      </c>
      <c r="M162" s="81">
        <v>34739</v>
      </c>
      <c r="N162" s="90">
        <v>44610</v>
      </c>
      <c r="O162" s="90">
        <v>44736</v>
      </c>
      <c r="P162" s="90">
        <v>44610</v>
      </c>
      <c r="Q162" s="90" t="s">
        <v>35</v>
      </c>
      <c r="R162" s="81">
        <v>0</v>
      </c>
      <c r="S162" s="90" t="s">
        <v>35</v>
      </c>
      <c r="T162" s="81">
        <v>0</v>
      </c>
      <c r="U162" s="81" t="s">
        <v>36</v>
      </c>
      <c r="V162" s="90" t="s">
        <v>35</v>
      </c>
      <c r="W162" s="81" t="s">
        <v>546</v>
      </c>
      <c r="X162" s="90">
        <v>44621</v>
      </c>
      <c r="Y162" s="81" t="s">
        <v>38</v>
      </c>
      <c r="Z162" s="81">
        <v>0</v>
      </c>
      <c r="AA162" s="81"/>
      <c r="AB162" s="81">
        <v>0</v>
      </c>
      <c r="AC162" s="81"/>
      <c r="AD162" s="81">
        <v>0</v>
      </c>
      <c r="AE162" s="81" t="s">
        <v>153</v>
      </c>
      <c r="AF162" s="81" t="s">
        <v>39</v>
      </c>
      <c r="AG162" s="83">
        <v>9685.7299999999977</v>
      </c>
      <c r="AH162" s="95">
        <v>269069.5</v>
      </c>
      <c r="AI162" s="82" t="str">
        <f>CONCATENATE((TEXT(Tabela1[[#This Row],[Data entrega]],"mmmm")),"_",(YEAR(Tabela1[[#This Row],[Data entrega]])))</f>
        <v>junho_2022</v>
      </c>
      <c r="AJ162" s="77">
        <f>IFERROR(IF(Tabela1[[#This Row],[Programa]]="",Tabela1[[#This Row],[Peso bruto]],VLOOKUP(Tabela1[[#This Row],[Pedido]],'Saldo a Produzir'!$A:$D,4,0)),"")</f>
        <v>2263.12</v>
      </c>
      <c r="AM162" s="73">
        <v>10810.65</v>
      </c>
    </row>
    <row r="163" spans="1:39" ht="14.5" x14ac:dyDescent="0.35">
      <c r="A163" s="81">
        <v>15067</v>
      </c>
      <c r="B163" s="81" t="s">
        <v>59</v>
      </c>
      <c r="C163" s="81">
        <v>33767574000149</v>
      </c>
      <c r="D163" s="81" t="s">
        <v>855</v>
      </c>
      <c r="E163" s="81" t="s">
        <v>254</v>
      </c>
      <c r="F163" s="81" t="s">
        <v>58</v>
      </c>
      <c r="G163" s="81">
        <v>26039</v>
      </c>
      <c r="H163" s="81" t="s">
        <v>87</v>
      </c>
      <c r="I163" s="81" t="s">
        <v>32</v>
      </c>
      <c r="J163" s="81" t="s">
        <v>33</v>
      </c>
      <c r="K163" s="81" t="s">
        <v>34</v>
      </c>
      <c r="L163" s="81" t="s">
        <v>856</v>
      </c>
      <c r="M163" s="81"/>
      <c r="N163" s="90">
        <v>44680</v>
      </c>
      <c r="O163" s="90">
        <v>44736</v>
      </c>
      <c r="P163" s="90">
        <v>44685</v>
      </c>
      <c r="Q163" s="90" t="s">
        <v>35</v>
      </c>
      <c r="R163" s="81">
        <v>0</v>
      </c>
      <c r="S163" s="90" t="s">
        <v>35</v>
      </c>
      <c r="T163" s="81">
        <v>0</v>
      </c>
      <c r="U163" s="81" t="s">
        <v>36</v>
      </c>
      <c r="V163" s="90" t="s">
        <v>35</v>
      </c>
      <c r="W163" s="81" t="s">
        <v>874</v>
      </c>
      <c r="X163" s="90">
        <v>44686</v>
      </c>
      <c r="Y163" s="81" t="s">
        <v>38</v>
      </c>
      <c r="Z163" s="81">
        <v>0</v>
      </c>
      <c r="AA163" s="81"/>
      <c r="AB163" s="81">
        <v>0</v>
      </c>
      <c r="AC163" s="81"/>
      <c r="AD163" s="81">
        <v>0</v>
      </c>
      <c r="AE163" s="81"/>
      <c r="AF163" s="81" t="s">
        <v>39</v>
      </c>
      <c r="AG163" s="83">
        <v>33011.74</v>
      </c>
      <c r="AH163" s="95">
        <v>586924.63</v>
      </c>
      <c r="AI163" s="82" t="str">
        <f>CONCATENATE((TEXT(Tabela1[[#This Row],[Data entrega]],"mmmm")),"_",(YEAR(Tabela1[[#This Row],[Data entrega]])))</f>
        <v>junho_2022</v>
      </c>
      <c r="AJ163" s="77" t="str">
        <f>IFERROR(IF(Tabela1[[#This Row],[Programa]]="",Tabela1[[#This Row],[Peso bruto]],VLOOKUP(Tabela1[[#This Row],[Pedido]],'Saldo a Produzir'!$A:$D,4,0)),"")</f>
        <v/>
      </c>
      <c r="AM163" s="73">
        <v>34764.415000000001</v>
      </c>
    </row>
    <row r="164" spans="1:39" ht="14.5" x14ac:dyDescent="0.35">
      <c r="A164" s="81">
        <v>15909</v>
      </c>
      <c r="B164" s="81" t="s">
        <v>223</v>
      </c>
      <c r="C164" s="81">
        <v>56228356004048</v>
      </c>
      <c r="D164" s="81" t="s">
        <v>695</v>
      </c>
      <c r="E164" s="81" t="s">
        <v>696</v>
      </c>
      <c r="F164" s="81" t="s">
        <v>53</v>
      </c>
      <c r="G164" s="81">
        <v>25827</v>
      </c>
      <c r="H164" s="81" t="s">
        <v>92</v>
      </c>
      <c r="I164" s="81" t="s">
        <v>32</v>
      </c>
      <c r="J164" s="81" t="s">
        <v>33</v>
      </c>
      <c r="K164" s="81" t="s">
        <v>34</v>
      </c>
      <c r="L164" s="81" t="s">
        <v>700</v>
      </c>
      <c r="M164" s="81"/>
      <c r="N164" s="90">
        <v>44651</v>
      </c>
      <c r="O164" s="90">
        <v>44736</v>
      </c>
      <c r="P164" s="90">
        <v>44655</v>
      </c>
      <c r="Q164" s="90" t="s">
        <v>35</v>
      </c>
      <c r="R164" s="81">
        <v>0</v>
      </c>
      <c r="S164" s="90" t="s">
        <v>35</v>
      </c>
      <c r="T164" s="81">
        <v>0</v>
      </c>
      <c r="U164" s="81" t="s">
        <v>36</v>
      </c>
      <c r="V164" s="90" t="s">
        <v>35</v>
      </c>
      <c r="W164" s="81"/>
      <c r="X164" s="90" t="s">
        <v>37</v>
      </c>
      <c r="Y164" s="81" t="s">
        <v>38</v>
      </c>
      <c r="Z164" s="81">
        <v>1300</v>
      </c>
      <c r="AA164" s="81" t="s">
        <v>698</v>
      </c>
      <c r="AB164" s="81">
        <v>0</v>
      </c>
      <c r="AC164" s="81"/>
      <c r="AD164" s="81">
        <v>0</v>
      </c>
      <c r="AE164" s="81" t="s">
        <v>153</v>
      </c>
      <c r="AF164" s="81" t="s">
        <v>39</v>
      </c>
      <c r="AG164" s="83">
        <v>19167</v>
      </c>
      <c r="AH164" s="95">
        <v>430574.89</v>
      </c>
      <c r="AI164" s="82" t="str">
        <f>CONCATENATE((TEXT(Tabela1[[#This Row],[Data entrega]],"mmmm")),"_",(YEAR(Tabela1[[#This Row],[Data entrega]])))</f>
        <v>junho_2022</v>
      </c>
      <c r="AJ164" s="77">
        <f>IFERROR(IF(Tabela1[[#This Row],[Programa]]="",Tabela1[[#This Row],[Peso bruto]],VLOOKUP(Tabela1[[#This Row],[Pedido]],'Saldo a Produzir'!$A:$D,4,0)),"")</f>
        <v>19167</v>
      </c>
      <c r="AM164" s="73">
        <v>19167</v>
      </c>
    </row>
    <row r="165" spans="1:39" ht="14.5" x14ac:dyDescent="0.35">
      <c r="A165" s="81">
        <v>15909</v>
      </c>
      <c r="B165" s="81" t="s">
        <v>223</v>
      </c>
      <c r="C165" s="81">
        <v>10970887014405</v>
      </c>
      <c r="D165" s="81" t="s">
        <v>227</v>
      </c>
      <c r="E165" s="81" t="s">
        <v>173</v>
      </c>
      <c r="F165" s="81" t="s">
        <v>54</v>
      </c>
      <c r="G165" s="81">
        <v>23827</v>
      </c>
      <c r="H165" s="81" t="s">
        <v>87</v>
      </c>
      <c r="I165" s="81" t="s">
        <v>32</v>
      </c>
      <c r="J165" s="81" t="s">
        <v>156</v>
      </c>
      <c r="K165" s="81" t="s">
        <v>34</v>
      </c>
      <c r="L165" s="81" t="s">
        <v>228</v>
      </c>
      <c r="M165" s="81">
        <v>2021021274</v>
      </c>
      <c r="N165" s="90">
        <v>44330</v>
      </c>
      <c r="O165" s="90">
        <v>44736</v>
      </c>
      <c r="P165" s="90">
        <v>44375</v>
      </c>
      <c r="Q165" s="90">
        <v>44704</v>
      </c>
      <c r="R165" s="81">
        <v>6843</v>
      </c>
      <c r="S165" s="90">
        <v>44704</v>
      </c>
      <c r="T165" s="81">
        <v>6845</v>
      </c>
      <c r="U165" s="81" t="s">
        <v>36</v>
      </c>
      <c r="V165" s="90" t="s">
        <v>35</v>
      </c>
      <c r="W165" s="81" t="s">
        <v>759</v>
      </c>
      <c r="X165" s="90">
        <v>44662</v>
      </c>
      <c r="Y165" s="81" t="s">
        <v>38</v>
      </c>
      <c r="Z165" s="81">
        <v>0</v>
      </c>
      <c r="AA165" s="81"/>
      <c r="AB165" s="81">
        <v>0</v>
      </c>
      <c r="AC165" s="81"/>
      <c r="AD165" s="81">
        <v>0</v>
      </c>
      <c r="AE165" s="81" t="s">
        <v>153</v>
      </c>
      <c r="AF165" s="81" t="s">
        <v>39</v>
      </c>
      <c r="AG165" s="83">
        <v>24290.420000000002</v>
      </c>
      <c r="AH165" s="95">
        <v>1150485.45</v>
      </c>
      <c r="AI165" s="82" t="str">
        <f>CONCATENATE((TEXT(Tabela1[[#This Row],[Data entrega]],"mmmm")),"_",(YEAR(Tabela1[[#This Row],[Data entrega]])))</f>
        <v>junho_2022</v>
      </c>
      <c r="AJ165" s="77">
        <f>IFERROR(IF(Tabela1[[#This Row],[Programa]]="",Tabela1[[#This Row],[Peso bruto]],VLOOKUP(Tabela1[[#This Row],[Pedido]],'Saldo a Produzir'!$A:$D,4,0)),"")</f>
        <v>3484.38</v>
      </c>
      <c r="AM165" s="73">
        <v>27663.598000000002</v>
      </c>
    </row>
    <row r="166" spans="1:39" ht="14.5" x14ac:dyDescent="0.35">
      <c r="A166" s="81">
        <v>15057</v>
      </c>
      <c r="B166" s="81" t="s">
        <v>60</v>
      </c>
      <c r="C166" s="81">
        <v>7206816007390</v>
      </c>
      <c r="D166" s="81" t="s">
        <v>539</v>
      </c>
      <c r="E166" s="81" t="s">
        <v>128</v>
      </c>
      <c r="F166" s="81" t="s">
        <v>44</v>
      </c>
      <c r="G166" s="81">
        <v>25553</v>
      </c>
      <c r="H166" s="81" t="s">
        <v>87</v>
      </c>
      <c r="I166" s="81" t="s">
        <v>32</v>
      </c>
      <c r="J166" s="81" t="s">
        <v>156</v>
      </c>
      <c r="K166" s="81" t="s">
        <v>34</v>
      </c>
      <c r="L166" s="81" t="s">
        <v>816</v>
      </c>
      <c r="M166" s="81">
        <v>1799919</v>
      </c>
      <c r="N166" s="90">
        <v>44620</v>
      </c>
      <c r="O166" s="90">
        <v>44736</v>
      </c>
      <c r="P166" s="90">
        <v>44714</v>
      </c>
      <c r="Q166" s="90">
        <v>44707</v>
      </c>
      <c r="R166" s="81">
        <v>6896</v>
      </c>
      <c r="S166" s="90">
        <v>44714</v>
      </c>
      <c r="T166" s="81">
        <v>7027</v>
      </c>
      <c r="U166" s="81" t="s">
        <v>36</v>
      </c>
      <c r="V166" s="90" t="s">
        <v>35</v>
      </c>
      <c r="W166" s="81" t="s">
        <v>556</v>
      </c>
      <c r="X166" s="90">
        <v>44628</v>
      </c>
      <c r="Y166" s="81" t="s">
        <v>38</v>
      </c>
      <c r="Z166" s="81">
        <v>879</v>
      </c>
      <c r="AA166" s="81" t="s">
        <v>45</v>
      </c>
      <c r="AB166" s="81">
        <v>0</v>
      </c>
      <c r="AC166" s="81"/>
      <c r="AD166" s="81">
        <v>0</v>
      </c>
      <c r="AE166" s="81" t="s">
        <v>153</v>
      </c>
      <c r="AF166" s="81" t="s">
        <v>39</v>
      </c>
      <c r="AG166" s="83">
        <v>5508.74</v>
      </c>
      <c r="AH166" s="95">
        <v>98298.17</v>
      </c>
      <c r="AI166" s="82" t="str">
        <f>CONCATENATE((TEXT(Tabela1[[#This Row],[Data entrega]],"mmmm")),"_",(YEAR(Tabela1[[#This Row],[Data entrega]])))</f>
        <v>junho_2022</v>
      </c>
      <c r="AJ166" s="77" t="str">
        <f>IFERROR(IF(Tabela1[[#This Row],[Programa]]="",Tabela1[[#This Row],[Peso bruto]],VLOOKUP(Tabela1[[#This Row],[Pedido]],'Saldo a Produzir'!$A:$D,4,0)),"")</f>
        <v/>
      </c>
      <c r="AM166" s="73">
        <v>5337.2640000000001</v>
      </c>
    </row>
    <row r="167" spans="1:39" ht="14.5" x14ac:dyDescent="0.35">
      <c r="A167" s="81">
        <v>15064</v>
      </c>
      <c r="B167" s="81" t="s">
        <v>67</v>
      </c>
      <c r="C167" s="81">
        <v>47960950166607</v>
      </c>
      <c r="D167" s="81" t="s">
        <v>1436</v>
      </c>
      <c r="E167" s="81" t="s">
        <v>182</v>
      </c>
      <c r="F167" s="81" t="s">
        <v>51</v>
      </c>
      <c r="G167" s="81">
        <v>26323</v>
      </c>
      <c r="H167" s="81" t="s">
        <v>88</v>
      </c>
      <c r="I167" s="81" t="s">
        <v>32</v>
      </c>
      <c r="J167" s="81" t="s">
        <v>33</v>
      </c>
      <c r="K167" s="81" t="s">
        <v>34</v>
      </c>
      <c r="L167" s="81" t="s">
        <v>1437</v>
      </c>
      <c r="M167" s="81">
        <v>4171581</v>
      </c>
      <c r="N167" s="90">
        <v>44719</v>
      </c>
      <c r="O167" s="90">
        <v>44736</v>
      </c>
      <c r="P167" s="90">
        <v>44719</v>
      </c>
      <c r="Q167" s="90" t="s">
        <v>35</v>
      </c>
      <c r="R167" s="81">
        <v>0</v>
      </c>
      <c r="S167" s="90" t="s">
        <v>35</v>
      </c>
      <c r="T167" s="81">
        <v>0</v>
      </c>
      <c r="U167" s="81" t="s">
        <v>36</v>
      </c>
      <c r="V167" s="90" t="s">
        <v>35</v>
      </c>
      <c r="W167" s="81"/>
      <c r="X167" s="90" t="s">
        <v>37</v>
      </c>
      <c r="Y167" s="81" t="s">
        <v>38</v>
      </c>
      <c r="Z167" s="81">
        <v>2000</v>
      </c>
      <c r="AA167" s="81" t="s">
        <v>154</v>
      </c>
      <c r="AB167" s="81">
        <v>0</v>
      </c>
      <c r="AC167" s="81"/>
      <c r="AD167" s="81">
        <v>0</v>
      </c>
      <c r="AE167" s="81" t="s">
        <v>153</v>
      </c>
      <c r="AF167" s="81" t="s">
        <v>39</v>
      </c>
      <c r="AG167" s="83">
        <v>5454.6440000000002</v>
      </c>
      <c r="AH167" s="95">
        <v>47469.19</v>
      </c>
      <c r="AI167" s="82" t="str">
        <f>CONCATENATE((TEXT(Tabela1[[#This Row],[Data entrega]],"mmmm")),"_",(YEAR(Tabela1[[#This Row],[Data entrega]])))</f>
        <v>junho_2022</v>
      </c>
      <c r="AJ167" s="77">
        <f>IFERROR(IF(Tabela1[[#This Row],[Programa]]="",Tabela1[[#This Row],[Peso bruto]],VLOOKUP(Tabela1[[#This Row],[Pedido]],'Saldo a Produzir'!$A:$D,4,0)),"")</f>
        <v>5454.6440000000002</v>
      </c>
      <c r="AM167" s="73">
        <v>5454.6440000000002</v>
      </c>
    </row>
    <row r="168" spans="1:39" ht="14.5" x14ac:dyDescent="0.35">
      <c r="A168" s="81">
        <v>15073</v>
      </c>
      <c r="B168" s="81" t="s">
        <v>172</v>
      </c>
      <c r="C168" s="81">
        <v>29050381000103</v>
      </c>
      <c r="D168" s="81" t="s">
        <v>817</v>
      </c>
      <c r="E168" s="81" t="s">
        <v>818</v>
      </c>
      <c r="F168" s="81" t="s">
        <v>44</v>
      </c>
      <c r="G168" s="81">
        <v>26004</v>
      </c>
      <c r="H168" s="81" t="s">
        <v>87</v>
      </c>
      <c r="I168" s="81" t="s">
        <v>32</v>
      </c>
      <c r="J168" s="81" t="s">
        <v>33</v>
      </c>
      <c r="K168" s="81" t="s">
        <v>34</v>
      </c>
      <c r="L168" s="81" t="s">
        <v>819</v>
      </c>
      <c r="M168" s="81"/>
      <c r="N168" s="90">
        <v>44679</v>
      </c>
      <c r="O168" s="90">
        <v>44736</v>
      </c>
      <c r="P168" s="90">
        <v>44680</v>
      </c>
      <c r="Q168" s="90" t="s">
        <v>35</v>
      </c>
      <c r="R168" s="81">
        <v>0</v>
      </c>
      <c r="S168" s="90" t="s">
        <v>35</v>
      </c>
      <c r="T168" s="81">
        <v>0</v>
      </c>
      <c r="U168" s="81" t="s">
        <v>36</v>
      </c>
      <c r="V168" s="90" t="s">
        <v>35</v>
      </c>
      <c r="W168" s="81" t="s">
        <v>847</v>
      </c>
      <c r="X168" s="90">
        <v>44683</v>
      </c>
      <c r="Y168" s="81" t="s">
        <v>38</v>
      </c>
      <c r="Z168" s="81">
        <v>2257</v>
      </c>
      <c r="AA168" s="81" t="s">
        <v>155</v>
      </c>
      <c r="AB168" s="81">
        <v>0</v>
      </c>
      <c r="AC168" s="81"/>
      <c r="AD168" s="81">
        <v>0</v>
      </c>
      <c r="AE168" s="81" t="s">
        <v>153</v>
      </c>
      <c r="AF168" s="81" t="s">
        <v>39</v>
      </c>
      <c r="AG168" s="83">
        <v>3127.64</v>
      </c>
      <c r="AH168" s="95">
        <v>65047.5</v>
      </c>
      <c r="AI168" s="82" t="str">
        <f>CONCATENATE((TEXT(Tabela1[[#This Row],[Data entrega]],"mmmm")),"_",(YEAR(Tabela1[[#This Row],[Data entrega]])))</f>
        <v>junho_2022</v>
      </c>
      <c r="AJ168" s="77" t="str">
        <f>IFERROR(IF(Tabela1[[#This Row],[Programa]]="",Tabela1[[#This Row],[Peso bruto]],VLOOKUP(Tabela1[[#This Row],[Pedido]],'Saldo a Produzir'!$A:$D,4,0)),"")</f>
        <v/>
      </c>
      <c r="AM168" s="73">
        <v>3259.4189999999999</v>
      </c>
    </row>
    <row r="169" spans="1:39" ht="14.5" x14ac:dyDescent="0.35">
      <c r="A169" s="81">
        <v>15057</v>
      </c>
      <c r="B169" s="81" t="s">
        <v>60</v>
      </c>
      <c r="C169" s="81">
        <v>95422218000906</v>
      </c>
      <c r="D169" s="81" t="s">
        <v>76</v>
      </c>
      <c r="E169" s="81" t="s">
        <v>510</v>
      </c>
      <c r="F169" s="81" t="s">
        <v>33</v>
      </c>
      <c r="G169" s="81">
        <v>25499</v>
      </c>
      <c r="H169" s="81" t="s">
        <v>87</v>
      </c>
      <c r="I169" s="81" t="s">
        <v>32</v>
      </c>
      <c r="J169" s="81" t="s">
        <v>33</v>
      </c>
      <c r="K169" s="81" t="s">
        <v>34</v>
      </c>
      <c r="L169" s="81" t="s">
        <v>523</v>
      </c>
      <c r="M169" s="81">
        <v>236517</v>
      </c>
      <c r="N169" s="90">
        <v>44614</v>
      </c>
      <c r="O169" s="90">
        <v>44736</v>
      </c>
      <c r="P169" s="90">
        <v>44615</v>
      </c>
      <c r="Q169" s="90" t="s">
        <v>35</v>
      </c>
      <c r="R169" s="81">
        <v>0</v>
      </c>
      <c r="S169" s="90" t="s">
        <v>35</v>
      </c>
      <c r="T169" s="81">
        <v>0</v>
      </c>
      <c r="U169" s="81" t="s">
        <v>36</v>
      </c>
      <c r="V169" s="90" t="s">
        <v>35</v>
      </c>
      <c r="W169" s="81" t="s">
        <v>554</v>
      </c>
      <c r="X169" s="90">
        <v>44628</v>
      </c>
      <c r="Y169" s="81" t="s">
        <v>38</v>
      </c>
      <c r="Z169" s="81">
        <v>2235</v>
      </c>
      <c r="AA169" s="81" t="s">
        <v>144</v>
      </c>
      <c r="AB169" s="81">
        <v>0</v>
      </c>
      <c r="AC169" s="81"/>
      <c r="AD169" s="81">
        <v>0</v>
      </c>
      <c r="AE169" s="81" t="s">
        <v>153</v>
      </c>
      <c r="AF169" s="81" t="s">
        <v>39</v>
      </c>
      <c r="AG169" s="83">
        <v>678.16</v>
      </c>
      <c r="AH169" s="95">
        <v>51625</v>
      </c>
      <c r="AI169" s="82" t="str">
        <f>CONCATENATE((TEXT(Tabela1[[#This Row],[Data entrega]],"mmmm")),"_",(YEAR(Tabela1[[#This Row],[Data entrega]])))</f>
        <v>junho_2022</v>
      </c>
      <c r="AJ169" s="77">
        <f>IFERROR(IF(Tabela1[[#This Row],[Programa]]="",Tabela1[[#This Row],[Peso bruto]],VLOOKUP(Tabela1[[#This Row],[Pedido]],'Saldo a Produzir'!$A:$D,4,0)),"")</f>
        <v>660.04</v>
      </c>
      <c r="AM169" s="73">
        <v>1418.191</v>
      </c>
    </row>
    <row r="170" spans="1:39" ht="14.5" x14ac:dyDescent="0.35">
      <c r="A170" s="81">
        <v>15074</v>
      </c>
      <c r="B170" s="81" t="s">
        <v>161</v>
      </c>
      <c r="C170" s="81">
        <v>62545686001206</v>
      </c>
      <c r="D170" s="81" t="s">
        <v>317</v>
      </c>
      <c r="E170" s="81" t="s">
        <v>318</v>
      </c>
      <c r="F170" s="81" t="s">
        <v>44</v>
      </c>
      <c r="G170" s="81">
        <v>25050</v>
      </c>
      <c r="H170" s="81" t="s">
        <v>92</v>
      </c>
      <c r="I170" s="81" t="s">
        <v>32</v>
      </c>
      <c r="J170" s="81" t="s">
        <v>33</v>
      </c>
      <c r="K170" s="81" t="s">
        <v>34</v>
      </c>
      <c r="L170" s="81" t="s">
        <v>413</v>
      </c>
      <c r="M170" s="81">
        <v>500381</v>
      </c>
      <c r="N170" s="90">
        <v>44532</v>
      </c>
      <c r="O170" s="90">
        <v>44736</v>
      </c>
      <c r="P170" s="90">
        <v>44539</v>
      </c>
      <c r="Q170" s="90" t="s">
        <v>35</v>
      </c>
      <c r="R170" s="81">
        <v>0</v>
      </c>
      <c r="S170" s="90" t="s">
        <v>35</v>
      </c>
      <c r="T170" s="81">
        <v>0</v>
      </c>
      <c r="U170" s="81" t="s">
        <v>36</v>
      </c>
      <c r="V170" s="90" t="s">
        <v>35</v>
      </c>
      <c r="W170" s="81" t="s">
        <v>501</v>
      </c>
      <c r="X170" s="90">
        <v>44603</v>
      </c>
      <c r="Y170" s="81" t="s">
        <v>38</v>
      </c>
      <c r="Z170" s="81">
        <v>2000</v>
      </c>
      <c r="AA170" s="81" t="s">
        <v>154</v>
      </c>
      <c r="AB170" s="81">
        <v>0</v>
      </c>
      <c r="AC170" s="81"/>
      <c r="AD170" s="81">
        <v>0</v>
      </c>
      <c r="AE170" s="81" t="s">
        <v>153</v>
      </c>
      <c r="AF170" s="81" t="s">
        <v>39</v>
      </c>
      <c r="AG170" s="83">
        <v>1.56</v>
      </c>
      <c r="AH170" s="95">
        <v>17484.36</v>
      </c>
      <c r="AI170" s="82" t="str">
        <f>CONCATENATE((TEXT(Tabela1[[#This Row],[Data entrega]],"mmmm")),"_",(YEAR(Tabela1[[#This Row],[Data entrega]])))</f>
        <v>junho_2022</v>
      </c>
      <c r="AJ170" s="77" t="str">
        <f>IFERROR(IF(Tabela1[[#This Row],[Programa]]="",Tabela1[[#This Row],[Peso bruto]],VLOOKUP(Tabela1[[#This Row],[Pedido]],'Saldo a Produzir'!$A:$D,4,0)),"")</f>
        <v/>
      </c>
      <c r="AM170" s="73">
        <v>1109.028</v>
      </c>
    </row>
    <row r="171" spans="1:39" ht="14.5" x14ac:dyDescent="0.35">
      <c r="A171" s="81">
        <v>15073</v>
      </c>
      <c r="B171" s="81" t="s">
        <v>172</v>
      </c>
      <c r="C171" s="81">
        <v>60621141000668</v>
      </c>
      <c r="D171" s="81" t="s">
        <v>820</v>
      </c>
      <c r="E171" s="81" t="s">
        <v>312</v>
      </c>
      <c r="F171" s="81" t="s">
        <v>44</v>
      </c>
      <c r="G171" s="81">
        <v>26014</v>
      </c>
      <c r="H171" s="81" t="s">
        <v>88</v>
      </c>
      <c r="I171" s="81" t="s">
        <v>32</v>
      </c>
      <c r="J171" s="81" t="s">
        <v>33</v>
      </c>
      <c r="K171" s="81" t="s">
        <v>34</v>
      </c>
      <c r="L171" s="81" t="s">
        <v>821</v>
      </c>
      <c r="M171" s="81">
        <v>4512795712</v>
      </c>
      <c r="N171" s="90">
        <v>44679</v>
      </c>
      <c r="O171" s="90">
        <v>44736</v>
      </c>
      <c r="P171" s="90">
        <v>44679</v>
      </c>
      <c r="Q171" s="90" t="s">
        <v>35</v>
      </c>
      <c r="R171" s="81">
        <v>0</v>
      </c>
      <c r="S171" s="90" t="s">
        <v>35</v>
      </c>
      <c r="T171" s="81">
        <v>0</v>
      </c>
      <c r="U171" s="81" t="s">
        <v>36</v>
      </c>
      <c r="V171" s="90" t="s">
        <v>35</v>
      </c>
      <c r="W171" s="81" t="s">
        <v>875</v>
      </c>
      <c r="X171" s="90">
        <v>44684</v>
      </c>
      <c r="Y171" s="81" t="s">
        <v>38</v>
      </c>
      <c r="Z171" s="81">
        <v>2000</v>
      </c>
      <c r="AA171" s="81" t="s">
        <v>154</v>
      </c>
      <c r="AB171" s="81">
        <v>0</v>
      </c>
      <c r="AC171" s="81"/>
      <c r="AD171" s="81">
        <v>0</v>
      </c>
      <c r="AE171" s="81" t="s">
        <v>153</v>
      </c>
      <c r="AF171" s="81" t="s">
        <v>39</v>
      </c>
      <c r="AG171" s="83">
        <v>36.020000000000003</v>
      </c>
      <c r="AH171" s="95">
        <v>6416.99</v>
      </c>
      <c r="AI171" s="82" t="str">
        <f>CONCATENATE((TEXT(Tabela1[[#This Row],[Data entrega]],"mmmm")),"_",(YEAR(Tabela1[[#This Row],[Data entrega]])))</f>
        <v>junho_2022</v>
      </c>
      <c r="AJ171" s="77">
        <f>IFERROR(IF(Tabela1[[#This Row],[Programa]]="",Tabela1[[#This Row],[Peso bruto]],VLOOKUP(Tabela1[[#This Row],[Pedido]],'Saldo a Produzir'!$A:$D,4,0)),"")</f>
        <v>36.020000000000003</v>
      </c>
      <c r="AM171" s="73">
        <v>38.604999999999997</v>
      </c>
    </row>
    <row r="172" spans="1:39" ht="14.5" x14ac:dyDescent="0.35">
      <c r="A172" s="81">
        <v>15067</v>
      </c>
      <c r="B172" s="81" t="s">
        <v>59</v>
      </c>
      <c r="C172" s="81">
        <v>4522379000665</v>
      </c>
      <c r="D172" s="81" t="s">
        <v>675</v>
      </c>
      <c r="E172" s="81" t="s">
        <v>595</v>
      </c>
      <c r="F172" s="81" t="s">
        <v>596</v>
      </c>
      <c r="G172" s="81">
        <v>26333</v>
      </c>
      <c r="H172" s="81" t="s">
        <v>87</v>
      </c>
      <c r="I172" s="81" t="s">
        <v>32</v>
      </c>
      <c r="J172" s="81" t="s">
        <v>33</v>
      </c>
      <c r="K172" s="81" t="s">
        <v>34</v>
      </c>
      <c r="L172" s="81" t="s">
        <v>1438</v>
      </c>
      <c r="M172" s="81"/>
      <c r="N172" s="90">
        <v>44720</v>
      </c>
      <c r="O172" s="90">
        <v>44736</v>
      </c>
      <c r="P172" s="90">
        <v>44720</v>
      </c>
      <c r="Q172" s="90" t="s">
        <v>35</v>
      </c>
      <c r="R172" s="81">
        <v>0</v>
      </c>
      <c r="S172" s="90" t="s">
        <v>35</v>
      </c>
      <c r="T172" s="81">
        <v>0</v>
      </c>
      <c r="U172" s="81" t="s">
        <v>36</v>
      </c>
      <c r="V172" s="90" t="s">
        <v>35</v>
      </c>
      <c r="W172" s="81"/>
      <c r="X172" s="90" t="s">
        <v>37</v>
      </c>
      <c r="Y172" s="81" t="s">
        <v>38</v>
      </c>
      <c r="Z172" s="81">
        <v>2257</v>
      </c>
      <c r="AA172" s="81" t="s">
        <v>155</v>
      </c>
      <c r="AB172" s="81">
        <v>0</v>
      </c>
      <c r="AC172" s="81"/>
      <c r="AD172" s="81">
        <v>0</v>
      </c>
      <c r="AE172" s="81" t="s">
        <v>153</v>
      </c>
      <c r="AF172" s="81" t="s">
        <v>39</v>
      </c>
      <c r="AG172" s="83">
        <v>209</v>
      </c>
      <c r="AH172" s="95">
        <v>5157.34</v>
      </c>
      <c r="AI172" s="82" t="str">
        <f>CONCATENATE((TEXT(Tabela1[[#This Row],[Data entrega]],"mmmm")),"_",(YEAR(Tabela1[[#This Row],[Data entrega]])))</f>
        <v>junho_2022</v>
      </c>
      <c r="AJ172" s="77">
        <f>IFERROR(IF(Tabela1[[#This Row],[Programa]]="",Tabela1[[#This Row],[Peso bruto]],VLOOKUP(Tabela1[[#This Row],[Pedido]],'Saldo a Produzir'!$A:$D,4,0)),"")</f>
        <v>209</v>
      </c>
      <c r="AM172" s="73">
        <v>209</v>
      </c>
    </row>
    <row r="173" spans="1:39" ht="14.5" x14ac:dyDescent="0.35">
      <c r="A173" s="81">
        <v>15074</v>
      </c>
      <c r="B173" s="81" t="s">
        <v>161</v>
      </c>
      <c r="C173" s="81">
        <v>89519706000178</v>
      </c>
      <c r="D173" s="81" t="s">
        <v>194</v>
      </c>
      <c r="E173" s="81" t="s">
        <v>195</v>
      </c>
      <c r="F173" s="81" t="s">
        <v>44</v>
      </c>
      <c r="G173" s="81">
        <v>25567</v>
      </c>
      <c r="H173" s="81" t="s">
        <v>87</v>
      </c>
      <c r="I173" s="81" t="s">
        <v>32</v>
      </c>
      <c r="J173" s="81" t="s">
        <v>33</v>
      </c>
      <c r="K173" s="81" t="s">
        <v>34</v>
      </c>
      <c r="L173" s="81" t="s">
        <v>1153</v>
      </c>
      <c r="M173" s="81">
        <v>67548</v>
      </c>
      <c r="N173" s="90">
        <v>44623</v>
      </c>
      <c r="O173" s="90">
        <v>44736</v>
      </c>
      <c r="P173" s="90">
        <v>44627</v>
      </c>
      <c r="Q173" s="90" t="s">
        <v>35</v>
      </c>
      <c r="R173" s="81">
        <v>0</v>
      </c>
      <c r="S173" s="90" t="s">
        <v>35</v>
      </c>
      <c r="T173" s="81">
        <v>0</v>
      </c>
      <c r="U173" s="81" t="s">
        <v>36</v>
      </c>
      <c r="V173" s="90" t="s">
        <v>35</v>
      </c>
      <c r="W173" s="81" t="s">
        <v>551</v>
      </c>
      <c r="X173" s="90">
        <v>44629</v>
      </c>
      <c r="Y173" s="81" t="s">
        <v>38</v>
      </c>
      <c r="Z173" s="81">
        <v>0</v>
      </c>
      <c r="AA173" s="81"/>
      <c r="AB173" s="81">
        <v>0</v>
      </c>
      <c r="AC173" s="81"/>
      <c r="AD173" s="81">
        <v>0</v>
      </c>
      <c r="AE173" s="81" t="s">
        <v>153</v>
      </c>
      <c r="AF173" s="81" t="s">
        <v>39</v>
      </c>
      <c r="AG173" s="83">
        <v>706.30000000000007</v>
      </c>
      <c r="AH173" s="95">
        <v>18068.75</v>
      </c>
      <c r="AI173" s="82" t="str">
        <f>CONCATENATE((TEXT(Tabela1[[#This Row],[Data entrega]],"mmmm")),"_",(YEAR(Tabela1[[#This Row],[Data entrega]])))</f>
        <v>junho_2022</v>
      </c>
      <c r="AJ173" s="77">
        <f>IFERROR(IF(Tabela1[[#This Row],[Programa]]="",Tabela1[[#This Row],[Peso bruto]],VLOOKUP(Tabela1[[#This Row],[Pedido]],'Saldo a Produzir'!$A:$D,4,0)),"")</f>
        <v>496.04999999999995</v>
      </c>
      <c r="AM173" s="73">
        <v>788.40800000000002</v>
      </c>
    </row>
    <row r="174" spans="1:39" ht="14.5" x14ac:dyDescent="0.35">
      <c r="A174" s="81">
        <v>15074</v>
      </c>
      <c r="B174" s="81" t="s">
        <v>161</v>
      </c>
      <c r="C174" s="81">
        <v>89519706000178</v>
      </c>
      <c r="D174" s="81" t="s">
        <v>194</v>
      </c>
      <c r="E174" s="81" t="s">
        <v>195</v>
      </c>
      <c r="F174" s="81" t="s">
        <v>44</v>
      </c>
      <c r="G174" s="81">
        <v>26255</v>
      </c>
      <c r="H174" s="81" t="s">
        <v>88</v>
      </c>
      <c r="I174" s="81" t="s">
        <v>976</v>
      </c>
      <c r="J174" s="81" t="s">
        <v>33</v>
      </c>
      <c r="K174" s="81" t="s">
        <v>34</v>
      </c>
      <c r="L174" s="81" t="s">
        <v>1177</v>
      </c>
      <c r="M174" s="81"/>
      <c r="N174" s="90">
        <v>44711</v>
      </c>
      <c r="O174" s="90">
        <v>44736</v>
      </c>
      <c r="P174" s="90">
        <v>44711</v>
      </c>
      <c r="Q174" s="90" t="s">
        <v>35</v>
      </c>
      <c r="R174" s="81">
        <v>0</v>
      </c>
      <c r="S174" s="90" t="s">
        <v>35</v>
      </c>
      <c r="T174" s="81">
        <v>0</v>
      </c>
      <c r="U174" s="81" t="s">
        <v>36</v>
      </c>
      <c r="V174" s="90" t="s">
        <v>35</v>
      </c>
      <c r="W174" s="81" t="s">
        <v>1422</v>
      </c>
      <c r="X174" s="90">
        <v>44715</v>
      </c>
      <c r="Y174" s="81" t="s">
        <v>38</v>
      </c>
      <c r="Z174" s="81">
        <v>77</v>
      </c>
      <c r="AA174" s="81" t="s">
        <v>1004</v>
      </c>
      <c r="AB174" s="81">
        <v>0</v>
      </c>
      <c r="AC174" s="81"/>
      <c r="AD174" s="81">
        <v>0</v>
      </c>
      <c r="AE174" s="81" t="s">
        <v>153</v>
      </c>
      <c r="AF174" s="81" t="s">
        <v>39</v>
      </c>
      <c r="AG174" s="83">
        <v>0</v>
      </c>
      <c r="AH174" s="95">
        <v>1765.58</v>
      </c>
      <c r="AI174" s="82" t="str">
        <f>CONCATENATE((TEXT(Tabela1[[#This Row],[Data entrega]],"mmmm")),"_",(YEAR(Tabela1[[#This Row],[Data entrega]])))</f>
        <v>junho_2022</v>
      </c>
      <c r="AJ174" s="77">
        <f>IFERROR(IF(Tabela1[[#This Row],[Programa]]="",Tabela1[[#This Row],[Peso bruto]],VLOOKUP(Tabela1[[#This Row],[Pedido]],'Saldo a Produzir'!$A:$D,4,0)),"")</f>
        <v>0</v>
      </c>
      <c r="AM174" s="73">
        <v>63.320999999999998</v>
      </c>
    </row>
    <row r="175" spans="1:39" ht="14.5" x14ac:dyDescent="0.35">
      <c r="A175" s="81">
        <v>15080</v>
      </c>
      <c r="B175" s="81" t="s">
        <v>550</v>
      </c>
      <c r="C175" s="81">
        <v>4053268000142</v>
      </c>
      <c r="D175" s="81" t="s">
        <v>901</v>
      </c>
      <c r="E175" s="81" t="s">
        <v>902</v>
      </c>
      <c r="F175" s="81" t="s">
        <v>44</v>
      </c>
      <c r="G175" s="81">
        <v>26106</v>
      </c>
      <c r="H175" s="81" t="s">
        <v>87</v>
      </c>
      <c r="I175" s="81" t="s">
        <v>32</v>
      </c>
      <c r="J175" s="81" t="s">
        <v>33</v>
      </c>
      <c r="K175" s="81" t="s">
        <v>34</v>
      </c>
      <c r="L175" s="81" t="s">
        <v>903</v>
      </c>
      <c r="M175" s="81" t="s">
        <v>904</v>
      </c>
      <c r="N175" s="90">
        <v>44692</v>
      </c>
      <c r="O175" s="90">
        <v>44736</v>
      </c>
      <c r="P175" s="90">
        <v>44692</v>
      </c>
      <c r="Q175" s="90" t="s">
        <v>35</v>
      </c>
      <c r="R175" s="81">
        <v>0</v>
      </c>
      <c r="S175" s="90" t="s">
        <v>35</v>
      </c>
      <c r="T175" s="81">
        <v>0</v>
      </c>
      <c r="U175" s="81" t="s">
        <v>36</v>
      </c>
      <c r="V175" s="90" t="s">
        <v>35</v>
      </c>
      <c r="W175" s="81" t="s">
        <v>1011</v>
      </c>
      <c r="X175" s="90">
        <v>44698</v>
      </c>
      <c r="Y175" s="81" t="s">
        <v>38</v>
      </c>
      <c r="Z175" s="81">
        <v>191</v>
      </c>
      <c r="AA175" s="81" t="s">
        <v>253</v>
      </c>
      <c r="AB175" s="81">
        <v>0</v>
      </c>
      <c r="AC175" s="81"/>
      <c r="AD175" s="81">
        <v>0</v>
      </c>
      <c r="AE175" s="81" t="s">
        <v>153</v>
      </c>
      <c r="AF175" s="81" t="s">
        <v>39</v>
      </c>
      <c r="AG175" s="83">
        <v>994.3</v>
      </c>
      <c r="AH175" s="95">
        <v>30975</v>
      </c>
      <c r="AI175" s="82" t="str">
        <f>CONCATENATE((TEXT(Tabela1[[#This Row],[Data entrega]],"mmmm")),"_",(YEAR(Tabela1[[#This Row],[Data entrega]])))</f>
        <v>junho_2022</v>
      </c>
      <c r="AJ175" s="77">
        <f>IFERROR(IF(Tabela1[[#This Row],[Programa]]="",Tabela1[[#This Row],[Peso bruto]],VLOOKUP(Tabela1[[#This Row],[Pedido]],'Saldo a Produzir'!$A:$D,4,0)),"")</f>
        <v>462.87</v>
      </c>
      <c r="AM175" s="73">
        <v>1500.7460000000001</v>
      </c>
    </row>
    <row r="176" spans="1:39" ht="14.5" x14ac:dyDescent="0.35">
      <c r="A176" s="81">
        <v>15909</v>
      </c>
      <c r="B176" s="81" t="s">
        <v>223</v>
      </c>
      <c r="C176" s="81">
        <v>77388007000157</v>
      </c>
      <c r="D176" s="81" t="s">
        <v>387</v>
      </c>
      <c r="E176" s="81" t="s">
        <v>121</v>
      </c>
      <c r="F176" s="81" t="s">
        <v>42</v>
      </c>
      <c r="G176" s="81">
        <v>25602</v>
      </c>
      <c r="H176" s="81" t="s">
        <v>92</v>
      </c>
      <c r="I176" s="81" t="s">
        <v>32</v>
      </c>
      <c r="J176" s="81" t="s">
        <v>33</v>
      </c>
      <c r="K176" s="81" t="s">
        <v>34</v>
      </c>
      <c r="L176" s="81" t="s">
        <v>727</v>
      </c>
      <c r="M176" s="81">
        <v>4501266753</v>
      </c>
      <c r="N176" s="90">
        <v>44630</v>
      </c>
      <c r="O176" s="90">
        <v>44737</v>
      </c>
      <c r="P176" s="90">
        <v>44634</v>
      </c>
      <c r="Q176" s="90" t="s">
        <v>35</v>
      </c>
      <c r="R176" s="81">
        <v>0</v>
      </c>
      <c r="S176" s="90" t="s">
        <v>35</v>
      </c>
      <c r="T176" s="81">
        <v>0</v>
      </c>
      <c r="U176" s="81" t="s">
        <v>36</v>
      </c>
      <c r="V176" s="90" t="s">
        <v>35</v>
      </c>
      <c r="W176" s="81" t="s">
        <v>775</v>
      </c>
      <c r="X176" s="90">
        <v>44665</v>
      </c>
      <c r="Y176" s="81" t="s">
        <v>38</v>
      </c>
      <c r="Z176" s="81">
        <v>944</v>
      </c>
      <c r="AA176" s="81" t="s">
        <v>152</v>
      </c>
      <c r="AB176" s="81">
        <v>0</v>
      </c>
      <c r="AC176" s="81"/>
      <c r="AD176" s="81">
        <v>0</v>
      </c>
      <c r="AE176" s="81" t="s">
        <v>153</v>
      </c>
      <c r="AF176" s="81" t="s">
        <v>39</v>
      </c>
      <c r="AG176" s="83">
        <v>2.7</v>
      </c>
      <c r="AH176" s="95">
        <v>185478.3</v>
      </c>
      <c r="AI176" s="82" t="str">
        <f>CONCATENATE((TEXT(Tabela1[[#This Row],[Data entrega]],"mmmm")),"_",(YEAR(Tabela1[[#This Row],[Data entrega]])))</f>
        <v>junho_2022</v>
      </c>
      <c r="AJ176" s="77">
        <f>IFERROR(IF(Tabela1[[#This Row],[Programa]]="",Tabela1[[#This Row],[Peso bruto]],VLOOKUP(Tabela1[[#This Row],[Pedido]],'Saldo a Produzir'!$A:$D,4,0)),"")</f>
        <v>0</v>
      </c>
      <c r="AM176" s="73">
        <v>482.22699999999998</v>
      </c>
    </row>
    <row r="177" spans="1:39" ht="14.5" x14ac:dyDescent="0.35">
      <c r="A177" s="81">
        <v>15909</v>
      </c>
      <c r="B177" s="81" t="s">
        <v>223</v>
      </c>
      <c r="C177" s="81">
        <v>92754738047983</v>
      </c>
      <c r="D177" s="81" t="s">
        <v>80</v>
      </c>
      <c r="E177" s="81" t="s">
        <v>177</v>
      </c>
      <c r="F177" s="81" t="s">
        <v>44</v>
      </c>
      <c r="G177" s="81">
        <v>26338</v>
      </c>
      <c r="H177" s="81" t="s">
        <v>1010</v>
      </c>
      <c r="I177" s="81" t="s">
        <v>976</v>
      </c>
      <c r="J177" s="81" t="s">
        <v>33</v>
      </c>
      <c r="K177" s="81" t="s">
        <v>982</v>
      </c>
      <c r="L177" s="81"/>
      <c r="M177" s="81"/>
      <c r="N177" s="90">
        <v>44721</v>
      </c>
      <c r="O177" s="90">
        <v>44739</v>
      </c>
      <c r="P177" s="90">
        <v>44721</v>
      </c>
      <c r="Q177" s="90" t="s">
        <v>35</v>
      </c>
      <c r="R177" s="81">
        <v>0</v>
      </c>
      <c r="S177" s="90" t="s">
        <v>35</v>
      </c>
      <c r="T177" s="81">
        <v>0</v>
      </c>
      <c r="U177" s="81" t="s">
        <v>36</v>
      </c>
      <c r="V177" s="90" t="s">
        <v>35</v>
      </c>
      <c r="W177" s="81" t="s">
        <v>1429</v>
      </c>
      <c r="X177" s="90">
        <v>44721</v>
      </c>
      <c r="Y177" s="81" t="s">
        <v>38</v>
      </c>
      <c r="Z177" s="81">
        <v>0</v>
      </c>
      <c r="AA177" s="81"/>
      <c r="AB177" s="81">
        <v>0</v>
      </c>
      <c r="AC177" s="81"/>
      <c r="AD177" s="81">
        <v>0</v>
      </c>
      <c r="AE177" s="81" t="s">
        <v>153</v>
      </c>
      <c r="AF177" s="81" t="s">
        <v>39</v>
      </c>
      <c r="AG177" s="83" t="s">
        <v>1475</v>
      </c>
      <c r="AH177" s="95">
        <v>117600</v>
      </c>
      <c r="AI177" s="82" t="str">
        <f>CONCATENATE((TEXT(Tabela1[[#This Row],[Data entrega]],"mmmm")),"_",(YEAR(Tabela1[[#This Row],[Data entrega]])))</f>
        <v>junho_2022</v>
      </c>
      <c r="AJ177" s="77">
        <f>IFERROR(IF(Tabela1[[#This Row],[Programa]]="",Tabela1[[#This Row],[Peso bruto]],VLOOKUP(Tabela1[[#This Row],[Pedido]],'Saldo a Produzir'!$A:$D,4,0)),"")</f>
        <v>0</v>
      </c>
      <c r="AM177" s="73">
        <v>16847.440999999999</v>
      </c>
    </row>
    <row r="178" spans="1:39" ht="14.5" x14ac:dyDescent="0.35">
      <c r="A178" s="81">
        <v>15057</v>
      </c>
      <c r="B178" s="81" t="s">
        <v>60</v>
      </c>
      <c r="C178" s="81">
        <v>1554846000136</v>
      </c>
      <c r="D178" s="81" t="s">
        <v>998</v>
      </c>
      <c r="E178" s="81" t="s">
        <v>170</v>
      </c>
      <c r="F178" s="81" t="s">
        <v>58</v>
      </c>
      <c r="G178" s="81">
        <v>25941</v>
      </c>
      <c r="H178" s="81"/>
      <c r="I178" s="81" t="s">
        <v>976</v>
      </c>
      <c r="J178" s="81" t="s">
        <v>33</v>
      </c>
      <c r="K178" s="81" t="s">
        <v>999</v>
      </c>
      <c r="L178" s="81"/>
      <c r="M178" s="81"/>
      <c r="N178" s="90">
        <v>44670</v>
      </c>
      <c r="O178" s="90">
        <v>44739</v>
      </c>
      <c r="P178" s="90">
        <v>44676</v>
      </c>
      <c r="Q178" s="90" t="s">
        <v>35</v>
      </c>
      <c r="R178" s="81">
        <v>0</v>
      </c>
      <c r="S178" s="90" t="s">
        <v>35</v>
      </c>
      <c r="T178" s="81">
        <v>0</v>
      </c>
      <c r="U178" s="81" t="s">
        <v>36</v>
      </c>
      <c r="V178" s="90" t="s">
        <v>35</v>
      </c>
      <c r="W178" s="81" t="s">
        <v>1000</v>
      </c>
      <c r="X178" s="90">
        <v>44676</v>
      </c>
      <c r="Y178" s="81" t="s">
        <v>38</v>
      </c>
      <c r="Z178" s="81">
        <v>0</v>
      </c>
      <c r="AA178" s="81"/>
      <c r="AB178" s="81">
        <v>0</v>
      </c>
      <c r="AC178" s="81"/>
      <c r="AD178" s="81">
        <v>0</v>
      </c>
      <c r="AE178" s="81" t="s">
        <v>153</v>
      </c>
      <c r="AF178" s="81" t="s">
        <v>39</v>
      </c>
      <c r="AG178" s="83">
        <v>0</v>
      </c>
      <c r="AH178" s="95">
        <v>19950</v>
      </c>
      <c r="AI178" s="82" t="str">
        <f>CONCATENATE((TEXT(Tabela1[[#This Row],[Data entrega]],"mmmm")),"_",(YEAR(Tabela1[[#This Row],[Data entrega]])))</f>
        <v>junho_2022</v>
      </c>
      <c r="AJ178" s="77" t="str">
        <f>IFERROR(IF(Tabela1[[#This Row],[Programa]]="",Tabela1[[#This Row],[Peso bruto]],VLOOKUP(Tabela1[[#This Row],[Pedido]],'Saldo a Produzir'!$A:$D,4,0)),"")</f>
        <v/>
      </c>
      <c r="AM178" s="73">
        <v>2865.0230000000001</v>
      </c>
    </row>
    <row r="179" spans="1:39" ht="14.5" x14ac:dyDescent="0.35">
      <c r="A179" s="81">
        <v>15055</v>
      </c>
      <c r="B179" s="81" t="s">
        <v>61</v>
      </c>
      <c r="C179" s="81">
        <v>11507415000253</v>
      </c>
      <c r="D179" s="81" t="s">
        <v>849</v>
      </c>
      <c r="E179" s="81" t="s">
        <v>186</v>
      </c>
      <c r="F179" s="81" t="s">
        <v>53</v>
      </c>
      <c r="G179" s="81">
        <v>24850</v>
      </c>
      <c r="H179" s="81" t="s">
        <v>124</v>
      </c>
      <c r="I179" s="81" t="s">
        <v>32</v>
      </c>
      <c r="J179" s="81" t="s">
        <v>33</v>
      </c>
      <c r="K179" s="81" t="s">
        <v>34</v>
      </c>
      <c r="L179" s="81" t="s">
        <v>344</v>
      </c>
      <c r="M179" s="81">
        <v>110720</v>
      </c>
      <c r="N179" s="90">
        <v>44505</v>
      </c>
      <c r="O179" s="90">
        <v>44740</v>
      </c>
      <c r="P179" s="90">
        <v>44536</v>
      </c>
      <c r="Q179" s="90" t="s">
        <v>35</v>
      </c>
      <c r="R179" s="81">
        <v>0</v>
      </c>
      <c r="S179" s="90" t="s">
        <v>35</v>
      </c>
      <c r="T179" s="81">
        <v>0</v>
      </c>
      <c r="U179" s="81" t="s">
        <v>36</v>
      </c>
      <c r="V179" s="90" t="s">
        <v>35</v>
      </c>
      <c r="W179" s="81" t="s">
        <v>489</v>
      </c>
      <c r="X179" s="90">
        <v>44596</v>
      </c>
      <c r="Y179" s="81" t="s">
        <v>38</v>
      </c>
      <c r="Z179" s="81">
        <v>0</v>
      </c>
      <c r="AA179" s="81"/>
      <c r="AB179" s="81">
        <v>0</v>
      </c>
      <c r="AC179" s="81"/>
      <c r="AD179" s="81">
        <v>0</v>
      </c>
      <c r="AE179" s="81" t="s">
        <v>153</v>
      </c>
      <c r="AF179" s="81" t="s">
        <v>39</v>
      </c>
      <c r="AG179" s="83">
        <v>85.47</v>
      </c>
      <c r="AH179" s="95">
        <v>880000.2</v>
      </c>
      <c r="AI179" s="82" t="str">
        <f>CONCATENATE((TEXT(Tabela1[[#This Row],[Data entrega]],"mmmm")),"_",(YEAR(Tabela1[[#This Row],[Data entrega]])))</f>
        <v>junho_2022</v>
      </c>
      <c r="AJ179" s="77">
        <f>IFERROR(IF(Tabela1[[#This Row],[Programa]]="",Tabela1[[#This Row],[Peso bruto]],VLOOKUP(Tabela1[[#This Row],[Pedido]],'Saldo a Produzir'!$A:$D,4,0)),"")</f>
        <v>85.47</v>
      </c>
      <c r="AM179" s="73">
        <v>21861.187000000002</v>
      </c>
    </row>
    <row r="180" spans="1:39" ht="14.5" x14ac:dyDescent="0.35">
      <c r="A180" s="81">
        <v>15063</v>
      </c>
      <c r="B180" s="81" t="s">
        <v>71</v>
      </c>
      <c r="C180" s="81">
        <v>12892415001097</v>
      </c>
      <c r="D180" s="81" t="s">
        <v>242</v>
      </c>
      <c r="E180" s="81" t="s">
        <v>176</v>
      </c>
      <c r="F180" s="81" t="s">
        <v>54</v>
      </c>
      <c r="G180" s="81">
        <v>23923</v>
      </c>
      <c r="H180" s="81" t="s">
        <v>92</v>
      </c>
      <c r="I180" s="81" t="s">
        <v>32</v>
      </c>
      <c r="J180" s="81" t="s">
        <v>33</v>
      </c>
      <c r="K180" s="81" t="s">
        <v>34</v>
      </c>
      <c r="L180" s="81" t="s">
        <v>243</v>
      </c>
      <c r="M180" s="81">
        <v>21</v>
      </c>
      <c r="N180" s="90">
        <v>44354</v>
      </c>
      <c r="O180" s="90">
        <v>44741</v>
      </c>
      <c r="P180" s="90">
        <v>44386</v>
      </c>
      <c r="Q180" s="90" t="s">
        <v>35</v>
      </c>
      <c r="R180" s="81">
        <v>0</v>
      </c>
      <c r="S180" s="90" t="s">
        <v>35</v>
      </c>
      <c r="T180" s="81">
        <v>0</v>
      </c>
      <c r="U180" s="81" t="s">
        <v>36</v>
      </c>
      <c r="V180" s="90" t="s">
        <v>35</v>
      </c>
      <c r="W180" s="81" t="s">
        <v>319</v>
      </c>
      <c r="X180" s="90">
        <v>44461</v>
      </c>
      <c r="Y180" s="81" t="s">
        <v>38</v>
      </c>
      <c r="Z180" s="81">
        <v>2257</v>
      </c>
      <c r="AA180" s="81" t="s">
        <v>155</v>
      </c>
      <c r="AB180" s="81">
        <v>0</v>
      </c>
      <c r="AC180" s="81"/>
      <c r="AD180" s="81">
        <v>0</v>
      </c>
      <c r="AE180" s="81" t="s">
        <v>153</v>
      </c>
      <c r="AF180" s="81" t="s">
        <v>39</v>
      </c>
      <c r="AG180" s="83">
        <v>49.5</v>
      </c>
      <c r="AH180" s="95">
        <v>28207.9</v>
      </c>
      <c r="AI180" s="82" t="str">
        <f>CONCATENATE((TEXT(Tabela1[[#This Row],[Data entrega]],"mmmm")),"_",(YEAR(Tabela1[[#This Row],[Data entrega]])))</f>
        <v>junho_2022</v>
      </c>
      <c r="AJ180" s="77">
        <f>IFERROR(IF(Tabela1[[#This Row],[Programa]]="",Tabela1[[#This Row],[Peso bruto]],VLOOKUP(Tabela1[[#This Row],[Pedido]],'Saldo a Produzir'!$A:$D,4,0)),"")</f>
        <v>49.5</v>
      </c>
      <c r="AM180" s="73">
        <v>888.65800000000002</v>
      </c>
    </row>
    <row r="181" spans="1:39" ht="14.5" x14ac:dyDescent="0.35">
      <c r="A181" s="81">
        <v>15057</v>
      </c>
      <c r="B181" s="81" t="s">
        <v>60</v>
      </c>
      <c r="C181" s="81">
        <v>3853896000220</v>
      </c>
      <c r="D181" s="81" t="s">
        <v>320</v>
      </c>
      <c r="E181" s="81" t="s">
        <v>323</v>
      </c>
      <c r="F181" s="81" t="s">
        <v>136</v>
      </c>
      <c r="G181" s="81">
        <v>24515</v>
      </c>
      <c r="H181" s="81" t="s">
        <v>90</v>
      </c>
      <c r="I181" s="81" t="s">
        <v>32</v>
      </c>
      <c r="J181" s="81" t="s">
        <v>156</v>
      </c>
      <c r="K181" s="81" t="s">
        <v>34</v>
      </c>
      <c r="L181" s="81" t="s">
        <v>324</v>
      </c>
      <c r="M181" s="81">
        <v>170937</v>
      </c>
      <c r="N181" s="90">
        <v>44462</v>
      </c>
      <c r="O181" s="90">
        <v>44741</v>
      </c>
      <c r="P181" s="90">
        <v>44719</v>
      </c>
      <c r="Q181" s="90">
        <v>44644</v>
      </c>
      <c r="R181" s="81">
        <v>5982</v>
      </c>
      <c r="S181" s="90">
        <v>44702</v>
      </c>
      <c r="T181" s="81">
        <v>6829</v>
      </c>
      <c r="U181" s="81" t="s">
        <v>36</v>
      </c>
      <c r="V181" s="90" t="s">
        <v>35</v>
      </c>
      <c r="W181" s="81" t="s">
        <v>386</v>
      </c>
      <c r="X181" s="90">
        <v>44516</v>
      </c>
      <c r="Y181" s="81" t="s">
        <v>38</v>
      </c>
      <c r="Z181" s="81">
        <v>0</v>
      </c>
      <c r="AA181" s="81"/>
      <c r="AB181" s="81">
        <v>0</v>
      </c>
      <c r="AC181" s="81"/>
      <c r="AD181" s="81">
        <v>0</v>
      </c>
      <c r="AE181" s="81" t="s">
        <v>153</v>
      </c>
      <c r="AF181" s="81" t="s">
        <v>39</v>
      </c>
      <c r="AG181" s="83">
        <v>178.54</v>
      </c>
      <c r="AH181" s="95">
        <v>24306.91</v>
      </c>
      <c r="AI181" s="82" t="str">
        <f>CONCATENATE((TEXT(Tabela1[[#This Row],[Data entrega]],"mmmm")),"_",(YEAR(Tabela1[[#This Row],[Data entrega]])))</f>
        <v>junho_2022</v>
      </c>
      <c r="AJ181" s="77">
        <f>IFERROR(IF(Tabela1[[#This Row],[Programa]]="",Tabela1[[#This Row],[Peso bruto]],VLOOKUP(Tabela1[[#This Row],[Pedido]],'Saldo a Produzir'!$A:$D,4,0)),"")</f>
        <v>257.57</v>
      </c>
      <c r="AM181" s="73">
        <v>168.40199999999999</v>
      </c>
    </row>
    <row r="182" spans="1:39" ht="14.5" x14ac:dyDescent="0.35">
      <c r="A182" s="81">
        <v>15066</v>
      </c>
      <c r="B182" s="81" t="s">
        <v>72</v>
      </c>
      <c r="C182" s="81">
        <v>64858525010299</v>
      </c>
      <c r="D182" s="81" t="s">
        <v>281</v>
      </c>
      <c r="E182" s="81" t="s">
        <v>657</v>
      </c>
      <c r="F182" s="81" t="s">
        <v>56</v>
      </c>
      <c r="G182" s="81">
        <v>26047</v>
      </c>
      <c r="H182" s="81" t="s">
        <v>1008</v>
      </c>
      <c r="I182" s="81" t="s">
        <v>976</v>
      </c>
      <c r="J182" s="81" t="s">
        <v>33</v>
      </c>
      <c r="K182" s="81" t="s">
        <v>986</v>
      </c>
      <c r="L182" s="81"/>
      <c r="M182" s="81">
        <v>64858525010299</v>
      </c>
      <c r="N182" s="90">
        <v>44684</v>
      </c>
      <c r="O182" s="90">
        <v>44741</v>
      </c>
      <c r="P182" s="90">
        <v>44685</v>
      </c>
      <c r="Q182" s="90" t="s">
        <v>35</v>
      </c>
      <c r="R182" s="81">
        <v>0</v>
      </c>
      <c r="S182" s="90" t="s">
        <v>35</v>
      </c>
      <c r="T182" s="81">
        <v>0</v>
      </c>
      <c r="U182" s="81" t="s">
        <v>36</v>
      </c>
      <c r="V182" s="90" t="s">
        <v>35</v>
      </c>
      <c r="W182" s="81" t="s">
        <v>1007</v>
      </c>
      <c r="X182" s="90">
        <v>44685</v>
      </c>
      <c r="Y182" s="81" t="s">
        <v>38</v>
      </c>
      <c r="Z182" s="81">
        <v>0</v>
      </c>
      <c r="AA182" s="81"/>
      <c r="AB182" s="81">
        <v>0</v>
      </c>
      <c r="AC182" s="81"/>
      <c r="AD182" s="81">
        <v>0</v>
      </c>
      <c r="AE182" s="81" t="s">
        <v>153</v>
      </c>
      <c r="AF182" s="81" t="s">
        <v>39</v>
      </c>
      <c r="AG182" s="83">
        <v>3690.3900000000003</v>
      </c>
      <c r="AH182" s="95">
        <v>150006.76</v>
      </c>
      <c r="AI182" s="82" t="str">
        <f>CONCATENATE((TEXT(Tabela1[[#This Row],[Data entrega]],"mmmm")),"_",(YEAR(Tabela1[[#This Row],[Data entrega]])))</f>
        <v>junho_2022</v>
      </c>
      <c r="AJ182" s="77">
        <f>IFERROR(IF(Tabela1[[#This Row],[Programa]]="",Tabela1[[#This Row],[Peso bruto]],VLOOKUP(Tabela1[[#This Row],[Pedido]],'Saldo a Produzir'!$A:$D,4,0)),"")</f>
        <v>1427.25</v>
      </c>
      <c r="AM182" s="73">
        <v>20366.883000000002</v>
      </c>
    </row>
    <row r="183" spans="1:39" ht="14.5" x14ac:dyDescent="0.35">
      <c r="A183" s="81">
        <v>15077</v>
      </c>
      <c r="B183" s="81" t="s">
        <v>298</v>
      </c>
      <c r="C183" s="81">
        <v>66573759000171</v>
      </c>
      <c r="D183" s="81" t="s">
        <v>582</v>
      </c>
      <c r="E183" s="81" t="s">
        <v>79</v>
      </c>
      <c r="F183" s="81" t="s">
        <v>44</v>
      </c>
      <c r="G183" s="81">
        <v>25669</v>
      </c>
      <c r="H183" s="81" t="s">
        <v>87</v>
      </c>
      <c r="I183" s="81" t="s">
        <v>32</v>
      </c>
      <c r="J183" s="81" t="s">
        <v>33</v>
      </c>
      <c r="K183" s="81" t="s">
        <v>34</v>
      </c>
      <c r="L183" s="81" t="s">
        <v>583</v>
      </c>
      <c r="M183" s="81"/>
      <c r="N183" s="90">
        <v>44638</v>
      </c>
      <c r="O183" s="90">
        <v>44742</v>
      </c>
      <c r="P183" s="90">
        <v>44662</v>
      </c>
      <c r="Q183" s="90" t="s">
        <v>35</v>
      </c>
      <c r="R183" s="81">
        <v>0</v>
      </c>
      <c r="S183" s="90" t="s">
        <v>35</v>
      </c>
      <c r="T183" s="81">
        <v>0</v>
      </c>
      <c r="U183" s="81" t="s">
        <v>36</v>
      </c>
      <c r="V183" s="90" t="s">
        <v>35</v>
      </c>
      <c r="W183" s="81" t="s">
        <v>760</v>
      </c>
      <c r="X183" s="90">
        <v>44664</v>
      </c>
      <c r="Y183" s="81" t="s">
        <v>38</v>
      </c>
      <c r="Z183" s="81">
        <v>0</v>
      </c>
      <c r="AA183" s="81"/>
      <c r="AB183" s="81">
        <v>0</v>
      </c>
      <c r="AC183" s="81"/>
      <c r="AD183" s="81">
        <v>0</v>
      </c>
      <c r="AE183" s="81" t="s">
        <v>153</v>
      </c>
      <c r="AF183" s="81" t="s">
        <v>39</v>
      </c>
      <c r="AG183" s="83">
        <v>16630.39</v>
      </c>
      <c r="AH183" s="95">
        <v>485990.53</v>
      </c>
      <c r="AI183" s="82" t="str">
        <f>CONCATENATE((TEXT(Tabela1[[#This Row],[Data entrega]],"mmmm")),"_",(YEAR(Tabela1[[#This Row],[Data entrega]])))</f>
        <v>junho_2022</v>
      </c>
      <c r="AJ183" s="77">
        <f>IFERROR(IF(Tabela1[[#This Row],[Programa]]="",Tabela1[[#This Row],[Peso bruto]],VLOOKUP(Tabela1[[#This Row],[Pedido]],'Saldo a Produzir'!$A:$D,4,0)),"")</f>
        <v>16630.39</v>
      </c>
      <c r="AM183" s="73">
        <v>28172.162</v>
      </c>
    </row>
    <row r="184" spans="1:39" ht="14.5" x14ac:dyDescent="0.35">
      <c r="A184" s="81">
        <v>15077</v>
      </c>
      <c r="B184" s="81" t="s">
        <v>298</v>
      </c>
      <c r="C184" s="81">
        <v>66573759000171</v>
      </c>
      <c r="D184" s="81" t="s">
        <v>582</v>
      </c>
      <c r="E184" s="81" t="s">
        <v>79</v>
      </c>
      <c r="F184" s="81" t="s">
        <v>44</v>
      </c>
      <c r="G184" s="81">
        <v>25671</v>
      </c>
      <c r="H184" s="81" t="s">
        <v>87</v>
      </c>
      <c r="I184" s="81" t="s">
        <v>32</v>
      </c>
      <c r="J184" s="81" t="s">
        <v>33</v>
      </c>
      <c r="K184" s="81" t="s">
        <v>34</v>
      </c>
      <c r="L184" s="81" t="s">
        <v>584</v>
      </c>
      <c r="M184" s="81"/>
      <c r="N184" s="90">
        <v>44638</v>
      </c>
      <c r="O184" s="90">
        <v>44742</v>
      </c>
      <c r="P184" s="90">
        <v>44662</v>
      </c>
      <c r="Q184" s="90" t="s">
        <v>35</v>
      </c>
      <c r="R184" s="81">
        <v>0</v>
      </c>
      <c r="S184" s="90" t="s">
        <v>35</v>
      </c>
      <c r="T184" s="81">
        <v>0</v>
      </c>
      <c r="U184" s="81" t="s">
        <v>36</v>
      </c>
      <c r="V184" s="90" t="s">
        <v>35</v>
      </c>
      <c r="W184" s="81" t="s">
        <v>760</v>
      </c>
      <c r="X184" s="90">
        <v>44664</v>
      </c>
      <c r="Y184" s="81" t="s">
        <v>38</v>
      </c>
      <c r="Z184" s="81">
        <v>0</v>
      </c>
      <c r="AA184" s="81"/>
      <c r="AB184" s="81">
        <v>0</v>
      </c>
      <c r="AC184" s="81"/>
      <c r="AD184" s="81">
        <v>0</v>
      </c>
      <c r="AE184" s="81" t="s">
        <v>153</v>
      </c>
      <c r="AF184" s="81" t="s">
        <v>39</v>
      </c>
      <c r="AG184" s="83">
        <v>107940.95000000001</v>
      </c>
      <c r="AH184" s="95">
        <v>1846884.25</v>
      </c>
      <c r="AI184" s="82" t="str">
        <f>CONCATENATE((TEXT(Tabela1[[#This Row],[Data entrega]],"mmmm")),"_",(YEAR(Tabela1[[#This Row],[Data entrega]])))</f>
        <v>junho_2022</v>
      </c>
      <c r="AJ184" s="77">
        <f>IFERROR(IF(Tabela1[[#This Row],[Programa]]="",Tabela1[[#This Row],[Peso bruto]],VLOOKUP(Tabela1[[#This Row],[Pedido]],'Saldo a Produzir'!$A:$D,4,0)),"")</f>
        <v>107243.15000000001</v>
      </c>
      <c r="AM184" s="73">
        <v>110812.367</v>
      </c>
    </row>
    <row r="185" spans="1:39" ht="14.5" x14ac:dyDescent="0.35">
      <c r="A185" s="81">
        <v>15077</v>
      </c>
      <c r="B185" s="81" t="s">
        <v>298</v>
      </c>
      <c r="C185" s="81">
        <v>66573759000171</v>
      </c>
      <c r="D185" s="81" t="s">
        <v>582</v>
      </c>
      <c r="E185" s="81" t="s">
        <v>79</v>
      </c>
      <c r="F185" s="81" t="s">
        <v>44</v>
      </c>
      <c r="G185" s="81">
        <v>25672</v>
      </c>
      <c r="H185" s="81" t="s">
        <v>87</v>
      </c>
      <c r="I185" s="81" t="s">
        <v>32</v>
      </c>
      <c r="J185" s="81" t="s">
        <v>33</v>
      </c>
      <c r="K185" s="81" t="s">
        <v>34</v>
      </c>
      <c r="L185" s="81" t="s">
        <v>584</v>
      </c>
      <c r="M185" s="81"/>
      <c r="N185" s="90">
        <v>44638</v>
      </c>
      <c r="O185" s="90">
        <v>44742</v>
      </c>
      <c r="P185" s="90">
        <v>44662</v>
      </c>
      <c r="Q185" s="90" t="s">
        <v>35</v>
      </c>
      <c r="R185" s="81">
        <v>0</v>
      </c>
      <c r="S185" s="90" t="s">
        <v>35</v>
      </c>
      <c r="T185" s="81">
        <v>0</v>
      </c>
      <c r="U185" s="81" t="s">
        <v>36</v>
      </c>
      <c r="V185" s="90" t="s">
        <v>35</v>
      </c>
      <c r="W185" s="81" t="s">
        <v>760</v>
      </c>
      <c r="X185" s="90">
        <v>44664</v>
      </c>
      <c r="Y185" s="81" t="s">
        <v>38</v>
      </c>
      <c r="Z185" s="81">
        <v>0</v>
      </c>
      <c r="AA185" s="81"/>
      <c r="AB185" s="81">
        <v>0</v>
      </c>
      <c r="AC185" s="81"/>
      <c r="AD185" s="81">
        <v>0</v>
      </c>
      <c r="AE185" s="81" t="s">
        <v>153</v>
      </c>
      <c r="AF185" s="81" t="s">
        <v>39</v>
      </c>
      <c r="AG185" s="83">
        <v>108270.48</v>
      </c>
      <c r="AH185" s="95">
        <v>1846884.25</v>
      </c>
      <c r="AI185" s="82" t="str">
        <f>CONCATENATE((TEXT(Tabela1[[#This Row],[Data entrega]],"mmmm")),"_",(YEAR(Tabela1[[#This Row],[Data entrega]])))</f>
        <v>junho_2022</v>
      </c>
      <c r="AJ185" s="77">
        <f>IFERROR(IF(Tabela1[[#This Row],[Programa]]="",Tabela1[[#This Row],[Peso bruto]],VLOOKUP(Tabela1[[#This Row],[Pedido]],'Saldo a Produzir'!$A:$D,4,0)),"")</f>
        <v>102919.61</v>
      </c>
      <c r="AM185" s="73">
        <v>110812.367</v>
      </c>
    </row>
    <row r="186" spans="1:39" ht="14.5" x14ac:dyDescent="0.35">
      <c r="A186" s="81">
        <v>15051</v>
      </c>
      <c r="B186" s="81" t="s">
        <v>40</v>
      </c>
      <c r="C186" s="81">
        <v>2473058000188</v>
      </c>
      <c r="D186" s="81" t="s">
        <v>712</v>
      </c>
      <c r="E186" s="81" t="s">
        <v>713</v>
      </c>
      <c r="F186" s="81" t="s">
        <v>42</v>
      </c>
      <c r="G186" s="81">
        <v>25825</v>
      </c>
      <c r="H186" s="81" t="s">
        <v>88</v>
      </c>
      <c r="I186" s="81" t="s">
        <v>32</v>
      </c>
      <c r="J186" s="81" t="s">
        <v>33</v>
      </c>
      <c r="K186" s="81" t="s">
        <v>34</v>
      </c>
      <c r="L186" s="81" t="s">
        <v>714</v>
      </c>
      <c r="M186" s="81"/>
      <c r="N186" s="90">
        <v>44651</v>
      </c>
      <c r="O186" s="90">
        <v>44742</v>
      </c>
      <c r="P186" s="90">
        <v>44657</v>
      </c>
      <c r="Q186" s="90" t="s">
        <v>35</v>
      </c>
      <c r="R186" s="81">
        <v>0</v>
      </c>
      <c r="S186" s="90" t="s">
        <v>35</v>
      </c>
      <c r="T186" s="81">
        <v>0</v>
      </c>
      <c r="U186" s="81" t="s">
        <v>36</v>
      </c>
      <c r="V186" s="90" t="s">
        <v>35</v>
      </c>
      <c r="W186" s="81" t="s">
        <v>745</v>
      </c>
      <c r="X186" s="90">
        <v>44659</v>
      </c>
      <c r="Y186" s="81" t="s">
        <v>38</v>
      </c>
      <c r="Z186" s="81">
        <v>0</v>
      </c>
      <c r="AA186" s="81"/>
      <c r="AB186" s="81">
        <v>0</v>
      </c>
      <c r="AC186" s="81"/>
      <c r="AD186" s="81">
        <v>0</v>
      </c>
      <c r="AE186" s="81" t="s">
        <v>153</v>
      </c>
      <c r="AF186" s="81" t="s">
        <v>39</v>
      </c>
      <c r="AG186" s="83">
        <v>7749.7599999999993</v>
      </c>
      <c r="AH186" s="95">
        <v>356212.5</v>
      </c>
      <c r="AI186" s="82" t="str">
        <f>CONCATENATE((TEXT(Tabela1[[#This Row],[Data entrega]],"mmmm")),"_",(YEAR(Tabela1[[#This Row],[Data entrega]])))</f>
        <v>junho_2022</v>
      </c>
      <c r="AJ186" s="77" t="str">
        <f>IFERROR(IF(Tabela1[[#This Row],[Programa]]="",Tabela1[[#This Row],[Peso bruto]],VLOOKUP(Tabela1[[#This Row],[Pedido]],'Saldo a Produzir'!$A:$D,4,0)),"")</f>
        <v/>
      </c>
      <c r="AM186" s="73">
        <v>20012.763999999999</v>
      </c>
    </row>
    <row r="187" spans="1:39" ht="14.5" x14ac:dyDescent="0.35">
      <c r="A187" s="81">
        <v>15909</v>
      </c>
      <c r="B187" s="81" t="s">
        <v>223</v>
      </c>
      <c r="C187" s="81">
        <v>92754738047983</v>
      </c>
      <c r="D187" s="81" t="s">
        <v>80</v>
      </c>
      <c r="E187" s="81" t="s">
        <v>177</v>
      </c>
      <c r="F187" s="81" t="s">
        <v>44</v>
      </c>
      <c r="G187" s="81">
        <v>26135</v>
      </c>
      <c r="H187" s="81" t="s">
        <v>1010</v>
      </c>
      <c r="I187" s="81" t="s">
        <v>976</v>
      </c>
      <c r="J187" s="81" t="s">
        <v>156</v>
      </c>
      <c r="K187" s="81" t="s">
        <v>34</v>
      </c>
      <c r="L187" s="81"/>
      <c r="M187" s="81"/>
      <c r="N187" s="90">
        <v>44697</v>
      </c>
      <c r="O187" s="90">
        <v>44742</v>
      </c>
      <c r="P187" s="90">
        <v>44704</v>
      </c>
      <c r="Q187" s="90">
        <v>44708</v>
      </c>
      <c r="R187" s="81">
        <v>6906</v>
      </c>
      <c r="S187" s="90">
        <v>44715</v>
      </c>
      <c r="T187" s="81">
        <v>7062</v>
      </c>
      <c r="U187" s="81" t="s">
        <v>36</v>
      </c>
      <c r="V187" s="90" t="s">
        <v>35</v>
      </c>
      <c r="W187" s="81" t="s">
        <v>1079</v>
      </c>
      <c r="X187" s="90">
        <v>44704</v>
      </c>
      <c r="Y187" s="81" t="s">
        <v>38</v>
      </c>
      <c r="Z187" s="81">
        <v>0</v>
      </c>
      <c r="AA187" s="81"/>
      <c r="AB187" s="81">
        <v>0</v>
      </c>
      <c r="AC187" s="81"/>
      <c r="AD187" s="81">
        <v>0</v>
      </c>
      <c r="AE187" s="81"/>
      <c r="AF187" s="81" t="s">
        <v>39</v>
      </c>
      <c r="AG187" s="83">
        <v>0</v>
      </c>
      <c r="AH187" s="95">
        <v>3553567.2</v>
      </c>
      <c r="AI187" s="82" t="str">
        <f>CONCATENATE((TEXT(Tabela1[[#This Row],[Data entrega]],"mmmm")),"_",(YEAR(Tabela1[[#This Row],[Data entrega]])))</f>
        <v>junho_2022</v>
      </c>
      <c r="AJ187" s="77">
        <f>IFERROR(IF(Tabela1[[#This Row],[Programa]]="",Tabela1[[#This Row],[Peso bruto]],VLOOKUP(Tabela1[[#This Row],[Pedido]],'Saldo a Produzir'!$A:$D,4,0)),"")</f>
        <v>0</v>
      </c>
      <c r="AM187" s="73">
        <v>49370.38</v>
      </c>
    </row>
    <row r="188" spans="1:39" ht="14.5" x14ac:dyDescent="0.35">
      <c r="A188" s="81">
        <v>15073</v>
      </c>
      <c r="B188" s="81" t="s">
        <v>172</v>
      </c>
      <c r="C188" s="81">
        <v>7471771000106</v>
      </c>
      <c r="D188" s="81" t="s">
        <v>1019</v>
      </c>
      <c r="E188" s="81" t="s">
        <v>105</v>
      </c>
      <c r="F188" s="81" t="s">
        <v>44</v>
      </c>
      <c r="G188" s="81">
        <v>26146</v>
      </c>
      <c r="H188" s="81" t="s">
        <v>87</v>
      </c>
      <c r="I188" s="81" t="s">
        <v>32</v>
      </c>
      <c r="J188" s="81" t="s">
        <v>33</v>
      </c>
      <c r="K188" s="81" t="s">
        <v>34</v>
      </c>
      <c r="L188" s="81" t="s">
        <v>1020</v>
      </c>
      <c r="M188" s="81"/>
      <c r="N188" s="90">
        <v>44698</v>
      </c>
      <c r="O188" s="90">
        <v>44742</v>
      </c>
      <c r="P188" s="90">
        <v>44713</v>
      </c>
      <c r="Q188" s="90" t="s">
        <v>35</v>
      </c>
      <c r="R188" s="81">
        <v>0</v>
      </c>
      <c r="S188" s="90" t="s">
        <v>35</v>
      </c>
      <c r="T188" s="81">
        <v>0</v>
      </c>
      <c r="U188" s="81" t="s">
        <v>36</v>
      </c>
      <c r="V188" s="90" t="s">
        <v>35</v>
      </c>
      <c r="W188" s="81" t="s">
        <v>1087</v>
      </c>
      <c r="X188" s="90">
        <v>44705</v>
      </c>
      <c r="Y188" s="81" t="s">
        <v>38</v>
      </c>
      <c r="Z188" s="81">
        <v>3012</v>
      </c>
      <c r="AA188" s="81" t="s">
        <v>841</v>
      </c>
      <c r="AB188" s="81">
        <v>0</v>
      </c>
      <c r="AC188" s="81"/>
      <c r="AD188" s="81">
        <v>0</v>
      </c>
      <c r="AE188" s="81" t="s">
        <v>153</v>
      </c>
      <c r="AF188" s="81" t="s">
        <v>39</v>
      </c>
      <c r="AG188" s="83">
        <v>90121.66</v>
      </c>
      <c r="AH188" s="95">
        <v>1700000</v>
      </c>
      <c r="AI188" s="82" t="str">
        <f>CONCATENATE((TEXT(Tabela1[[#This Row],[Data entrega]],"mmmm")),"_",(YEAR(Tabela1[[#This Row],[Data entrega]])))</f>
        <v>junho_2022</v>
      </c>
      <c r="AJ188" s="77">
        <f>IFERROR(IF(Tabela1[[#This Row],[Programa]]="",Tabela1[[#This Row],[Peso bruto]],VLOOKUP(Tabela1[[#This Row],[Pedido]],'Saldo a Produzir'!$A:$D,4,0)),"")</f>
        <v>51265.87</v>
      </c>
      <c r="AM188" s="73">
        <v>92495.14</v>
      </c>
    </row>
    <row r="189" spans="1:39" ht="14.5" x14ac:dyDescent="0.35">
      <c r="A189" s="81">
        <v>15077</v>
      </c>
      <c r="B189" s="81" t="s">
        <v>298</v>
      </c>
      <c r="C189" s="81">
        <v>13223553000155</v>
      </c>
      <c r="D189" s="81" t="s">
        <v>857</v>
      </c>
      <c r="E189" s="81" t="s">
        <v>343</v>
      </c>
      <c r="F189" s="81" t="s">
        <v>44</v>
      </c>
      <c r="G189" s="81">
        <v>26023</v>
      </c>
      <c r="H189" s="81" t="s">
        <v>87</v>
      </c>
      <c r="I189" s="81" t="s">
        <v>32</v>
      </c>
      <c r="J189" s="81" t="s">
        <v>33</v>
      </c>
      <c r="K189" s="81" t="s">
        <v>34</v>
      </c>
      <c r="L189" s="81" t="s">
        <v>858</v>
      </c>
      <c r="M189" s="81"/>
      <c r="N189" s="90">
        <v>44680</v>
      </c>
      <c r="O189" s="90">
        <v>44742</v>
      </c>
      <c r="P189" s="90">
        <v>44684</v>
      </c>
      <c r="Q189" s="90" t="s">
        <v>35</v>
      </c>
      <c r="R189" s="81">
        <v>0</v>
      </c>
      <c r="S189" s="90" t="s">
        <v>35</v>
      </c>
      <c r="T189" s="81">
        <v>0</v>
      </c>
      <c r="U189" s="81" t="s">
        <v>36</v>
      </c>
      <c r="V189" s="90" t="s">
        <v>35</v>
      </c>
      <c r="W189" s="81" t="s">
        <v>875</v>
      </c>
      <c r="X189" s="90">
        <v>44684</v>
      </c>
      <c r="Y189" s="81" t="s">
        <v>38</v>
      </c>
      <c r="Z189" s="81">
        <v>2257</v>
      </c>
      <c r="AA189" s="81" t="s">
        <v>155</v>
      </c>
      <c r="AB189" s="81">
        <v>0</v>
      </c>
      <c r="AC189" s="81"/>
      <c r="AD189" s="81">
        <v>0</v>
      </c>
      <c r="AE189" s="81" t="s">
        <v>153</v>
      </c>
      <c r="AF189" s="81" t="s">
        <v>39</v>
      </c>
      <c r="AG189" s="83">
        <v>7377.58</v>
      </c>
      <c r="AH189" s="95">
        <v>340725</v>
      </c>
      <c r="AI189" s="82" t="str">
        <f>CONCATENATE((TEXT(Tabela1[[#This Row],[Data entrega]],"mmmm")),"_",(YEAR(Tabela1[[#This Row],[Data entrega]])))</f>
        <v>junho_2022</v>
      </c>
      <c r="AJ189" s="77">
        <f>IFERROR(IF(Tabela1[[#This Row],[Programa]]="",Tabela1[[#This Row],[Peso bruto]],VLOOKUP(Tabela1[[#This Row],[Pedido]],'Saldo a Produzir'!$A:$D,4,0)),"")</f>
        <v>7184.13</v>
      </c>
      <c r="AM189" s="73">
        <v>15174.805</v>
      </c>
    </row>
    <row r="190" spans="1:39" ht="14.5" x14ac:dyDescent="0.35">
      <c r="A190" s="81">
        <v>15077</v>
      </c>
      <c r="B190" s="81" t="s">
        <v>298</v>
      </c>
      <c r="C190" s="81">
        <v>13223553000155</v>
      </c>
      <c r="D190" s="81" t="s">
        <v>857</v>
      </c>
      <c r="E190" s="81" t="s">
        <v>343</v>
      </c>
      <c r="F190" s="81" t="s">
        <v>44</v>
      </c>
      <c r="G190" s="81">
        <v>26125</v>
      </c>
      <c r="H190" s="81" t="s">
        <v>87</v>
      </c>
      <c r="I190" s="81" t="s">
        <v>32</v>
      </c>
      <c r="J190" s="81" t="s">
        <v>33</v>
      </c>
      <c r="K190" s="81" t="s">
        <v>34</v>
      </c>
      <c r="L190" s="81" t="s">
        <v>940</v>
      </c>
      <c r="M190" s="83"/>
      <c r="N190" s="90">
        <v>44694</v>
      </c>
      <c r="O190" s="90">
        <v>44742</v>
      </c>
      <c r="P190" s="90">
        <v>44699</v>
      </c>
      <c r="Q190" s="90" t="s">
        <v>35</v>
      </c>
      <c r="R190" s="81">
        <v>0</v>
      </c>
      <c r="S190" s="90" t="s">
        <v>35</v>
      </c>
      <c r="T190" s="81">
        <v>0</v>
      </c>
      <c r="U190" s="81" t="s">
        <v>36</v>
      </c>
      <c r="V190" s="90" t="s">
        <v>35</v>
      </c>
      <c r="W190" s="81" t="s">
        <v>1048</v>
      </c>
      <c r="X190" s="90">
        <v>44700</v>
      </c>
      <c r="Y190" s="81" t="s">
        <v>38</v>
      </c>
      <c r="Z190" s="81">
        <v>2257</v>
      </c>
      <c r="AA190" s="81" t="s">
        <v>155</v>
      </c>
      <c r="AB190" s="81">
        <v>0</v>
      </c>
      <c r="AC190" s="81"/>
      <c r="AD190" s="81">
        <v>0</v>
      </c>
      <c r="AE190" s="81" t="s">
        <v>153</v>
      </c>
      <c r="AF190" s="81" t="s">
        <v>39</v>
      </c>
      <c r="AG190" s="83">
        <v>1207.05</v>
      </c>
      <c r="AH190" s="95">
        <v>51212</v>
      </c>
      <c r="AI190" s="82" t="str">
        <f>CONCATENATE((TEXT(Tabela1[[#This Row],[Data entrega]],"mmmm")),"_",(YEAR(Tabela1[[#This Row],[Data entrega]])))</f>
        <v>junho_2022</v>
      </c>
      <c r="AJ190" s="77">
        <f>IFERROR(IF(Tabela1[[#This Row],[Programa]]="",Tabela1[[#This Row],[Peso bruto]],VLOOKUP(Tabela1[[#This Row],[Pedido]],'Saldo a Produzir'!$A:$D,4,0)),"")</f>
        <v>1180.3</v>
      </c>
      <c r="AM190" s="73">
        <v>2334.0880000000002</v>
      </c>
    </row>
    <row r="191" spans="1:39" ht="14.5" x14ac:dyDescent="0.35">
      <c r="A191" s="81">
        <v>15067</v>
      </c>
      <c r="B191" s="81" t="s">
        <v>59</v>
      </c>
      <c r="C191" s="81">
        <v>212675000366</v>
      </c>
      <c r="D191" s="81" t="s">
        <v>634</v>
      </c>
      <c r="E191" s="81" t="s">
        <v>57</v>
      </c>
      <c r="F191" s="81" t="s">
        <v>58</v>
      </c>
      <c r="G191" s="81">
        <v>25764</v>
      </c>
      <c r="H191" s="81" t="s">
        <v>88</v>
      </c>
      <c r="I191" s="81" t="s">
        <v>32</v>
      </c>
      <c r="J191" s="81" t="s">
        <v>33</v>
      </c>
      <c r="K191" s="81" t="s">
        <v>34</v>
      </c>
      <c r="L191" s="81" t="s">
        <v>635</v>
      </c>
      <c r="M191" s="81"/>
      <c r="N191" s="90">
        <v>44649</v>
      </c>
      <c r="O191" s="90">
        <v>44743</v>
      </c>
      <c r="P191" s="90">
        <v>44651</v>
      </c>
      <c r="Q191" s="90" t="s">
        <v>35</v>
      </c>
      <c r="R191" s="81">
        <v>0</v>
      </c>
      <c r="S191" s="90" t="s">
        <v>35</v>
      </c>
      <c r="T191" s="81">
        <v>0</v>
      </c>
      <c r="U191" s="81" t="s">
        <v>36</v>
      </c>
      <c r="V191" s="90" t="s">
        <v>35</v>
      </c>
      <c r="W191" s="81" t="s">
        <v>728</v>
      </c>
      <c r="X191" s="90">
        <v>44656</v>
      </c>
      <c r="Y191" s="81" t="s">
        <v>38</v>
      </c>
      <c r="Z191" s="81">
        <v>0</v>
      </c>
      <c r="AA191" s="81"/>
      <c r="AB191" s="81">
        <v>0</v>
      </c>
      <c r="AC191" s="81"/>
      <c r="AD191" s="81">
        <v>0</v>
      </c>
      <c r="AE191" s="81" t="s">
        <v>153</v>
      </c>
      <c r="AF191" s="81" t="s">
        <v>39</v>
      </c>
      <c r="AG191" s="83">
        <v>589.04</v>
      </c>
      <c r="AH191" s="95">
        <v>27418.04</v>
      </c>
      <c r="AI191" s="82" t="str">
        <f>CONCATENATE((TEXT(Tabela1[[#This Row],[Data entrega]],"mmmm")),"_",(YEAR(Tabela1[[#This Row],[Data entrega]])))</f>
        <v>julho_2022</v>
      </c>
      <c r="AJ191" s="77" t="str">
        <f>IFERROR(IF(Tabela1[[#This Row],[Programa]]="",Tabela1[[#This Row],[Peso bruto]],VLOOKUP(Tabela1[[#This Row],[Pedido]],'Saldo a Produzir'!$A:$D,4,0)),"")</f>
        <v/>
      </c>
      <c r="AM191" s="73">
        <v>1555.6790000000001</v>
      </c>
    </row>
    <row r="192" spans="1:39" ht="14.5" x14ac:dyDescent="0.35">
      <c r="A192" s="81">
        <v>15057</v>
      </c>
      <c r="B192" s="81" t="s">
        <v>60</v>
      </c>
      <c r="C192" s="81">
        <v>14235268000117</v>
      </c>
      <c r="D192" s="81" t="s">
        <v>616</v>
      </c>
      <c r="E192" s="81" t="s">
        <v>617</v>
      </c>
      <c r="F192" s="81" t="s">
        <v>58</v>
      </c>
      <c r="G192" s="81">
        <v>25725</v>
      </c>
      <c r="H192" s="81" t="s">
        <v>87</v>
      </c>
      <c r="I192" s="81" t="s">
        <v>32</v>
      </c>
      <c r="J192" s="81" t="s">
        <v>33</v>
      </c>
      <c r="K192" s="81" t="s">
        <v>34</v>
      </c>
      <c r="L192" s="81" t="s">
        <v>618</v>
      </c>
      <c r="M192" s="81"/>
      <c r="N192" s="90">
        <v>44645</v>
      </c>
      <c r="O192" s="90">
        <v>44743</v>
      </c>
      <c r="P192" s="90">
        <v>44649</v>
      </c>
      <c r="Q192" s="90" t="s">
        <v>35</v>
      </c>
      <c r="R192" s="81">
        <v>0</v>
      </c>
      <c r="S192" s="90" t="s">
        <v>35</v>
      </c>
      <c r="T192" s="81">
        <v>0</v>
      </c>
      <c r="U192" s="81" t="s">
        <v>36</v>
      </c>
      <c r="V192" s="90" t="s">
        <v>35</v>
      </c>
      <c r="W192" s="81" t="s">
        <v>666</v>
      </c>
      <c r="X192" s="90">
        <v>44663</v>
      </c>
      <c r="Y192" s="81" t="s">
        <v>38</v>
      </c>
      <c r="Z192" s="81">
        <v>2235</v>
      </c>
      <c r="AA192" s="81" t="s">
        <v>144</v>
      </c>
      <c r="AB192" s="81">
        <v>0</v>
      </c>
      <c r="AC192" s="81"/>
      <c r="AD192" s="81">
        <v>0</v>
      </c>
      <c r="AE192" s="81" t="s">
        <v>153</v>
      </c>
      <c r="AF192" s="81" t="s">
        <v>39</v>
      </c>
      <c r="AG192" s="83">
        <v>1286.5</v>
      </c>
      <c r="AH192" s="95">
        <v>47768.67</v>
      </c>
      <c r="AI192" s="82" t="str">
        <f>CONCATENATE((TEXT(Tabela1[[#This Row],[Data entrega]],"mmmm")),"_",(YEAR(Tabela1[[#This Row],[Data entrega]])))</f>
        <v>julho_2022</v>
      </c>
      <c r="AJ192" s="77" t="str">
        <f>IFERROR(IF(Tabela1[[#This Row],[Programa]]="",Tabela1[[#This Row],[Peso bruto]],VLOOKUP(Tabela1[[#This Row],[Pedido]],'Saldo a Produzir'!$A:$D,4,0)),"")</f>
        <v/>
      </c>
      <c r="AM192" s="73">
        <v>2586.4929999999999</v>
      </c>
    </row>
    <row r="193" spans="1:39" ht="14.5" x14ac:dyDescent="0.35">
      <c r="A193" s="81">
        <v>15054</v>
      </c>
      <c r="B193" s="81" t="s">
        <v>70</v>
      </c>
      <c r="C193" s="81">
        <v>22488292000196</v>
      </c>
      <c r="D193" s="81" t="s">
        <v>567</v>
      </c>
      <c r="E193" s="81" t="s">
        <v>564</v>
      </c>
      <c r="F193" s="81" t="s">
        <v>132</v>
      </c>
      <c r="G193" s="81">
        <v>25612</v>
      </c>
      <c r="H193" s="81" t="s">
        <v>92</v>
      </c>
      <c r="I193" s="81" t="s">
        <v>32</v>
      </c>
      <c r="J193" s="81" t="s">
        <v>33</v>
      </c>
      <c r="K193" s="81" t="s">
        <v>34</v>
      </c>
      <c r="L193" s="81" t="s">
        <v>568</v>
      </c>
      <c r="M193" s="81"/>
      <c r="N193" s="90">
        <v>44631</v>
      </c>
      <c r="O193" s="90">
        <v>44743</v>
      </c>
      <c r="P193" s="90">
        <v>44637</v>
      </c>
      <c r="Q193" s="90" t="s">
        <v>35</v>
      </c>
      <c r="R193" s="81">
        <v>0</v>
      </c>
      <c r="S193" s="90" t="s">
        <v>35</v>
      </c>
      <c r="T193" s="81">
        <v>0</v>
      </c>
      <c r="U193" s="81" t="s">
        <v>36</v>
      </c>
      <c r="V193" s="90" t="s">
        <v>35</v>
      </c>
      <c r="W193" s="81" t="s">
        <v>581</v>
      </c>
      <c r="X193" s="90">
        <v>44638</v>
      </c>
      <c r="Y193" s="81" t="s">
        <v>38</v>
      </c>
      <c r="Z193" s="81">
        <v>2257</v>
      </c>
      <c r="AA193" s="81" t="s">
        <v>155</v>
      </c>
      <c r="AB193" s="81">
        <v>0</v>
      </c>
      <c r="AC193" s="81"/>
      <c r="AD193" s="81">
        <v>0</v>
      </c>
      <c r="AE193" s="81" t="s">
        <v>153</v>
      </c>
      <c r="AF193" s="81" t="s">
        <v>39</v>
      </c>
      <c r="AG193" s="83">
        <v>5905.48</v>
      </c>
      <c r="AH193" s="95">
        <v>242048.98</v>
      </c>
      <c r="AI193" s="82" t="str">
        <f>CONCATENATE((TEXT(Tabela1[[#This Row],[Data entrega]],"mmmm")),"_",(YEAR(Tabela1[[#This Row],[Data entrega]])))</f>
        <v>julho_2022</v>
      </c>
      <c r="AJ193" s="77">
        <f>IFERROR(IF(Tabela1[[#This Row],[Programa]]="",Tabela1[[#This Row],[Peso bruto]],VLOOKUP(Tabela1[[#This Row],[Pedido]],'Saldo a Produzir'!$A:$D,4,0)),"")</f>
        <v>5741.15</v>
      </c>
      <c r="AM193" s="73">
        <v>10706.689</v>
      </c>
    </row>
    <row r="194" spans="1:39" ht="14.5" x14ac:dyDescent="0.35">
      <c r="A194" s="81">
        <v>15063</v>
      </c>
      <c r="B194" s="81" t="s">
        <v>71</v>
      </c>
      <c r="C194" s="81">
        <v>16590234002543</v>
      </c>
      <c r="D194" s="81" t="s">
        <v>1012</v>
      </c>
      <c r="E194" s="81" t="s">
        <v>219</v>
      </c>
      <c r="F194" s="81" t="s">
        <v>54</v>
      </c>
      <c r="G194" s="81">
        <v>26028</v>
      </c>
      <c r="H194" s="81" t="s">
        <v>92</v>
      </c>
      <c r="I194" s="81" t="s">
        <v>32</v>
      </c>
      <c r="J194" s="81" t="s">
        <v>33</v>
      </c>
      <c r="K194" s="81" t="s">
        <v>34</v>
      </c>
      <c r="L194" s="81" t="s">
        <v>859</v>
      </c>
      <c r="M194" s="81">
        <v>4500830689</v>
      </c>
      <c r="N194" s="90">
        <v>44680</v>
      </c>
      <c r="O194" s="90">
        <v>44743</v>
      </c>
      <c r="P194" s="90">
        <v>44698</v>
      </c>
      <c r="Q194" s="90" t="s">
        <v>35</v>
      </c>
      <c r="R194" s="81">
        <v>0</v>
      </c>
      <c r="S194" s="90" t="s">
        <v>35</v>
      </c>
      <c r="T194" s="81">
        <v>0</v>
      </c>
      <c r="U194" s="81" t="s">
        <v>36</v>
      </c>
      <c r="V194" s="90" t="s">
        <v>35</v>
      </c>
      <c r="W194" s="81" t="s">
        <v>1013</v>
      </c>
      <c r="X194" s="90">
        <v>44697</v>
      </c>
      <c r="Y194" s="81" t="s">
        <v>38</v>
      </c>
      <c r="Z194" s="81">
        <v>0</v>
      </c>
      <c r="AA194" s="81"/>
      <c r="AB194" s="81">
        <v>0</v>
      </c>
      <c r="AC194" s="81"/>
      <c r="AD194" s="81">
        <v>0</v>
      </c>
      <c r="AE194" s="81" t="s">
        <v>153</v>
      </c>
      <c r="AF194" s="81" t="s">
        <v>39</v>
      </c>
      <c r="AG194" s="83">
        <v>46168.2</v>
      </c>
      <c r="AH194" s="95">
        <v>1553415.37</v>
      </c>
      <c r="AI194" s="82" t="str">
        <f>CONCATENATE((TEXT(Tabela1[[#This Row],[Data entrega]],"mmmm")),"_",(YEAR(Tabela1[[#This Row],[Data entrega]])))</f>
        <v>julho_2022</v>
      </c>
      <c r="AJ194" s="77">
        <f>IFERROR(IF(Tabela1[[#This Row],[Programa]]="",Tabela1[[#This Row],[Peso bruto]],VLOOKUP(Tabela1[[#This Row],[Pedido]],'Saldo a Produzir'!$A:$D,4,0)),"")</f>
        <v>11252.230000000001</v>
      </c>
      <c r="AM194" s="73">
        <v>93452.562999999995</v>
      </c>
    </row>
    <row r="195" spans="1:39" ht="14.5" x14ac:dyDescent="0.35">
      <c r="A195" s="81">
        <v>15063</v>
      </c>
      <c r="B195" s="81" t="s">
        <v>71</v>
      </c>
      <c r="C195" s="81">
        <v>16590234002543</v>
      </c>
      <c r="D195" s="81" t="s">
        <v>1012</v>
      </c>
      <c r="E195" s="81" t="s">
        <v>219</v>
      </c>
      <c r="F195" s="81" t="s">
        <v>54</v>
      </c>
      <c r="G195" s="81">
        <v>26029</v>
      </c>
      <c r="H195" s="81" t="s">
        <v>116</v>
      </c>
      <c r="I195" s="81" t="s">
        <v>32</v>
      </c>
      <c r="J195" s="81" t="s">
        <v>33</v>
      </c>
      <c r="K195" s="81" t="s">
        <v>34</v>
      </c>
      <c r="L195" s="81" t="s">
        <v>859</v>
      </c>
      <c r="M195" s="81">
        <v>4500830689</v>
      </c>
      <c r="N195" s="90">
        <v>44680</v>
      </c>
      <c r="O195" s="90">
        <v>44743</v>
      </c>
      <c r="P195" s="90">
        <v>44719</v>
      </c>
      <c r="Q195" s="90" t="s">
        <v>35</v>
      </c>
      <c r="R195" s="81">
        <v>0</v>
      </c>
      <c r="S195" s="90" t="s">
        <v>35</v>
      </c>
      <c r="T195" s="81">
        <v>0</v>
      </c>
      <c r="U195" s="81" t="s">
        <v>36</v>
      </c>
      <c r="V195" s="90" t="s">
        <v>35</v>
      </c>
      <c r="W195" s="81" t="s">
        <v>1231</v>
      </c>
      <c r="X195" s="90">
        <v>44713</v>
      </c>
      <c r="Y195" s="81" t="s">
        <v>38</v>
      </c>
      <c r="Z195" s="81">
        <v>0</v>
      </c>
      <c r="AA195" s="81"/>
      <c r="AB195" s="81">
        <v>0</v>
      </c>
      <c r="AC195" s="81"/>
      <c r="AD195" s="81">
        <v>0</v>
      </c>
      <c r="AE195" s="81" t="s">
        <v>153</v>
      </c>
      <c r="AF195" s="81" t="s">
        <v>39</v>
      </c>
      <c r="AG195" s="83">
        <v>40875.880000000012</v>
      </c>
      <c r="AH195" s="95">
        <v>1055357.21</v>
      </c>
      <c r="AI195" s="82" t="str">
        <f>CONCATENATE((TEXT(Tabela1[[#This Row],[Data entrega]],"mmmm")),"_",(YEAR(Tabela1[[#This Row],[Data entrega]])))</f>
        <v>julho_2022</v>
      </c>
      <c r="AJ195" s="77">
        <f>IFERROR(IF(Tabela1[[#This Row],[Programa]]="",Tabela1[[#This Row],[Peso bruto]],VLOOKUP(Tabela1[[#This Row],[Pedido]],'Saldo a Produzir'!$A:$D,4,0)),"")</f>
        <v>3804.2799999999997</v>
      </c>
      <c r="AM195" s="73">
        <v>44514.302000000003</v>
      </c>
    </row>
    <row r="196" spans="1:39" ht="14.5" x14ac:dyDescent="0.35">
      <c r="A196" s="81">
        <v>15063</v>
      </c>
      <c r="B196" s="81" t="s">
        <v>71</v>
      </c>
      <c r="C196" s="81">
        <v>12377080000188</v>
      </c>
      <c r="D196" s="81" t="s">
        <v>619</v>
      </c>
      <c r="E196" s="81" t="s">
        <v>68</v>
      </c>
      <c r="F196" s="81" t="s">
        <v>54</v>
      </c>
      <c r="G196" s="81">
        <v>25728</v>
      </c>
      <c r="H196" s="81" t="s">
        <v>88</v>
      </c>
      <c r="I196" s="81" t="s">
        <v>32</v>
      </c>
      <c r="J196" s="81" t="s">
        <v>33</v>
      </c>
      <c r="K196" s="81" t="s">
        <v>34</v>
      </c>
      <c r="L196" s="81" t="s">
        <v>620</v>
      </c>
      <c r="M196" s="81">
        <v>884780</v>
      </c>
      <c r="N196" s="90">
        <v>44645</v>
      </c>
      <c r="O196" s="90">
        <v>44743</v>
      </c>
      <c r="P196" s="90">
        <v>44645</v>
      </c>
      <c r="Q196" s="90" t="s">
        <v>35</v>
      </c>
      <c r="R196" s="81">
        <v>0</v>
      </c>
      <c r="S196" s="90" t="s">
        <v>35</v>
      </c>
      <c r="T196" s="81">
        <v>0</v>
      </c>
      <c r="U196" s="81" t="s">
        <v>36</v>
      </c>
      <c r="V196" s="90" t="s">
        <v>35</v>
      </c>
      <c r="W196" s="81" t="s">
        <v>666</v>
      </c>
      <c r="X196" s="90">
        <v>44663</v>
      </c>
      <c r="Y196" s="81" t="s">
        <v>38</v>
      </c>
      <c r="Z196" s="81">
        <v>191</v>
      </c>
      <c r="AA196" s="81" t="s">
        <v>253</v>
      </c>
      <c r="AB196" s="81">
        <v>0</v>
      </c>
      <c r="AC196" s="81"/>
      <c r="AD196" s="81">
        <v>0</v>
      </c>
      <c r="AE196" s="81" t="s">
        <v>153</v>
      </c>
      <c r="AF196" s="81" t="s">
        <v>39</v>
      </c>
      <c r="AG196" s="83">
        <v>96.710000000000008</v>
      </c>
      <c r="AH196" s="95">
        <v>6442.8</v>
      </c>
      <c r="AI196" s="82" t="str">
        <f>CONCATENATE((TEXT(Tabela1[[#This Row],[Data entrega]],"mmmm")),"_",(YEAR(Tabela1[[#This Row],[Data entrega]])))</f>
        <v>julho_2022</v>
      </c>
      <c r="AJ196" s="77">
        <f>IFERROR(IF(Tabela1[[#This Row],[Programa]]="",Tabela1[[#This Row],[Peso bruto]],VLOOKUP(Tabela1[[#This Row],[Pedido]],'Saldo a Produzir'!$A:$D,4,0)),"")</f>
        <v>8.64</v>
      </c>
      <c r="AM196" s="73">
        <v>102.217</v>
      </c>
    </row>
    <row r="197" spans="1:39" ht="14.5" x14ac:dyDescent="0.35">
      <c r="A197" s="81">
        <v>15067</v>
      </c>
      <c r="B197" s="81" t="s">
        <v>59</v>
      </c>
      <c r="C197" s="81">
        <v>8603476000129</v>
      </c>
      <c r="D197" s="81" t="s">
        <v>636</v>
      </c>
      <c r="E197" s="81" t="s">
        <v>57</v>
      </c>
      <c r="F197" s="81" t="s">
        <v>58</v>
      </c>
      <c r="G197" s="81">
        <v>25744</v>
      </c>
      <c r="H197" s="81" t="s">
        <v>87</v>
      </c>
      <c r="I197" s="81" t="s">
        <v>32</v>
      </c>
      <c r="J197" s="81" t="s">
        <v>33</v>
      </c>
      <c r="K197" s="81" t="s">
        <v>34</v>
      </c>
      <c r="L197" s="81" t="s">
        <v>637</v>
      </c>
      <c r="M197" s="81"/>
      <c r="N197" s="90">
        <v>44648</v>
      </c>
      <c r="O197" s="90">
        <v>44743</v>
      </c>
      <c r="P197" s="90">
        <v>44650</v>
      </c>
      <c r="Q197" s="90" t="s">
        <v>35</v>
      </c>
      <c r="R197" s="81">
        <v>0</v>
      </c>
      <c r="S197" s="90" t="s">
        <v>35</v>
      </c>
      <c r="T197" s="81">
        <v>0</v>
      </c>
      <c r="U197" s="81" t="s">
        <v>36</v>
      </c>
      <c r="V197" s="90" t="s">
        <v>35</v>
      </c>
      <c r="W197" s="81" t="s">
        <v>666</v>
      </c>
      <c r="X197" s="90">
        <v>44663</v>
      </c>
      <c r="Y197" s="81" t="s">
        <v>38</v>
      </c>
      <c r="Z197" s="81">
        <v>0</v>
      </c>
      <c r="AA197" s="81"/>
      <c r="AB197" s="81">
        <v>0</v>
      </c>
      <c r="AC197" s="81"/>
      <c r="AD197" s="81">
        <v>0</v>
      </c>
      <c r="AE197" s="81" t="s">
        <v>153</v>
      </c>
      <c r="AF197" s="81" t="s">
        <v>39</v>
      </c>
      <c r="AG197" s="83">
        <v>1912.5400000000002</v>
      </c>
      <c r="AH197" s="95">
        <v>76921.25</v>
      </c>
      <c r="AI197" s="82" t="str">
        <f>CONCATENATE((TEXT(Tabela1[[#This Row],[Data entrega]],"mmmm")),"_",(YEAR(Tabela1[[#This Row],[Data entrega]])))</f>
        <v>julho_2022</v>
      </c>
      <c r="AJ197" s="77">
        <f>IFERROR(IF(Tabela1[[#This Row],[Programa]]="",Tabela1[[#This Row],[Peso bruto]],VLOOKUP(Tabela1[[#This Row],[Pedido]],'Saldo a Produzir'!$A:$D,4,0)),"")</f>
        <v>1899.16</v>
      </c>
      <c r="AM197" s="73">
        <v>3693.9090000000001</v>
      </c>
    </row>
    <row r="198" spans="1:39" ht="14.5" x14ac:dyDescent="0.35">
      <c r="A198" s="81">
        <v>15059</v>
      </c>
      <c r="B198" s="81" t="s">
        <v>63</v>
      </c>
      <c r="C198" s="81">
        <v>10447904000113</v>
      </c>
      <c r="D198" s="81" t="s">
        <v>167</v>
      </c>
      <c r="E198" s="81" t="s">
        <v>143</v>
      </c>
      <c r="F198" s="81" t="s">
        <v>64</v>
      </c>
      <c r="G198" s="81">
        <v>25615</v>
      </c>
      <c r="H198" s="81" t="s">
        <v>88</v>
      </c>
      <c r="I198" s="81" t="s">
        <v>32</v>
      </c>
      <c r="J198" s="81" t="s">
        <v>33</v>
      </c>
      <c r="K198" s="81" t="s">
        <v>34</v>
      </c>
      <c r="L198" s="81" t="s">
        <v>599</v>
      </c>
      <c r="M198" s="81"/>
      <c r="N198" s="90">
        <v>44631</v>
      </c>
      <c r="O198" s="90">
        <v>44743</v>
      </c>
      <c r="P198" s="90">
        <v>44649</v>
      </c>
      <c r="Q198" s="90" t="s">
        <v>35</v>
      </c>
      <c r="R198" s="81">
        <v>0</v>
      </c>
      <c r="S198" s="90" t="s">
        <v>35</v>
      </c>
      <c r="T198" s="81">
        <v>0</v>
      </c>
      <c r="U198" s="81" t="s">
        <v>36</v>
      </c>
      <c r="V198" s="90" t="s">
        <v>35</v>
      </c>
      <c r="W198" s="81" t="s">
        <v>666</v>
      </c>
      <c r="X198" s="90">
        <v>44663</v>
      </c>
      <c r="Y198" s="81" t="s">
        <v>38</v>
      </c>
      <c r="Z198" s="81">
        <v>0</v>
      </c>
      <c r="AA198" s="81"/>
      <c r="AB198" s="81">
        <v>0</v>
      </c>
      <c r="AC198" s="81"/>
      <c r="AD198" s="81">
        <v>0</v>
      </c>
      <c r="AE198" s="81" t="s">
        <v>153</v>
      </c>
      <c r="AF198" s="81" t="s">
        <v>39</v>
      </c>
      <c r="AG198" s="83">
        <v>1162.01</v>
      </c>
      <c r="AH198" s="95">
        <v>37644.949999999997</v>
      </c>
      <c r="AI198" s="82" t="str">
        <f>CONCATENATE((TEXT(Tabela1[[#This Row],[Data entrega]],"mmmm")),"_",(YEAR(Tabela1[[#This Row],[Data entrega]])))</f>
        <v>julho_2022</v>
      </c>
      <c r="AJ198" s="77">
        <f>IFERROR(IF(Tabela1[[#This Row],[Programa]]="",Tabela1[[#This Row],[Peso bruto]],VLOOKUP(Tabela1[[#This Row],[Pedido]],'Saldo a Produzir'!$A:$D,4,0)),"")</f>
        <v>1140.03</v>
      </c>
      <c r="AM198" s="73">
        <v>2292.4589999999998</v>
      </c>
    </row>
    <row r="199" spans="1:39" ht="14.5" x14ac:dyDescent="0.35">
      <c r="A199" s="81">
        <v>15020</v>
      </c>
      <c r="B199" s="81" t="s">
        <v>46</v>
      </c>
      <c r="C199" s="81">
        <v>0</v>
      </c>
      <c r="D199" s="81" t="s">
        <v>306</v>
      </c>
      <c r="E199" s="81" t="s">
        <v>187</v>
      </c>
      <c r="F199" s="81" t="s">
        <v>49</v>
      </c>
      <c r="G199" s="81">
        <v>24588</v>
      </c>
      <c r="H199" s="81" t="s">
        <v>90</v>
      </c>
      <c r="I199" s="81" t="s">
        <v>32</v>
      </c>
      <c r="J199" s="81" t="s">
        <v>33</v>
      </c>
      <c r="K199" s="81" t="s">
        <v>34</v>
      </c>
      <c r="L199" s="81" t="s">
        <v>562</v>
      </c>
      <c r="M199" s="81"/>
      <c r="N199" s="90">
        <v>44469</v>
      </c>
      <c r="O199" s="90">
        <v>44743</v>
      </c>
      <c r="P199" s="90">
        <v>44642</v>
      </c>
      <c r="Q199" s="90" t="s">
        <v>35</v>
      </c>
      <c r="R199" s="81">
        <v>0</v>
      </c>
      <c r="S199" s="90" t="s">
        <v>35</v>
      </c>
      <c r="T199" s="81">
        <v>0</v>
      </c>
      <c r="U199" s="81" t="s">
        <v>36</v>
      </c>
      <c r="V199" s="90" t="s">
        <v>35</v>
      </c>
      <c r="W199" s="81" t="s">
        <v>588</v>
      </c>
      <c r="X199" s="90">
        <v>44642</v>
      </c>
      <c r="Y199" s="81" t="s">
        <v>38</v>
      </c>
      <c r="Z199" s="81">
        <v>0</v>
      </c>
      <c r="AA199" s="81"/>
      <c r="AB199" s="81">
        <v>0</v>
      </c>
      <c r="AC199" s="81"/>
      <c r="AD199" s="81">
        <v>0</v>
      </c>
      <c r="AE199" s="81"/>
      <c r="AF199" s="81" t="s">
        <v>307</v>
      </c>
      <c r="AG199" s="83">
        <v>3871.8</v>
      </c>
      <c r="AH199" s="95">
        <v>1956120</v>
      </c>
      <c r="AI199" s="82" t="str">
        <f>CONCATENATE((TEXT(Tabela1[[#This Row],[Data entrega]],"mmmm")),"_",(YEAR(Tabela1[[#This Row],[Data entrega]])))</f>
        <v>julho_2022</v>
      </c>
      <c r="AJ199" s="77">
        <f>IFERROR(IF(Tabela1[[#This Row],[Programa]]="",Tabela1[[#This Row],[Peso bruto]],VLOOKUP(Tabela1[[#This Row],[Pedido]],'Saldo a Produzir'!$A:$D,4,0)),"")</f>
        <v>920.87</v>
      </c>
      <c r="AM199" s="73">
        <v>121528.36599999999</v>
      </c>
    </row>
    <row r="200" spans="1:39" ht="14.5" x14ac:dyDescent="0.35">
      <c r="A200" s="81">
        <v>15077</v>
      </c>
      <c r="B200" s="81" t="s">
        <v>298</v>
      </c>
      <c r="C200" s="81">
        <v>66573759000171</v>
      </c>
      <c r="D200" s="81" t="s">
        <v>582</v>
      </c>
      <c r="E200" s="81" t="s">
        <v>79</v>
      </c>
      <c r="F200" s="81" t="s">
        <v>44</v>
      </c>
      <c r="G200" s="81">
        <v>25748</v>
      </c>
      <c r="H200" s="81" t="s">
        <v>87</v>
      </c>
      <c r="I200" s="81" t="s">
        <v>32</v>
      </c>
      <c r="J200" s="81" t="s">
        <v>33</v>
      </c>
      <c r="K200" s="81" t="s">
        <v>34</v>
      </c>
      <c r="L200" s="81" t="s">
        <v>638</v>
      </c>
      <c r="M200" s="81"/>
      <c r="N200" s="90">
        <v>44648</v>
      </c>
      <c r="O200" s="90">
        <v>44743</v>
      </c>
      <c r="P200" s="90">
        <v>44665</v>
      </c>
      <c r="Q200" s="90" t="s">
        <v>35</v>
      </c>
      <c r="R200" s="81">
        <v>0</v>
      </c>
      <c r="S200" s="90" t="s">
        <v>35</v>
      </c>
      <c r="T200" s="81">
        <v>0</v>
      </c>
      <c r="U200" s="81" t="s">
        <v>36</v>
      </c>
      <c r="V200" s="90" t="s">
        <v>35</v>
      </c>
      <c r="W200" s="81" t="s">
        <v>780</v>
      </c>
      <c r="X200" s="90">
        <v>44669</v>
      </c>
      <c r="Y200" s="81" t="s">
        <v>38</v>
      </c>
      <c r="Z200" s="81">
        <v>0</v>
      </c>
      <c r="AA200" s="81"/>
      <c r="AB200" s="81">
        <v>0</v>
      </c>
      <c r="AC200" s="81"/>
      <c r="AD200" s="81">
        <v>0</v>
      </c>
      <c r="AE200" s="81" t="s">
        <v>153</v>
      </c>
      <c r="AF200" s="81" t="s">
        <v>39</v>
      </c>
      <c r="AG200" s="83">
        <v>66849.3</v>
      </c>
      <c r="AH200" s="95">
        <v>1169337.3500000001</v>
      </c>
      <c r="AI200" s="82" t="str">
        <f>CONCATENATE((TEXT(Tabela1[[#This Row],[Data entrega]],"mmmm")),"_",(YEAR(Tabela1[[#This Row],[Data entrega]])))</f>
        <v>julho_2022</v>
      </c>
      <c r="AJ200" s="77">
        <f>IFERROR(IF(Tabela1[[#This Row],[Programa]]="",Tabela1[[#This Row],[Peso bruto]],VLOOKUP(Tabela1[[#This Row],[Pedido]],'Saldo a Produzir'!$A:$D,4,0)),"")</f>
        <v>66420.899999999994</v>
      </c>
      <c r="AM200" s="73">
        <v>69665.062000000005</v>
      </c>
    </row>
    <row r="201" spans="1:39" ht="14.5" x14ac:dyDescent="0.35">
      <c r="A201" s="81">
        <v>15063</v>
      </c>
      <c r="B201" s="81" t="s">
        <v>71</v>
      </c>
      <c r="C201" s="81">
        <v>10921911000709</v>
      </c>
      <c r="D201" s="81" t="s">
        <v>301</v>
      </c>
      <c r="E201" s="81" t="s">
        <v>627</v>
      </c>
      <c r="F201" s="81" t="s">
        <v>64</v>
      </c>
      <c r="G201" s="81">
        <v>25775</v>
      </c>
      <c r="H201" s="81" t="s">
        <v>88</v>
      </c>
      <c r="I201" s="81" t="s">
        <v>32</v>
      </c>
      <c r="J201" s="81" t="s">
        <v>33</v>
      </c>
      <c r="K201" s="81" t="s">
        <v>34</v>
      </c>
      <c r="L201" s="81" t="s">
        <v>663</v>
      </c>
      <c r="M201" s="81"/>
      <c r="N201" s="90">
        <v>44650</v>
      </c>
      <c r="O201" s="90">
        <v>44743</v>
      </c>
      <c r="P201" s="90">
        <v>44677</v>
      </c>
      <c r="Q201" s="90" t="s">
        <v>35</v>
      </c>
      <c r="R201" s="81">
        <v>0</v>
      </c>
      <c r="S201" s="90" t="s">
        <v>35</v>
      </c>
      <c r="T201" s="81">
        <v>0</v>
      </c>
      <c r="U201" s="81" t="s">
        <v>36</v>
      </c>
      <c r="V201" s="90" t="s">
        <v>35</v>
      </c>
      <c r="W201" s="81" t="s">
        <v>822</v>
      </c>
      <c r="X201" s="90">
        <v>44678</v>
      </c>
      <c r="Y201" s="81" t="s">
        <v>38</v>
      </c>
      <c r="Z201" s="81">
        <v>2257</v>
      </c>
      <c r="AA201" s="81" t="s">
        <v>155</v>
      </c>
      <c r="AB201" s="81">
        <v>0</v>
      </c>
      <c r="AC201" s="81"/>
      <c r="AD201" s="81">
        <v>0</v>
      </c>
      <c r="AE201" s="81" t="s">
        <v>153</v>
      </c>
      <c r="AF201" s="81" t="s">
        <v>39</v>
      </c>
      <c r="AG201" s="83">
        <v>12637.11</v>
      </c>
      <c r="AH201" s="95">
        <v>319364.64</v>
      </c>
      <c r="AI201" s="82" t="str">
        <f>CONCATENATE((TEXT(Tabela1[[#This Row],[Data entrega]],"mmmm")),"_",(YEAR(Tabela1[[#This Row],[Data entrega]])))</f>
        <v>julho_2022</v>
      </c>
      <c r="AJ201" s="77">
        <f>IFERROR(IF(Tabela1[[#This Row],[Programa]]="",Tabela1[[#This Row],[Peso bruto]],VLOOKUP(Tabela1[[#This Row],[Pedido]],'Saldo a Produzir'!$A:$D,4,0)),"")</f>
        <v>12854.87</v>
      </c>
      <c r="AM201" s="73">
        <v>17329.261999999999</v>
      </c>
    </row>
    <row r="202" spans="1:39" ht="14.5" x14ac:dyDescent="0.35">
      <c r="A202" s="81">
        <v>15054</v>
      </c>
      <c r="B202" s="81" t="s">
        <v>70</v>
      </c>
      <c r="C202" s="81">
        <v>41247590000139</v>
      </c>
      <c r="D202" s="81" t="s">
        <v>563</v>
      </c>
      <c r="E202" s="81" t="s">
        <v>564</v>
      </c>
      <c r="F202" s="81" t="s">
        <v>132</v>
      </c>
      <c r="G202" s="81">
        <v>25603</v>
      </c>
      <c r="H202" s="81" t="s">
        <v>92</v>
      </c>
      <c r="I202" s="81" t="s">
        <v>32</v>
      </c>
      <c r="J202" s="81" t="s">
        <v>33</v>
      </c>
      <c r="K202" s="81" t="s">
        <v>34</v>
      </c>
      <c r="L202" s="81" t="s">
        <v>565</v>
      </c>
      <c r="M202" s="81"/>
      <c r="N202" s="90">
        <v>44630</v>
      </c>
      <c r="O202" s="90">
        <v>44743</v>
      </c>
      <c r="P202" s="90">
        <v>44635</v>
      </c>
      <c r="Q202" s="90" t="s">
        <v>35</v>
      </c>
      <c r="R202" s="81">
        <v>0</v>
      </c>
      <c r="S202" s="90" t="s">
        <v>35</v>
      </c>
      <c r="T202" s="81">
        <v>0</v>
      </c>
      <c r="U202" s="81" t="s">
        <v>36</v>
      </c>
      <c r="V202" s="90" t="s">
        <v>35</v>
      </c>
      <c r="W202" s="81" t="s">
        <v>578</v>
      </c>
      <c r="X202" s="90">
        <v>44637</v>
      </c>
      <c r="Y202" s="81" t="s">
        <v>38</v>
      </c>
      <c r="Z202" s="81">
        <v>2257</v>
      </c>
      <c r="AA202" s="81" t="s">
        <v>155</v>
      </c>
      <c r="AB202" s="81">
        <v>0</v>
      </c>
      <c r="AC202" s="81"/>
      <c r="AD202" s="81">
        <v>0</v>
      </c>
      <c r="AE202" s="81" t="s">
        <v>153</v>
      </c>
      <c r="AF202" s="81" t="s">
        <v>39</v>
      </c>
      <c r="AG202" s="83">
        <v>1226.9000000000001</v>
      </c>
      <c r="AH202" s="95">
        <v>87246.25</v>
      </c>
      <c r="AI202" s="82" t="str">
        <f>CONCATENATE((TEXT(Tabela1[[#This Row],[Data entrega]],"mmmm")),"_",(YEAR(Tabela1[[#This Row],[Data entrega]])))</f>
        <v>julho_2022</v>
      </c>
      <c r="AJ202" s="77" t="str">
        <f>IFERROR(IF(Tabela1[[#This Row],[Programa]]="",Tabela1[[#This Row],[Peso bruto]],VLOOKUP(Tabela1[[#This Row],[Pedido]],'Saldo a Produzir'!$A:$D,4,0)),"")</f>
        <v/>
      </c>
      <c r="AM202" s="73">
        <v>3445.027</v>
      </c>
    </row>
    <row r="203" spans="1:39" ht="14.5" x14ac:dyDescent="0.35">
      <c r="A203" s="81">
        <v>15020</v>
      </c>
      <c r="B203" s="81" t="s">
        <v>46</v>
      </c>
      <c r="C203" s="81">
        <v>0</v>
      </c>
      <c r="D203" s="81" t="s">
        <v>270</v>
      </c>
      <c r="E203" s="81" t="s">
        <v>271</v>
      </c>
      <c r="F203" s="81" t="s">
        <v>49</v>
      </c>
      <c r="G203" s="81">
        <v>25872</v>
      </c>
      <c r="H203" s="81" t="s">
        <v>91</v>
      </c>
      <c r="I203" s="81" t="s">
        <v>32</v>
      </c>
      <c r="J203" s="81" t="s">
        <v>33</v>
      </c>
      <c r="K203" s="81" t="s">
        <v>34</v>
      </c>
      <c r="L203" s="81" t="s">
        <v>737</v>
      </c>
      <c r="M203" s="81"/>
      <c r="N203" s="90">
        <v>44657</v>
      </c>
      <c r="O203" s="90">
        <v>44743</v>
      </c>
      <c r="P203" s="90">
        <v>44657</v>
      </c>
      <c r="Q203" s="90" t="s">
        <v>35</v>
      </c>
      <c r="R203" s="81">
        <v>0</v>
      </c>
      <c r="S203" s="90" t="s">
        <v>35</v>
      </c>
      <c r="T203" s="81">
        <v>0</v>
      </c>
      <c r="U203" s="81" t="s">
        <v>36</v>
      </c>
      <c r="V203" s="90" t="s">
        <v>35</v>
      </c>
      <c r="W203" s="81" t="s">
        <v>791</v>
      </c>
      <c r="X203" s="90">
        <v>44671</v>
      </c>
      <c r="Y203" s="81" t="s">
        <v>38</v>
      </c>
      <c r="Z203" s="81">
        <v>0</v>
      </c>
      <c r="AA203" s="81"/>
      <c r="AB203" s="81">
        <v>0</v>
      </c>
      <c r="AC203" s="81"/>
      <c r="AD203" s="81">
        <v>0</v>
      </c>
      <c r="AE203" s="81"/>
      <c r="AF203" s="81" t="s">
        <v>307</v>
      </c>
      <c r="AG203" s="83">
        <v>99.75</v>
      </c>
      <c r="AH203" s="95">
        <v>57040.46</v>
      </c>
      <c r="AI203" s="82" t="str">
        <f>CONCATENATE((TEXT(Tabela1[[#This Row],[Data entrega]],"mmmm")),"_",(YEAR(Tabela1[[#This Row],[Data entrega]])))</f>
        <v>julho_2022</v>
      </c>
      <c r="AJ203" s="77">
        <f>IFERROR(IF(Tabela1[[#This Row],[Programa]]="",Tabela1[[#This Row],[Peso bruto]],VLOOKUP(Tabela1[[#This Row],[Pedido]],'Saldo a Produzir'!$A:$D,4,0)),"")</f>
        <v>96.39</v>
      </c>
      <c r="AM203" s="73">
        <v>973.34400000000005</v>
      </c>
    </row>
    <row r="204" spans="1:39" ht="14.5" x14ac:dyDescent="0.35">
      <c r="A204" s="81">
        <v>15059</v>
      </c>
      <c r="B204" s="81" t="s">
        <v>63</v>
      </c>
      <c r="C204" s="81">
        <v>82901000001603</v>
      </c>
      <c r="D204" s="81" t="s">
        <v>575</v>
      </c>
      <c r="E204" s="81" t="s">
        <v>400</v>
      </c>
      <c r="F204" s="81" t="s">
        <v>56</v>
      </c>
      <c r="G204" s="81">
        <v>25635</v>
      </c>
      <c r="H204" s="81" t="s">
        <v>92</v>
      </c>
      <c r="I204" s="81" t="s">
        <v>32</v>
      </c>
      <c r="J204" s="81" t="s">
        <v>156</v>
      </c>
      <c r="K204" s="81" t="s">
        <v>34</v>
      </c>
      <c r="L204" s="81" t="s">
        <v>576</v>
      </c>
      <c r="M204" s="81">
        <v>560606</v>
      </c>
      <c r="N204" s="90">
        <v>44635</v>
      </c>
      <c r="O204" s="90">
        <v>44743</v>
      </c>
      <c r="P204" s="90">
        <v>44635</v>
      </c>
      <c r="Q204" s="90">
        <v>44721</v>
      </c>
      <c r="R204" s="81">
        <v>7110</v>
      </c>
      <c r="S204" s="90">
        <v>44721</v>
      </c>
      <c r="T204" s="81">
        <v>7110</v>
      </c>
      <c r="U204" s="81" t="s">
        <v>36</v>
      </c>
      <c r="V204" s="90" t="s">
        <v>35</v>
      </c>
      <c r="W204" s="81" t="s">
        <v>600</v>
      </c>
      <c r="X204" s="90">
        <v>44642</v>
      </c>
      <c r="Y204" s="81" t="s">
        <v>38</v>
      </c>
      <c r="Z204" s="81">
        <v>2001</v>
      </c>
      <c r="AA204" s="81" t="s">
        <v>255</v>
      </c>
      <c r="AB204" s="81">
        <v>0</v>
      </c>
      <c r="AC204" s="81"/>
      <c r="AD204" s="81">
        <v>0</v>
      </c>
      <c r="AE204" s="81" t="s">
        <v>153</v>
      </c>
      <c r="AF204" s="81" t="s">
        <v>39</v>
      </c>
      <c r="AG204" s="83">
        <v>11738.49</v>
      </c>
      <c r="AH204" s="95">
        <v>489893.1</v>
      </c>
      <c r="AI204" s="82" t="str">
        <f>CONCATENATE((TEXT(Tabela1[[#This Row],[Data entrega]],"mmmm")),"_",(YEAR(Tabela1[[#This Row],[Data entrega]])))</f>
        <v>julho_2022</v>
      </c>
      <c r="AJ204" s="77" t="str">
        <f>IFERROR(IF(Tabela1[[#This Row],[Programa]]="",Tabela1[[#This Row],[Peso bruto]],VLOOKUP(Tabela1[[#This Row],[Pedido]],'Saldo a Produzir'!$A:$D,4,0)),"")</f>
        <v/>
      </c>
      <c r="AM204" s="73">
        <v>20054.468000000001</v>
      </c>
    </row>
    <row r="205" spans="1:39" ht="14.5" x14ac:dyDescent="0.35">
      <c r="A205" s="81">
        <v>15066</v>
      </c>
      <c r="B205" s="81" t="s">
        <v>72</v>
      </c>
      <c r="C205" s="81">
        <v>7361225000112</v>
      </c>
      <c r="D205" s="81" t="s">
        <v>639</v>
      </c>
      <c r="E205" s="81" t="s">
        <v>640</v>
      </c>
      <c r="F205" s="81" t="s">
        <v>56</v>
      </c>
      <c r="G205" s="81">
        <v>25754</v>
      </c>
      <c r="H205" s="81" t="s">
        <v>87</v>
      </c>
      <c r="I205" s="81" t="s">
        <v>32</v>
      </c>
      <c r="J205" s="81" t="s">
        <v>33</v>
      </c>
      <c r="K205" s="81" t="s">
        <v>34</v>
      </c>
      <c r="L205" s="81" t="s">
        <v>641</v>
      </c>
      <c r="M205" s="81"/>
      <c r="N205" s="90">
        <v>44648</v>
      </c>
      <c r="O205" s="90">
        <v>44743</v>
      </c>
      <c r="P205" s="90">
        <v>44662</v>
      </c>
      <c r="Q205" s="90" t="s">
        <v>35</v>
      </c>
      <c r="R205" s="81">
        <v>0</v>
      </c>
      <c r="S205" s="90" t="s">
        <v>35</v>
      </c>
      <c r="T205" s="81">
        <v>0</v>
      </c>
      <c r="U205" s="81" t="s">
        <v>36</v>
      </c>
      <c r="V205" s="90" t="s">
        <v>35</v>
      </c>
      <c r="W205" s="81" t="s">
        <v>762</v>
      </c>
      <c r="X205" s="90">
        <v>44664</v>
      </c>
      <c r="Y205" s="81" t="s">
        <v>38</v>
      </c>
      <c r="Z205" s="81">
        <v>2257</v>
      </c>
      <c r="AA205" s="81" t="s">
        <v>155</v>
      </c>
      <c r="AB205" s="81">
        <v>0</v>
      </c>
      <c r="AC205" s="81"/>
      <c r="AD205" s="81">
        <v>0</v>
      </c>
      <c r="AE205" s="81" t="s">
        <v>153</v>
      </c>
      <c r="AF205" s="81" t="s">
        <v>39</v>
      </c>
      <c r="AG205" s="83">
        <v>35935.379999999997</v>
      </c>
      <c r="AH205" s="95">
        <v>740663.88</v>
      </c>
      <c r="AI205" s="82" t="str">
        <f>CONCATENATE((TEXT(Tabela1[[#This Row],[Data entrega]],"mmmm")),"_",(YEAR(Tabela1[[#This Row],[Data entrega]])))</f>
        <v>julho_2022</v>
      </c>
      <c r="AJ205" s="77">
        <f>IFERROR(IF(Tabela1[[#This Row],[Programa]]="",Tabela1[[#This Row],[Peso bruto]],VLOOKUP(Tabela1[[#This Row],[Pedido]],'Saldo a Produzir'!$A:$D,4,0)),"")</f>
        <v>20667.719999999998</v>
      </c>
      <c r="AM205" s="73">
        <v>37384.847000000002</v>
      </c>
    </row>
    <row r="206" spans="1:39" ht="14.5" x14ac:dyDescent="0.35">
      <c r="A206" s="81">
        <v>15057</v>
      </c>
      <c r="B206" s="81" t="s">
        <v>60</v>
      </c>
      <c r="C206" s="81">
        <v>95422218000906</v>
      </c>
      <c r="D206" s="81" t="s">
        <v>76</v>
      </c>
      <c r="E206" s="81" t="s">
        <v>510</v>
      </c>
      <c r="F206" s="81" t="s">
        <v>33</v>
      </c>
      <c r="G206" s="81">
        <v>26115</v>
      </c>
      <c r="H206" s="81"/>
      <c r="I206" s="81" t="s">
        <v>32</v>
      </c>
      <c r="J206" s="81" t="s">
        <v>33</v>
      </c>
      <c r="K206" s="81" t="s">
        <v>34</v>
      </c>
      <c r="L206" s="81" t="s">
        <v>941</v>
      </c>
      <c r="M206" s="81">
        <v>241162</v>
      </c>
      <c r="N206" s="90">
        <v>44693</v>
      </c>
      <c r="O206" s="90">
        <v>44743</v>
      </c>
      <c r="P206" s="90">
        <v>44693</v>
      </c>
      <c r="Q206" s="90" t="s">
        <v>35</v>
      </c>
      <c r="R206" s="81">
        <v>0</v>
      </c>
      <c r="S206" s="90" t="s">
        <v>35</v>
      </c>
      <c r="T206" s="81">
        <v>0</v>
      </c>
      <c r="U206" s="81" t="s">
        <v>36</v>
      </c>
      <c r="V206" s="90" t="s">
        <v>35</v>
      </c>
      <c r="W206" s="81" t="s">
        <v>1011</v>
      </c>
      <c r="X206" s="90">
        <v>44698</v>
      </c>
      <c r="Y206" s="81" t="s">
        <v>38</v>
      </c>
      <c r="Z206" s="81">
        <v>208</v>
      </c>
      <c r="AA206" s="81" t="s">
        <v>150</v>
      </c>
      <c r="AB206" s="81">
        <v>0</v>
      </c>
      <c r="AC206" s="81"/>
      <c r="AD206" s="81">
        <v>0</v>
      </c>
      <c r="AE206" s="81" t="s">
        <v>153</v>
      </c>
      <c r="AF206" s="81" t="s">
        <v>39</v>
      </c>
      <c r="AG206" s="83">
        <v>17.259999999999998</v>
      </c>
      <c r="AH206" s="95">
        <v>1755.25</v>
      </c>
      <c r="AI206" s="82" t="str">
        <f>CONCATENATE((TEXT(Tabela1[[#This Row],[Data entrega]],"mmmm")),"_",(YEAR(Tabela1[[#This Row],[Data entrega]])))</f>
        <v>julho_2022</v>
      </c>
      <c r="AJ206" s="77">
        <f>IFERROR(IF(Tabela1[[#This Row],[Programa]]="",Tabela1[[#This Row],[Peso bruto]],VLOOKUP(Tabela1[[#This Row],[Pedido]],'Saldo a Produzir'!$A:$D,4,0)),"")</f>
        <v>17.259999999999998</v>
      </c>
      <c r="AM206" s="73">
        <v>77.483999999999995</v>
      </c>
    </row>
    <row r="207" spans="1:39" ht="14.5" x14ac:dyDescent="0.35">
      <c r="A207" s="81">
        <v>15052</v>
      </c>
      <c r="B207" s="81" t="s">
        <v>43</v>
      </c>
      <c r="C207" s="81">
        <v>47078704000140</v>
      </c>
      <c r="D207" s="81" t="s">
        <v>621</v>
      </c>
      <c r="E207" s="81" t="s">
        <v>622</v>
      </c>
      <c r="F207" s="81" t="s">
        <v>44</v>
      </c>
      <c r="G207" s="81">
        <v>25721</v>
      </c>
      <c r="H207" s="81" t="s">
        <v>88</v>
      </c>
      <c r="I207" s="81" t="s">
        <v>32</v>
      </c>
      <c r="J207" s="81" t="s">
        <v>33</v>
      </c>
      <c r="K207" s="81" t="s">
        <v>34</v>
      </c>
      <c r="L207" s="81" t="s">
        <v>623</v>
      </c>
      <c r="M207" s="81"/>
      <c r="N207" s="90">
        <v>44645</v>
      </c>
      <c r="O207" s="90">
        <v>44743</v>
      </c>
      <c r="P207" s="90">
        <v>44655</v>
      </c>
      <c r="Q207" s="90" t="s">
        <v>35</v>
      </c>
      <c r="R207" s="81">
        <v>0</v>
      </c>
      <c r="S207" s="90" t="s">
        <v>35</v>
      </c>
      <c r="T207" s="81">
        <v>0</v>
      </c>
      <c r="U207" s="81" t="s">
        <v>36</v>
      </c>
      <c r="V207" s="90" t="s">
        <v>35</v>
      </c>
      <c r="W207" s="81" t="s">
        <v>745</v>
      </c>
      <c r="X207" s="90">
        <v>44659</v>
      </c>
      <c r="Y207" s="81" t="s">
        <v>38</v>
      </c>
      <c r="Z207" s="81">
        <v>2186</v>
      </c>
      <c r="AA207" s="81" t="s">
        <v>624</v>
      </c>
      <c r="AB207" s="81">
        <v>0</v>
      </c>
      <c r="AC207" s="81"/>
      <c r="AD207" s="81">
        <v>0</v>
      </c>
      <c r="AE207" s="81" t="s">
        <v>153</v>
      </c>
      <c r="AF207" s="81" t="s">
        <v>39</v>
      </c>
      <c r="AG207" s="83">
        <v>134.69</v>
      </c>
      <c r="AH207" s="95">
        <v>14764.75</v>
      </c>
      <c r="AI207" s="82" t="str">
        <f>CONCATENATE((TEXT(Tabela1[[#This Row],[Data entrega]],"mmmm")),"_",(YEAR(Tabela1[[#This Row],[Data entrega]])))</f>
        <v>julho_2022</v>
      </c>
      <c r="AJ207" s="77">
        <f>IFERROR(IF(Tabela1[[#This Row],[Programa]]="",Tabela1[[#This Row],[Peso bruto]],VLOOKUP(Tabela1[[#This Row],[Pedido]],'Saldo a Produzir'!$A:$D,4,0)),"")</f>
        <v>133.4</v>
      </c>
      <c r="AM207" s="73">
        <v>574.98400000000004</v>
      </c>
    </row>
    <row r="208" spans="1:39" ht="14.5" x14ac:dyDescent="0.35">
      <c r="A208" s="81">
        <v>15067</v>
      </c>
      <c r="B208" s="81" t="s">
        <v>59</v>
      </c>
      <c r="C208" s="81">
        <v>92665611000177</v>
      </c>
      <c r="D208" s="81" t="s">
        <v>383</v>
      </c>
      <c r="E208" s="81" t="s">
        <v>384</v>
      </c>
      <c r="F208" s="81" t="s">
        <v>58</v>
      </c>
      <c r="G208" s="81">
        <v>25766</v>
      </c>
      <c r="H208" s="81" t="s">
        <v>87</v>
      </c>
      <c r="I208" s="81" t="s">
        <v>32</v>
      </c>
      <c r="J208" s="81" t="s">
        <v>33</v>
      </c>
      <c r="K208" s="81" t="s">
        <v>34</v>
      </c>
      <c r="L208" s="81" t="s">
        <v>642</v>
      </c>
      <c r="M208" s="81"/>
      <c r="N208" s="90">
        <v>44649</v>
      </c>
      <c r="O208" s="90">
        <v>44743</v>
      </c>
      <c r="P208" s="90">
        <v>44669</v>
      </c>
      <c r="Q208" s="90" t="s">
        <v>35</v>
      </c>
      <c r="R208" s="81">
        <v>0</v>
      </c>
      <c r="S208" s="90" t="s">
        <v>35</v>
      </c>
      <c r="T208" s="81">
        <v>0</v>
      </c>
      <c r="U208" s="81" t="s">
        <v>36</v>
      </c>
      <c r="V208" s="90" t="s">
        <v>35</v>
      </c>
      <c r="W208" s="81" t="s">
        <v>779</v>
      </c>
      <c r="X208" s="90">
        <v>44669</v>
      </c>
      <c r="Y208" s="81" t="s">
        <v>38</v>
      </c>
      <c r="Z208" s="81">
        <v>2257</v>
      </c>
      <c r="AA208" s="81" t="s">
        <v>155</v>
      </c>
      <c r="AB208" s="81">
        <v>0</v>
      </c>
      <c r="AC208" s="81"/>
      <c r="AD208" s="81">
        <v>0</v>
      </c>
      <c r="AE208" s="81" t="s">
        <v>153</v>
      </c>
      <c r="AF208" s="81" t="s">
        <v>39</v>
      </c>
      <c r="AG208" s="83">
        <v>604.75</v>
      </c>
      <c r="AH208" s="95">
        <v>185850</v>
      </c>
      <c r="AI208" s="82" t="str">
        <f>CONCATENATE((TEXT(Tabela1[[#This Row],[Data entrega]],"mmmm")),"_",(YEAR(Tabela1[[#This Row],[Data entrega]])))</f>
        <v>julho_2022</v>
      </c>
      <c r="AJ208" s="77">
        <f>IFERROR(IF(Tabela1[[#This Row],[Programa]]="",Tabela1[[#This Row],[Peso bruto]],VLOOKUP(Tabela1[[#This Row],[Pedido]],'Saldo a Produzir'!$A:$D,4,0)),"")</f>
        <v>648.29999999999995</v>
      </c>
      <c r="AM208" s="73">
        <v>8683.2729999999992</v>
      </c>
    </row>
    <row r="209" spans="1:39" ht="14.5" x14ac:dyDescent="0.35">
      <c r="A209" s="81">
        <v>15074</v>
      </c>
      <c r="B209" s="81" t="s">
        <v>161</v>
      </c>
      <c r="C209" s="81">
        <v>934286000182</v>
      </c>
      <c r="D209" s="81" t="s">
        <v>763</v>
      </c>
      <c r="E209" s="81" t="s">
        <v>128</v>
      </c>
      <c r="F209" s="81" t="s">
        <v>44</v>
      </c>
      <c r="G209" s="81">
        <v>25893</v>
      </c>
      <c r="H209" s="81" t="s">
        <v>88</v>
      </c>
      <c r="I209" s="81" t="s">
        <v>32</v>
      </c>
      <c r="J209" s="81" t="s">
        <v>33</v>
      </c>
      <c r="K209" s="81" t="s">
        <v>34</v>
      </c>
      <c r="L209" s="81" t="s">
        <v>764</v>
      </c>
      <c r="M209" s="81"/>
      <c r="N209" s="90">
        <v>44662</v>
      </c>
      <c r="O209" s="90">
        <v>44743</v>
      </c>
      <c r="P209" s="90">
        <v>44705</v>
      </c>
      <c r="Q209" s="90" t="s">
        <v>35</v>
      </c>
      <c r="R209" s="81">
        <v>0</v>
      </c>
      <c r="S209" s="90" t="s">
        <v>35</v>
      </c>
      <c r="T209" s="81">
        <v>0</v>
      </c>
      <c r="U209" s="81" t="s">
        <v>36</v>
      </c>
      <c r="V209" s="90" t="s">
        <v>35</v>
      </c>
      <c r="W209" s="81" t="s">
        <v>1125</v>
      </c>
      <c r="X209" s="90">
        <v>44706</v>
      </c>
      <c r="Y209" s="81" t="s">
        <v>38</v>
      </c>
      <c r="Z209" s="81">
        <v>2257</v>
      </c>
      <c r="AA209" s="81" t="s">
        <v>155</v>
      </c>
      <c r="AB209" s="81">
        <v>0</v>
      </c>
      <c r="AC209" s="81"/>
      <c r="AD209" s="81">
        <v>0</v>
      </c>
      <c r="AE209" s="81" t="s">
        <v>153</v>
      </c>
      <c r="AF209" s="81" t="s">
        <v>39</v>
      </c>
      <c r="AG209" s="83">
        <v>15437.45</v>
      </c>
      <c r="AH209" s="95">
        <v>313105.63</v>
      </c>
      <c r="AI209" s="82" t="str">
        <f>CONCATENATE((TEXT(Tabela1[[#This Row],[Data entrega]],"mmmm")),"_",(YEAR(Tabela1[[#This Row],[Data entrega]])))</f>
        <v>julho_2022</v>
      </c>
      <c r="AJ209" s="77">
        <f>IFERROR(IF(Tabela1[[#This Row],[Programa]]="",Tabela1[[#This Row],[Peso bruto]],VLOOKUP(Tabela1[[#This Row],[Pedido]],'Saldo a Produzir'!$A:$D,4,0)),"")</f>
        <v>1370.8400000000001</v>
      </c>
      <c r="AM209" s="73">
        <v>15888.415000000001</v>
      </c>
    </row>
    <row r="210" spans="1:39" ht="14.5" x14ac:dyDescent="0.35">
      <c r="A210" s="81">
        <v>15909</v>
      </c>
      <c r="B210" s="81" t="s">
        <v>223</v>
      </c>
      <c r="C210" s="81">
        <v>92754738047983</v>
      </c>
      <c r="D210" s="81" t="s">
        <v>80</v>
      </c>
      <c r="E210" s="81" t="s">
        <v>177</v>
      </c>
      <c r="F210" s="81" t="s">
        <v>44</v>
      </c>
      <c r="G210" s="81">
        <v>26297</v>
      </c>
      <c r="H210" s="81" t="s">
        <v>134</v>
      </c>
      <c r="I210" s="81" t="s">
        <v>32</v>
      </c>
      <c r="J210" s="81" t="s">
        <v>33</v>
      </c>
      <c r="K210" s="81" t="s">
        <v>34</v>
      </c>
      <c r="L210" s="81" t="s">
        <v>1253</v>
      </c>
      <c r="M210" s="81"/>
      <c r="N210" s="90">
        <v>44712</v>
      </c>
      <c r="O210" s="90">
        <v>44748</v>
      </c>
      <c r="P210" s="90">
        <v>44718</v>
      </c>
      <c r="Q210" s="90" t="s">
        <v>35</v>
      </c>
      <c r="R210" s="81">
        <v>0</v>
      </c>
      <c r="S210" s="90" t="s">
        <v>35</v>
      </c>
      <c r="T210" s="81">
        <v>0</v>
      </c>
      <c r="U210" s="81" t="s">
        <v>36</v>
      </c>
      <c r="V210" s="90" t="s">
        <v>35</v>
      </c>
      <c r="W210" s="81"/>
      <c r="X210" s="90" t="s">
        <v>37</v>
      </c>
      <c r="Y210" s="81" t="s">
        <v>38</v>
      </c>
      <c r="Z210" s="81">
        <v>2000</v>
      </c>
      <c r="AA210" s="81" t="s">
        <v>154</v>
      </c>
      <c r="AB210" s="81">
        <v>0</v>
      </c>
      <c r="AC210" s="81"/>
      <c r="AD210" s="81">
        <v>0</v>
      </c>
      <c r="AE210" s="81" t="s">
        <v>153</v>
      </c>
      <c r="AF210" s="81" t="s">
        <v>39</v>
      </c>
      <c r="AG210" s="83">
        <v>1228</v>
      </c>
      <c r="AH210" s="95">
        <v>25812.5</v>
      </c>
      <c r="AI210" s="82" t="str">
        <f>CONCATENATE((TEXT(Tabela1[[#This Row],[Data entrega]],"mmmm")),"_",(YEAR(Tabela1[[#This Row],[Data entrega]])))</f>
        <v>julho_2022</v>
      </c>
      <c r="AJ210" s="77">
        <f>IFERROR(IF(Tabela1[[#This Row],[Programa]]="",Tabela1[[#This Row],[Peso bruto]],VLOOKUP(Tabela1[[#This Row],[Pedido]],'Saldo a Produzir'!$A:$D,4,0)),"")</f>
        <v>1228</v>
      </c>
      <c r="AM210" s="73">
        <v>1228</v>
      </c>
    </row>
    <row r="211" spans="1:39" ht="14.5" x14ac:dyDescent="0.35">
      <c r="A211" s="81">
        <v>15055</v>
      </c>
      <c r="B211" s="81" t="s">
        <v>61</v>
      </c>
      <c r="C211" s="81">
        <v>2290277002507</v>
      </c>
      <c r="D211" s="81" t="s">
        <v>188</v>
      </c>
      <c r="E211" s="81" t="s">
        <v>133</v>
      </c>
      <c r="F211" s="81" t="s">
        <v>53</v>
      </c>
      <c r="G211" s="81">
        <v>25115</v>
      </c>
      <c r="H211" s="81" t="s">
        <v>91</v>
      </c>
      <c r="I211" s="81" t="s">
        <v>32</v>
      </c>
      <c r="J211" s="81" t="s">
        <v>156</v>
      </c>
      <c r="K211" s="81" t="s">
        <v>34</v>
      </c>
      <c r="L211" s="81" t="s">
        <v>418</v>
      </c>
      <c r="M211" s="81">
        <v>6200192414</v>
      </c>
      <c r="N211" s="90">
        <v>44540</v>
      </c>
      <c r="O211" s="90">
        <v>44749</v>
      </c>
      <c r="P211" s="90">
        <v>44712</v>
      </c>
      <c r="Q211" s="90">
        <v>44712</v>
      </c>
      <c r="R211" s="81">
        <v>6998</v>
      </c>
      <c r="S211" s="90">
        <v>44713</v>
      </c>
      <c r="T211" s="81">
        <v>7004</v>
      </c>
      <c r="U211" s="81" t="s">
        <v>36</v>
      </c>
      <c r="V211" s="90" t="s">
        <v>35</v>
      </c>
      <c r="W211" s="81" t="s">
        <v>511</v>
      </c>
      <c r="X211" s="90">
        <v>44603</v>
      </c>
      <c r="Y211" s="81" t="s">
        <v>38</v>
      </c>
      <c r="Z211" s="81">
        <v>0</v>
      </c>
      <c r="AA211" s="81"/>
      <c r="AB211" s="81">
        <v>0</v>
      </c>
      <c r="AC211" s="81"/>
      <c r="AD211" s="81">
        <v>0</v>
      </c>
      <c r="AE211" s="81" t="s">
        <v>153</v>
      </c>
      <c r="AF211" s="81" t="s">
        <v>39</v>
      </c>
      <c r="AG211" s="83">
        <v>0</v>
      </c>
      <c r="AH211" s="95">
        <v>24365.93</v>
      </c>
      <c r="AI211" s="82" t="str">
        <f>CONCATENATE((TEXT(Tabela1[[#This Row],[Data entrega]],"mmmm")),"_",(YEAR(Tabela1[[#This Row],[Data entrega]])))</f>
        <v>julho_2022</v>
      </c>
      <c r="AJ211" s="77">
        <f>IFERROR(IF(Tabela1[[#This Row],[Programa]]="",Tabela1[[#This Row],[Peso bruto]],VLOOKUP(Tabela1[[#This Row],[Pedido]],'Saldo a Produzir'!$A:$D,4,0)),"")</f>
        <v>0</v>
      </c>
      <c r="AM211" s="73">
        <v>331.53</v>
      </c>
    </row>
    <row r="212" spans="1:39" ht="14.5" x14ac:dyDescent="0.35">
      <c r="A212" s="81">
        <v>15055</v>
      </c>
      <c r="B212" s="81" t="s">
        <v>61</v>
      </c>
      <c r="C212" s="81">
        <v>2290277002507</v>
      </c>
      <c r="D212" s="81" t="s">
        <v>188</v>
      </c>
      <c r="E212" s="81" t="s">
        <v>133</v>
      </c>
      <c r="F212" s="81" t="s">
        <v>53</v>
      </c>
      <c r="G212" s="81">
        <v>25116</v>
      </c>
      <c r="H212" s="81" t="s">
        <v>87</v>
      </c>
      <c r="I212" s="81" t="s">
        <v>32</v>
      </c>
      <c r="J212" s="81" t="s">
        <v>156</v>
      </c>
      <c r="K212" s="81" t="s">
        <v>34</v>
      </c>
      <c r="L212" s="81" t="s">
        <v>418</v>
      </c>
      <c r="M212" s="81">
        <v>6200192414</v>
      </c>
      <c r="N212" s="90">
        <v>44540</v>
      </c>
      <c r="O212" s="90">
        <v>44749</v>
      </c>
      <c r="P212" s="90">
        <v>44712</v>
      </c>
      <c r="Q212" s="90">
        <v>44712</v>
      </c>
      <c r="R212" s="81">
        <v>6992</v>
      </c>
      <c r="S212" s="90">
        <v>44712</v>
      </c>
      <c r="T212" s="81">
        <v>6992</v>
      </c>
      <c r="U212" s="81" t="s">
        <v>36</v>
      </c>
      <c r="V212" s="90" t="s">
        <v>35</v>
      </c>
      <c r="W212" s="81" t="s">
        <v>511</v>
      </c>
      <c r="X212" s="90">
        <v>44603</v>
      </c>
      <c r="Y212" s="81" t="s">
        <v>38</v>
      </c>
      <c r="Z212" s="81">
        <v>0</v>
      </c>
      <c r="AA212" s="81"/>
      <c r="AB212" s="81">
        <v>0</v>
      </c>
      <c r="AC212" s="81"/>
      <c r="AD212" s="81">
        <v>0</v>
      </c>
      <c r="AE212" s="81" t="s">
        <v>153</v>
      </c>
      <c r="AF212" s="81" t="s">
        <v>39</v>
      </c>
      <c r="AG212" s="83">
        <v>0</v>
      </c>
      <c r="AH212" s="95">
        <v>24548.01</v>
      </c>
      <c r="AI212" s="82" t="str">
        <f>CONCATENATE((TEXT(Tabela1[[#This Row],[Data entrega]],"mmmm")),"_",(YEAR(Tabela1[[#This Row],[Data entrega]])))</f>
        <v>julho_2022</v>
      </c>
      <c r="AJ212" s="77" t="str">
        <f>IFERROR(IF(Tabela1[[#This Row],[Programa]]="",Tabela1[[#This Row],[Peso bruto]],VLOOKUP(Tabela1[[#This Row],[Pedido]],'Saldo a Produzir'!$A:$D,4,0)),"")</f>
        <v/>
      </c>
      <c r="AM212" s="73">
        <v>338.46600000000001</v>
      </c>
    </row>
    <row r="213" spans="1:39" ht="14.5" x14ac:dyDescent="0.35">
      <c r="A213" s="81">
        <v>15051</v>
      </c>
      <c r="B213" s="81" t="s">
        <v>40</v>
      </c>
      <c r="C213" s="81">
        <v>45858906000180</v>
      </c>
      <c r="D213" s="81" t="s">
        <v>701</v>
      </c>
      <c r="E213" s="81" t="s">
        <v>78</v>
      </c>
      <c r="F213" s="81" t="s">
        <v>42</v>
      </c>
      <c r="G213" s="81">
        <v>25840</v>
      </c>
      <c r="H213" s="81" t="s">
        <v>87</v>
      </c>
      <c r="I213" s="81" t="s">
        <v>32</v>
      </c>
      <c r="J213" s="81" t="s">
        <v>33</v>
      </c>
      <c r="K213" s="81" t="s">
        <v>34</v>
      </c>
      <c r="L213" s="81" t="s">
        <v>702</v>
      </c>
      <c r="M213" s="81"/>
      <c r="N213" s="90">
        <v>44651</v>
      </c>
      <c r="O213" s="90">
        <v>44750</v>
      </c>
      <c r="P213" s="90">
        <v>44658</v>
      </c>
      <c r="Q213" s="90" t="s">
        <v>35</v>
      </c>
      <c r="R213" s="81">
        <v>0</v>
      </c>
      <c r="S213" s="90" t="s">
        <v>35</v>
      </c>
      <c r="T213" s="81">
        <v>0</v>
      </c>
      <c r="U213" s="81" t="s">
        <v>36</v>
      </c>
      <c r="V213" s="90" t="s">
        <v>35</v>
      </c>
      <c r="W213" s="81" t="s">
        <v>746</v>
      </c>
      <c r="X213" s="90">
        <v>44659</v>
      </c>
      <c r="Y213" s="81" t="s">
        <v>38</v>
      </c>
      <c r="Z213" s="81">
        <v>0</v>
      </c>
      <c r="AA213" s="81"/>
      <c r="AB213" s="81">
        <v>0</v>
      </c>
      <c r="AC213" s="81"/>
      <c r="AD213" s="81">
        <v>0</v>
      </c>
      <c r="AE213" s="81" t="s">
        <v>153</v>
      </c>
      <c r="AF213" s="81" t="s">
        <v>39</v>
      </c>
      <c r="AG213" s="83">
        <v>3201.38</v>
      </c>
      <c r="AH213" s="95">
        <v>169180.72</v>
      </c>
      <c r="AI213" s="82" t="str">
        <f>CONCATENATE((TEXT(Tabela1[[#This Row],[Data entrega]],"mmmm")),"_",(YEAR(Tabela1[[#This Row],[Data entrega]])))</f>
        <v>julho_2022</v>
      </c>
      <c r="AJ213" s="77" t="str">
        <f>IFERROR(IF(Tabela1[[#This Row],[Programa]]="",Tabela1[[#This Row],[Peso bruto]],VLOOKUP(Tabela1[[#This Row],[Pedido]],'Saldo a Produzir'!$A:$D,4,0)),"")</f>
        <v/>
      </c>
      <c r="AM213" s="73">
        <v>9408.2909999999993</v>
      </c>
    </row>
    <row r="214" spans="1:39" ht="14.5" x14ac:dyDescent="0.35">
      <c r="A214" s="81">
        <v>15052</v>
      </c>
      <c r="B214" s="81" t="s">
        <v>43</v>
      </c>
      <c r="C214" s="81">
        <v>58764309000138</v>
      </c>
      <c r="D214" s="81" t="s">
        <v>512</v>
      </c>
      <c r="E214" s="81" t="s">
        <v>513</v>
      </c>
      <c r="F214" s="81" t="s">
        <v>44</v>
      </c>
      <c r="G214" s="81">
        <v>25472</v>
      </c>
      <c r="H214" s="81" t="s">
        <v>95</v>
      </c>
      <c r="I214" s="81" t="s">
        <v>32</v>
      </c>
      <c r="J214" s="81" t="s">
        <v>33</v>
      </c>
      <c r="K214" s="81" t="s">
        <v>34</v>
      </c>
      <c r="L214" s="81" t="s">
        <v>514</v>
      </c>
      <c r="M214" s="81">
        <v>88476</v>
      </c>
      <c r="N214" s="90">
        <v>44608</v>
      </c>
      <c r="O214" s="90">
        <v>44750</v>
      </c>
      <c r="P214" s="90">
        <v>44608</v>
      </c>
      <c r="Q214" s="90" t="s">
        <v>35</v>
      </c>
      <c r="R214" s="81">
        <v>0</v>
      </c>
      <c r="S214" s="90" t="s">
        <v>35</v>
      </c>
      <c r="T214" s="81">
        <v>0</v>
      </c>
      <c r="U214" s="81" t="s">
        <v>36</v>
      </c>
      <c r="V214" s="90" t="s">
        <v>35</v>
      </c>
      <c r="W214" s="81" t="s">
        <v>534</v>
      </c>
      <c r="X214" s="90">
        <v>44621</v>
      </c>
      <c r="Y214" s="81" t="s">
        <v>38</v>
      </c>
      <c r="Z214" s="81">
        <v>2000</v>
      </c>
      <c r="AA214" s="81" t="s">
        <v>154</v>
      </c>
      <c r="AB214" s="81">
        <v>0</v>
      </c>
      <c r="AC214" s="81"/>
      <c r="AD214" s="81">
        <v>0</v>
      </c>
      <c r="AE214" s="81" t="s">
        <v>153</v>
      </c>
      <c r="AF214" s="81" t="s">
        <v>39</v>
      </c>
      <c r="AG214" s="83">
        <v>0</v>
      </c>
      <c r="AH214" s="95">
        <v>7537.25</v>
      </c>
      <c r="AI214" s="82" t="str">
        <f>CONCATENATE((TEXT(Tabela1[[#This Row],[Data entrega]],"mmmm")),"_",(YEAR(Tabela1[[#This Row],[Data entrega]])))</f>
        <v>julho_2022</v>
      </c>
      <c r="AJ214" s="77" t="str">
        <f>IFERROR(IF(Tabela1[[#This Row],[Programa]]="",Tabela1[[#This Row],[Peso bruto]],VLOOKUP(Tabela1[[#This Row],[Pedido]],'Saldo a Produzir'!$A:$D,4,0)),"")</f>
        <v/>
      </c>
      <c r="AM214" s="73">
        <v>230.61600000000001</v>
      </c>
    </row>
    <row r="215" spans="1:39" ht="14.5" x14ac:dyDescent="0.35">
      <c r="A215" s="81">
        <v>15076</v>
      </c>
      <c r="B215" s="81" t="s">
        <v>196</v>
      </c>
      <c r="C215" s="81">
        <v>15285173000170</v>
      </c>
      <c r="D215" s="81" t="s">
        <v>703</v>
      </c>
      <c r="E215" s="81" t="s">
        <v>74</v>
      </c>
      <c r="F215" s="81" t="s">
        <v>75</v>
      </c>
      <c r="G215" s="81">
        <v>25822</v>
      </c>
      <c r="H215" s="81" t="s">
        <v>87</v>
      </c>
      <c r="I215" s="81" t="s">
        <v>32</v>
      </c>
      <c r="J215" s="81" t="s">
        <v>33</v>
      </c>
      <c r="K215" s="81" t="s">
        <v>34</v>
      </c>
      <c r="L215" s="81" t="s">
        <v>747</v>
      </c>
      <c r="M215" s="81"/>
      <c r="N215" s="90">
        <v>44651</v>
      </c>
      <c r="O215" s="90">
        <v>44750</v>
      </c>
      <c r="P215" s="90">
        <v>44659</v>
      </c>
      <c r="Q215" s="90" t="s">
        <v>35</v>
      </c>
      <c r="R215" s="81">
        <v>0</v>
      </c>
      <c r="S215" s="90" t="s">
        <v>35</v>
      </c>
      <c r="T215" s="81">
        <v>0</v>
      </c>
      <c r="U215" s="81" t="s">
        <v>36</v>
      </c>
      <c r="V215" s="90" t="s">
        <v>35</v>
      </c>
      <c r="W215" s="81"/>
      <c r="X215" s="90" t="s">
        <v>37</v>
      </c>
      <c r="Y215" s="81" t="s">
        <v>38</v>
      </c>
      <c r="Z215" s="81">
        <v>0</v>
      </c>
      <c r="AA215" s="81"/>
      <c r="AB215" s="81">
        <v>0</v>
      </c>
      <c r="AC215" s="81"/>
      <c r="AD215" s="81">
        <v>0</v>
      </c>
      <c r="AE215" s="81"/>
      <c r="AF215" s="81" t="s">
        <v>62</v>
      </c>
      <c r="AG215" s="83">
        <v>5938.5510000000004</v>
      </c>
      <c r="AH215" s="95">
        <v>76729.119999999995</v>
      </c>
      <c r="AI215" s="82" t="str">
        <f>CONCATENATE((TEXT(Tabela1[[#This Row],[Data entrega]],"mmmm")),"_",(YEAR(Tabela1[[#This Row],[Data entrega]])))</f>
        <v>julho_2022</v>
      </c>
      <c r="AJ215" s="77">
        <f>IFERROR(IF(Tabela1[[#This Row],[Programa]]="",Tabela1[[#This Row],[Peso bruto]],VLOOKUP(Tabela1[[#This Row],[Pedido]],'Saldo a Produzir'!$A:$D,4,0)),"")</f>
        <v>5938.5510000000004</v>
      </c>
      <c r="AM215" s="73">
        <v>5938.5510000000004</v>
      </c>
    </row>
    <row r="216" spans="1:39" ht="14.5" x14ac:dyDescent="0.35">
      <c r="A216" s="81">
        <v>15062</v>
      </c>
      <c r="B216" s="81" t="s">
        <v>50</v>
      </c>
      <c r="C216" s="81">
        <v>8056030000202</v>
      </c>
      <c r="D216" s="81" t="s">
        <v>748</v>
      </c>
      <c r="E216" s="81" t="s">
        <v>749</v>
      </c>
      <c r="F216" s="81" t="s">
        <v>51</v>
      </c>
      <c r="G216" s="81">
        <v>25884</v>
      </c>
      <c r="H216" s="81" t="s">
        <v>88</v>
      </c>
      <c r="I216" s="81" t="s">
        <v>32</v>
      </c>
      <c r="J216" s="81" t="s">
        <v>33</v>
      </c>
      <c r="K216" s="81" t="s">
        <v>34</v>
      </c>
      <c r="L216" s="81" t="s">
        <v>750</v>
      </c>
      <c r="M216" s="81">
        <v>18803</v>
      </c>
      <c r="N216" s="90">
        <v>44659</v>
      </c>
      <c r="O216" s="90">
        <v>44750</v>
      </c>
      <c r="P216" s="90">
        <v>44659</v>
      </c>
      <c r="Q216" s="90" t="s">
        <v>35</v>
      </c>
      <c r="R216" s="81">
        <v>0</v>
      </c>
      <c r="S216" s="90" t="s">
        <v>35</v>
      </c>
      <c r="T216" s="81">
        <v>0</v>
      </c>
      <c r="U216" s="81" t="s">
        <v>36</v>
      </c>
      <c r="V216" s="90" t="s">
        <v>35</v>
      </c>
      <c r="W216" s="81" t="s">
        <v>762</v>
      </c>
      <c r="X216" s="90">
        <v>44664</v>
      </c>
      <c r="Y216" s="81" t="s">
        <v>38</v>
      </c>
      <c r="Z216" s="81">
        <v>44</v>
      </c>
      <c r="AA216" s="81" t="s">
        <v>151</v>
      </c>
      <c r="AB216" s="81">
        <v>0</v>
      </c>
      <c r="AC216" s="81"/>
      <c r="AD216" s="81">
        <v>0</v>
      </c>
      <c r="AE216" s="81" t="s">
        <v>153</v>
      </c>
      <c r="AF216" s="81" t="s">
        <v>39</v>
      </c>
      <c r="AG216" s="83">
        <v>367.65999999999997</v>
      </c>
      <c r="AH216" s="95">
        <v>66677.11</v>
      </c>
      <c r="AI216" s="82" t="str">
        <f>CONCATENATE((TEXT(Tabela1[[#This Row],[Data entrega]],"mmmm")),"_",(YEAR(Tabela1[[#This Row],[Data entrega]])))</f>
        <v>julho_2022</v>
      </c>
      <c r="AJ216" s="77" t="str">
        <f>IFERROR(IF(Tabela1[[#This Row],[Programa]]="",Tabela1[[#This Row],[Peso bruto]],VLOOKUP(Tabela1[[#This Row],[Pedido]],'Saldo a Produzir'!$A:$D,4,0)),"")</f>
        <v/>
      </c>
      <c r="AM216" s="73">
        <v>3149.5650000000001</v>
      </c>
    </row>
    <row r="217" spans="1:39" ht="14.5" x14ac:dyDescent="0.35">
      <c r="A217" s="81">
        <v>15064</v>
      </c>
      <c r="B217" s="81" t="s">
        <v>67</v>
      </c>
      <c r="C217" s="81">
        <v>1838723032592</v>
      </c>
      <c r="D217" s="81" t="s">
        <v>139</v>
      </c>
      <c r="E217" s="81" t="s">
        <v>66</v>
      </c>
      <c r="F217" s="81" t="s">
        <v>44</v>
      </c>
      <c r="G217" s="81">
        <v>25720</v>
      </c>
      <c r="H217" s="81" t="s">
        <v>89</v>
      </c>
      <c r="I217" s="81" t="s">
        <v>32</v>
      </c>
      <c r="J217" s="81" t="s">
        <v>33</v>
      </c>
      <c r="K217" s="81" t="s">
        <v>34</v>
      </c>
      <c r="L217" s="81" t="s">
        <v>625</v>
      </c>
      <c r="M217" s="81">
        <v>105186923</v>
      </c>
      <c r="N217" s="90">
        <v>44645</v>
      </c>
      <c r="O217" s="90">
        <v>44750</v>
      </c>
      <c r="P217" s="90">
        <v>44645</v>
      </c>
      <c r="Q217" s="90" t="s">
        <v>35</v>
      </c>
      <c r="R217" s="81">
        <v>0</v>
      </c>
      <c r="S217" s="90" t="s">
        <v>35</v>
      </c>
      <c r="T217" s="81">
        <v>0</v>
      </c>
      <c r="U217" s="81" t="s">
        <v>36</v>
      </c>
      <c r="V217" s="90" t="s">
        <v>35</v>
      </c>
      <c r="W217" s="81" t="s">
        <v>673</v>
      </c>
      <c r="X217" s="90">
        <v>44651</v>
      </c>
      <c r="Y217" s="81" t="s">
        <v>38</v>
      </c>
      <c r="Z217" s="81">
        <v>482</v>
      </c>
      <c r="AA217" s="81" t="s">
        <v>200</v>
      </c>
      <c r="AB217" s="81">
        <v>0</v>
      </c>
      <c r="AC217" s="81"/>
      <c r="AD217" s="81">
        <v>0</v>
      </c>
      <c r="AE217" s="81" t="s">
        <v>153</v>
      </c>
      <c r="AF217" s="81" t="s">
        <v>39</v>
      </c>
      <c r="AG217" s="83">
        <v>0</v>
      </c>
      <c r="AH217" s="95">
        <v>3100</v>
      </c>
      <c r="AI217" s="82" t="str">
        <f>CONCATENATE((TEXT(Tabela1[[#This Row],[Data entrega]],"mmmm")),"_",(YEAR(Tabela1[[#This Row],[Data entrega]])))</f>
        <v>julho_2022</v>
      </c>
      <c r="AJ217" s="77" t="str">
        <f>IFERROR(IF(Tabela1[[#This Row],[Programa]]="",Tabela1[[#This Row],[Peso bruto]],VLOOKUP(Tabela1[[#This Row],[Pedido]],'Saldo a Produzir'!$A:$D,4,0)),"")</f>
        <v/>
      </c>
      <c r="AM217" s="73">
        <v>113.337</v>
      </c>
    </row>
    <row r="218" spans="1:39" ht="14.5" x14ac:dyDescent="0.35">
      <c r="A218" s="81">
        <v>15067</v>
      </c>
      <c r="B218" s="81" t="s">
        <v>59</v>
      </c>
      <c r="C218" s="81">
        <v>94534237000104</v>
      </c>
      <c r="D218" s="81" t="s">
        <v>705</v>
      </c>
      <c r="E218" s="81" t="s">
        <v>704</v>
      </c>
      <c r="F218" s="81" t="s">
        <v>58</v>
      </c>
      <c r="G218" s="81">
        <v>25839</v>
      </c>
      <c r="H218" s="81" t="s">
        <v>88</v>
      </c>
      <c r="I218" s="81" t="s">
        <v>32</v>
      </c>
      <c r="J218" s="81" t="s">
        <v>33</v>
      </c>
      <c r="K218" s="81" t="s">
        <v>34</v>
      </c>
      <c r="L218" s="81" t="s">
        <v>706</v>
      </c>
      <c r="M218" s="81"/>
      <c r="N218" s="90">
        <v>44651</v>
      </c>
      <c r="O218" s="90">
        <v>44750</v>
      </c>
      <c r="P218" s="90">
        <v>44657</v>
      </c>
      <c r="Q218" s="90" t="s">
        <v>35</v>
      </c>
      <c r="R218" s="81">
        <v>0</v>
      </c>
      <c r="S218" s="90" t="s">
        <v>35</v>
      </c>
      <c r="T218" s="81">
        <v>0</v>
      </c>
      <c r="U218" s="81" t="s">
        <v>36</v>
      </c>
      <c r="V218" s="90" t="s">
        <v>35</v>
      </c>
      <c r="W218" s="81" t="s">
        <v>745</v>
      </c>
      <c r="X218" s="90">
        <v>44659</v>
      </c>
      <c r="Y218" s="81" t="s">
        <v>38</v>
      </c>
      <c r="Z218" s="81">
        <v>0</v>
      </c>
      <c r="AA218" s="81"/>
      <c r="AB218" s="81">
        <v>0</v>
      </c>
      <c r="AC218" s="81"/>
      <c r="AD218" s="81">
        <v>0</v>
      </c>
      <c r="AE218" s="81" t="s">
        <v>153</v>
      </c>
      <c r="AF218" s="81" t="s">
        <v>39</v>
      </c>
      <c r="AG218" s="83">
        <v>626.54</v>
      </c>
      <c r="AH218" s="95">
        <v>38202.5</v>
      </c>
      <c r="AI218" s="82" t="str">
        <f>CONCATENATE((TEXT(Tabela1[[#This Row],[Data entrega]],"mmmm")),"_",(YEAR(Tabela1[[#This Row],[Data entrega]])))</f>
        <v>julho_2022</v>
      </c>
      <c r="AJ218" s="77">
        <f>IFERROR(IF(Tabela1[[#This Row],[Programa]]="",Tabela1[[#This Row],[Peso bruto]],VLOOKUP(Tabela1[[#This Row],[Pedido]],'Saldo a Produzir'!$A:$D,4,0)),"")</f>
        <v>204.89</v>
      </c>
      <c r="AM218" s="73">
        <v>1833</v>
      </c>
    </row>
    <row r="219" spans="1:39" ht="14.5" x14ac:dyDescent="0.35">
      <c r="A219" s="81">
        <v>15057</v>
      </c>
      <c r="B219" s="81" t="s">
        <v>60</v>
      </c>
      <c r="C219" s="81">
        <v>871981000142</v>
      </c>
      <c r="D219" s="81" t="s">
        <v>707</v>
      </c>
      <c r="E219" s="81" t="s">
        <v>339</v>
      </c>
      <c r="F219" s="81" t="s">
        <v>58</v>
      </c>
      <c r="G219" s="81">
        <v>25841</v>
      </c>
      <c r="H219" s="81" t="s">
        <v>87</v>
      </c>
      <c r="I219" s="81" t="s">
        <v>32</v>
      </c>
      <c r="J219" s="81" t="s">
        <v>33</v>
      </c>
      <c r="K219" s="81" t="s">
        <v>34</v>
      </c>
      <c r="L219" s="81" t="s">
        <v>708</v>
      </c>
      <c r="M219" s="81">
        <v>14385</v>
      </c>
      <c r="N219" s="90">
        <v>44651</v>
      </c>
      <c r="O219" s="90">
        <v>44750</v>
      </c>
      <c r="P219" s="90">
        <v>44655</v>
      </c>
      <c r="Q219" s="90" t="s">
        <v>35</v>
      </c>
      <c r="R219" s="81">
        <v>0</v>
      </c>
      <c r="S219" s="90" t="s">
        <v>35</v>
      </c>
      <c r="T219" s="81">
        <v>0</v>
      </c>
      <c r="U219" s="81" t="s">
        <v>36</v>
      </c>
      <c r="V219" s="90" t="s">
        <v>35</v>
      </c>
      <c r="W219" s="81" t="s">
        <v>746</v>
      </c>
      <c r="X219" s="90">
        <v>44659</v>
      </c>
      <c r="Y219" s="81" t="s">
        <v>38</v>
      </c>
      <c r="Z219" s="81">
        <v>0</v>
      </c>
      <c r="AA219" s="81"/>
      <c r="AB219" s="81">
        <v>0</v>
      </c>
      <c r="AC219" s="81"/>
      <c r="AD219" s="81">
        <v>0</v>
      </c>
      <c r="AE219" s="81" t="s">
        <v>153</v>
      </c>
      <c r="AF219" s="81" t="s">
        <v>39</v>
      </c>
      <c r="AG219" s="83">
        <v>4281.8999999999996</v>
      </c>
      <c r="AH219" s="95">
        <v>144301.21</v>
      </c>
      <c r="AI219" s="82" t="str">
        <f>CONCATENATE((TEXT(Tabela1[[#This Row],[Data entrega]],"mmmm")),"_",(YEAR(Tabela1[[#This Row],[Data entrega]])))</f>
        <v>julho_2022</v>
      </c>
      <c r="AJ219" s="77" t="str">
        <f>IFERROR(IF(Tabela1[[#This Row],[Programa]]="",Tabela1[[#This Row],[Peso bruto]],VLOOKUP(Tabela1[[#This Row],[Pedido]],'Saldo a Produzir'!$A:$D,4,0)),"")</f>
        <v/>
      </c>
      <c r="AM219" s="73">
        <v>7781.5069999999996</v>
      </c>
    </row>
    <row r="220" spans="1:39" ht="14.5" x14ac:dyDescent="0.35">
      <c r="A220" s="81">
        <v>15064</v>
      </c>
      <c r="B220" s="81" t="s">
        <v>67</v>
      </c>
      <c r="C220" s="81">
        <v>1376079000112</v>
      </c>
      <c r="D220" s="81" t="s">
        <v>601</v>
      </c>
      <c r="E220" s="81" t="s">
        <v>215</v>
      </c>
      <c r="F220" s="81" t="s">
        <v>44</v>
      </c>
      <c r="G220" s="81">
        <v>25691</v>
      </c>
      <c r="H220" s="81" t="s">
        <v>92</v>
      </c>
      <c r="I220" s="81" t="s">
        <v>32</v>
      </c>
      <c r="J220" s="81" t="s">
        <v>33</v>
      </c>
      <c r="K220" s="81" t="s">
        <v>34</v>
      </c>
      <c r="L220" s="81" t="s">
        <v>602</v>
      </c>
      <c r="M220" s="83" t="s">
        <v>603</v>
      </c>
      <c r="N220" s="90">
        <v>44642</v>
      </c>
      <c r="O220" s="90">
        <v>44750</v>
      </c>
      <c r="P220" s="90">
        <v>44642</v>
      </c>
      <c r="Q220" s="90" t="s">
        <v>35</v>
      </c>
      <c r="R220" s="81">
        <v>0</v>
      </c>
      <c r="S220" s="90" t="s">
        <v>35</v>
      </c>
      <c r="T220" s="81">
        <v>0</v>
      </c>
      <c r="U220" s="81" t="s">
        <v>36</v>
      </c>
      <c r="V220" s="90" t="s">
        <v>35</v>
      </c>
      <c r="W220" s="81" t="s">
        <v>630</v>
      </c>
      <c r="X220" s="90">
        <v>44649</v>
      </c>
      <c r="Y220" s="81" t="s">
        <v>38</v>
      </c>
      <c r="Z220" s="81">
        <v>2000</v>
      </c>
      <c r="AA220" s="81" t="s">
        <v>154</v>
      </c>
      <c r="AB220" s="81">
        <v>0</v>
      </c>
      <c r="AC220" s="81"/>
      <c r="AD220" s="81">
        <v>0</v>
      </c>
      <c r="AE220" s="81" t="s">
        <v>153</v>
      </c>
      <c r="AF220" s="81" t="s">
        <v>39</v>
      </c>
      <c r="AG220" s="83">
        <v>0.04</v>
      </c>
      <c r="AH220" s="95">
        <v>2101.14</v>
      </c>
      <c r="AI220" s="82" t="str">
        <f>CONCATENATE((TEXT(Tabela1[[#This Row],[Data entrega]],"mmmm")),"_",(YEAR(Tabela1[[#This Row],[Data entrega]])))</f>
        <v>julho_2022</v>
      </c>
      <c r="AJ220" s="77">
        <f>IFERROR(IF(Tabela1[[#This Row],[Programa]]="",Tabela1[[#This Row],[Peso bruto]],VLOOKUP(Tabela1[[#This Row],[Pedido]],'Saldo a Produzir'!$A:$D,4,0)),"")</f>
        <v>0</v>
      </c>
      <c r="AM220" s="73">
        <v>66.573999999999998</v>
      </c>
    </row>
    <row r="221" spans="1:39" ht="14.5" x14ac:dyDescent="0.35">
      <c r="A221" s="81">
        <v>15064</v>
      </c>
      <c r="B221" s="81" t="s">
        <v>67</v>
      </c>
      <c r="C221" s="81">
        <v>1376079000112</v>
      </c>
      <c r="D221" s="81" t="s">
        <v>601</v>
      </c>
      <c r="E221" s="81" t="s">
        <v>215</v>
      </c>
      <c r="F221" s="81" t="s">
        <v>44</v>
      </c>
      <c r="G221" s="81">
        <v>25692</v>
      </c>
      <c r="H221" s="81" t="s">
        <v>125</v>
      </c>
      <c r="I221" s="81" t="s">
        <v>32</v>
      </c>
      <c r="J221" s="81" t="s">
        <v>33</v>
      </c>
      <c r="K221" s="81" t="s">
        <v>34</v>
      </c>
      <c r="L221" s="81" t="s">
        <v>602</v>
      </c>
      <c r="M221" s="81" t="s">
        <v>604</v>
      </c>
      <c r="N221" s="90">
        <v>44642</v>
      </c>
      <c r="O221" s="90">
        <v>44750</v>
      </c>
      <c r="P221" s="90">
        <v>44642</v>
      </c>
      <c r="Q221" s="90" t="s">
        <v>35</v>
      </c>
      <c r="R221" s="81">
        <v>0</v>
      </c>
      <c r="S221" s="90" t="s">
        <v>35</v>
      </c>
      <c r="T221" s="81">
        <v>0</v>
      </c>
      <c r="U221" s="81" t="s">
        <v>36</v>
      </c>
      <c r="V221" s="90" t="s">
        <v>35</v>
      </c>
      <c r="W221" s="81"/>
      <c r="X221" s="90" t="s">
        <v>37</v>
      </c>
      <c r="Y221" s="81" t="s">
        <v>38</v>
      </c>
      <c r="Z221" s="81">
        <v>2000</v>
      </c>
      <c r="AA221" s="81" t="s">
        <v>154</v>
      </c>
      <c r="AB221" s="81">
        <v>0</v>
      </c>
      <c r="AC221" s="81"/>
      <c r="AD221" s="81">
        <v>0</v>
      </c>
      <c r="AE221" s="81"/>
      <c r="AF221" s="81" t="s">
        <v>39</v>
      </c>
      <c r="AG221" s="83">
        <v>0</v>
      </c>
      <c r="AH221" s="95">
        <v>5265</v>
      </c>
      <c r="AI221" s="82" t="str">
        <f>CONCATENATE((TEXT(Tabela1[[#This Row],[Data entrega]],"mmmm")),"_",(YEAR(Tabela1[[#This Row],[Data entrega]])))</f>
        <v>julho_2022</v>
      </c>
      <c r="AJ221" s="77">
        <f>IFERROR(IF(Tabela1[[#This Row],[Programa]]="",Tabela1[[#This Row],[Peso bruto]],VLOOKUP(Tabela1[[#This Row],[Pedido]],'Saldo a Produzir'!$A:$D,4,0)),"")</f>
        <v>0</v>
      </c>
      <c r="AM221" s="73">
        <v>0</v>
      </c>
    </row>
    <row r="222" spans="1:39" ht="14.5" x14ac:dyDescent="0.35">
      <c r="A222" s="81">
        <v>15081</v>
      </c>
      <c r="B222" s="81" t="s">
        <v>699</v>
      </c>
      <c r="C222" s="81">
        <v>7667439000200</v>
      </c>
      <c r="D222" s="81" t="s">
        <v>729</v>
      </c>
      <c r="E222" s="81" t="s">
        <v>256</v>
      </c>
      <c r="F222" s="81" t="s">
        <v>257</v>
      </c>
      <c r="G222" s="81">
        <v>25842</v>
      </c>
      <c r="H222" s="81" t="s">
        <v>88</v>
      </c>
      <c r="I222" s="81" t="s">
        <v>32</v>
      </c>
      <c r="J222" s="81" t="s">
        <v>33</v>
      </c>
      <c r="K222" s="81" t="s">
        <v>34</v>
      </c>
      <c r="L222" s="81" t="s">
        <v>709</v>
      </c>
      <c r="M222" s="81"/>
      <c r="N222" s="90">
        <v>44651</v>
      </c>
      <c r="O222" s="90">
        <v>44750</v>
      </c>
      <c r="P222" s="90">
        <v>44656</v>
      </c>
      <c r="Q222" s="90" t="s">
        <v>35</v>
      </c>
      <c r="R222" s="81">
        <v>0</v>
      </c>
      <c r="S222" s="90" t="s">
        <v>35</v>
      </c>
      <c r="T222" s="81">
        <v>0</v>
      </c>
      <c r="U222" s="81" t="s">
        <v>36</v>
      </c>
      <c r="V222" s="90" t="s">
        <v>35</v>
      </c>
      <c r="W222" s="81" t="s">
        <v>761</v>
      </c>
      <c r="X222" s="90">
        <v>44662</v>
      </c>
      <c r="Y222" s="81" t="s">
        <v>38</v>
      </c>
      <c r="Z222" s="81">
        <v>0</v>
      </c>
      <c r="AA222" s="81"/>
      <c r="AB222" s="81">
        <v>0</v>
      </c>
      <c r="AC222" s="81"/>
      <c r="AD222" s="81">
        <v>0</v>
      </c>
      <c r="AE222" s="81"/>
      <c r="AF222" s="81" t="s">
        <v>62</v>
      </c>
      <c r="AG222" s="83">
        <v>73546.73</v>
      </c>
      <c r="AH222" s="95">
        <v>1135750</v>
      </c>
      <c r="AI222" s="82" t="str">
        <f>CONCATENATE((TEXT(Tabela1[[#This Row],[Data entrega]],"mmmm")),"_",(YEAR(Tabela1[[#This Row],[Data entrega]])))</f>
        <v>julho_2022</v>
      </c>
      <c r="AJ222" s="77">
        <f>IFERROR(IF(Tabela1[[#This Row],[Programa]]="",Tabela1[[#This Row],[Peso bruto]],VLOOKUP(Tabela1[[#This Row],[Pedido]],'Saldo a Produzir'!$A:$D,4,0)),"")</f>
        <v>71071.789999999994</v>
      </c>
      <c r="AM222" s="73">
        <v>75535.732999999993</v>
      </c>
    </row>
    <row r="223" spans="1:39" ht="14.5" x14ac:dyDescent="0.35">
      <c r="A223" s="81">
        <v>15067</v>
      </c>
      <c r="B223" s="81" t="s">
        <v>59</v>
      </c>
      <c r="C223" s="81">
        <v>2494715000173</v>
      </c>
      <c r="D223" s="81" t="s">
        <v>710</v>
      </c>
      <c r="E223" s="81" t="s">
        <v>157</v>
      </c>
      <c r="F223" s="81" t="s">
        <v>58</v>
      </c>
      <c r="G223" s="81">
        <v>25804</v>
      </c>
      <c r="H223" s="81" t="s">
        <v>87</v>
      </c>
      <c r="I223" s="81" t="s">
        <v>32</v>
      </c>
      <c r="J223" s="81" t="s">
        <v>33</v>
      </c>
      <c r="K223" s="81" t="s">
        <v>34</v>
      </c>
      <c r="L223" s="81" t="s">
        <v>711</v>
      </c>
      <c r="M223" s="81"/>
      <c r="N223" s="90">
        <v>44651</v>
      </c>
      <c r="O223" s="90">
        <v>44750</v>
      </c>
      <c r="P223" s="90">
        <v>44657</v>
      </c>
      <c r="Q223" s="90" t="s">
        <v>35</v>
      </c>
      <c r="R223" s="81">
        <v>0</v>
      </c>
      <c r="S223" s="90" t="s">
        <v>35</v>
      </c>
      <c r="T223" s="81">
        <v>0</v>
      </c>
      <c r="U223" s="81" t="s">
        <v>36</v>
      </c>
      <c r="V223" s="90" t="s">
        <v>35</v>
      </c>
      <c r="W223" s="81" t="s">
        <v>746</v>
      </c>
      <c r="X223" s="90">
        <v>44659</v>
      </c>
      <c r="Y223" s="81" t="s">
        <v>38</v>
      </c>
      <c r="Z223" s="81">
        <v>2257</v>
      </c>
      <c r="AA223" s="81" t="s">
        <v>155</v>
      </c>
      <c r="AB223" s="81">
        <v>0</v>
      </c>
      <c r="AC223" s="81"/>
      <c r="AD223" s="81">
        <v>0</v>
      </c>
      <c r="AE223" s="81"/>
      <c r="AF223" s="81" t="s">
        <v>39</v>
      </c>
      <c r="AG223" s="83">
        <v>1215.46</v>
      </c>
      <c r="AH223" s="95">
        <v>45894.63</v>
      </c>
      <c r="AI223" s="82" t="str">
        <f>CONCATENATE((TEXT(Tabela1[[#This Row],[Data entrega]],"mmmm")),"_",(YEAR(Tabela1[[#This Row],[Data entrega]])))</f>
        <v>julho_2022</v>
      </c>
      <c r="AJ223" s="77">
        <f>IFERROR(IF(Tabela1[[#This Row],[Programa]]="",Tabela1[[#This Row],[Peso bruto]],VLOOKUP(Tabela1[[#This Row],[Pedido]],'Saldo a Produzir'!$A:$D,4,0)),"")</f>
        <v>467.25</v>
      </c>
      <c r="AM223" s="73">
        <v>1970.8050000000001</v>
      </c>
    </row>
    <row r="224" spans="1:39" ht="14.5" x14ac:dyDescent="0.35">
      <c r="A224" s="81">
        <v>15077</v>
      </c>
      <c r="B224" s="81" t="s">
        <v>298</v>
      </c>
      <c r="C224" s="81">
        <v>30584194000342</v>
      </c>
      <c r="D224" s="81" t="s">
        <v>738</v>
      </c>
      <c r="E224" s="81" t="s">
        <v>105</v>
      </c>
      <c r="F224" s="81" t="s">
        <v>44</v>
      </c>
      <c r="G224" s="81">
        <v>25876</v>
      </c>
      <c r="H224" s="81" t="s">
        <v>88</v>
      </c>
      <c r="I224" s="81" t="s">
        <v>32</v>
      </c>
      <c r="J224" s="81" t="s">
        <v>33</v>
      </c>
      <c r="K224" s="81" t="s">
        <v>34</v>
      </c>
      <c r="L224" s="81" t="s">
        <v>739</v>
      </c>
      <c r="M224" s="81"/>
      <c r="N224" s="90">
        <v>44658</v>
      </c>
      <c r="O224" s="90">
        <v>44750</v>
      </c>
      <c r="P224" s="90">
        <v>44663</v>
      </c>
      <c r="Q224" s="90" t="s">
        <v>35</v>
      </c>
      <c r="R224" s="81">
        <v>0</v>
      </c>
      <c r="S224" s="90" t="s">
        <v>35</v>
      </c>
      <c r="T224" s="81">
        <v>0</v>
      </c>
      <c r="U224" s="81" t="s">
        <v>36</v>
      </c>
      <c r="V224" s="90" t="s">
        <v>35</v>
      </c>
      <c r="W224" s="81" t="s">
        <v>762</v>
      </c>
      <c r="X224" s="90">
        <v>44664</v>
      </c>
      <c r="Y224" s="81" t="s">
        <v>38</v>
      </c>
      <c r="Z224" s="81">
        <v>0</v>
      </c>
      <c r="AA224" s="81"/>
      <c r="AB224" s="81">
        <v>0</v>
      </c>
      <c r="AC224" s="81"/>
      <c r="AD224" s="81">
        <v>0</v>
      </c>
      <c r="AE224" s="81" t="s">
        <v>153</v>
      </c>
      <c r="AF224" s="81" t="s">
        <v>39</v>
      </c>
      <c r="AG224" s="83">
        <v>3489.4500000000003</v>
      </c>
      <c r="AH224" s="95">
        <v>328409.64</v>
      </c>
      <c r="AI224" s="82" t="str">
        <f>CONCATENATE((TEXT(Tabela1[[#This Row],[Data entrega]],"mmmm")),"_",(YEAR(Tabela1[[#This Row],[Data entrega]])))</f>
        <v>julho_2022</v>
      </c>
      <c r="AJ224" s="77" t="str">
        <f>IFERROR(IF(Tabela1[[#This Row],[Programa]]="",Tabela1[[#This Row],[Peso bruto]],VLOOKUP(Tabela1[[#This Row],[Pedido]],'Saldo a Produzir'!$A:$D,4,0)),"")</f>
        <v/>
      </c>
      <c r="AM224" s="73">
        <v>16362.57</v>
      </c>
    </row>
    <row r="225" spans="1:39" ht="14.5" x14ac:dyDescent="0.35">
      <c r="A225" s="81">
        <v>15070</v>
      </c>
      <c r="B225" s="81" t="s">
        <v>140</v>
      </c>
      <c r="C225" s="81">
        <v>22855387000109</v>
      </c>
      <c r="D225" s="81" t="s">
        <v>579</v>
      </c>
      <c r="E225" s="81" t="s">
        <v>52</v>
      </c>
      <c r="F225" s="81" t="s">
        <v>42</v>
      </c>
      <c r="G225" s="81">
        <v>25657</v>
      </c>
      <c r="H225" s="81" t="s">
        <v>92</v>
      </c>
      <c r="I225" s="81" t="s">
        <v>32</v>
      </c>
      <c r="J225" s="81" t="s">
        <v>33</v>
      </c>
      <c r="K225" s="81" t="s">
        <v>34</v>
      </c>
      <c r="L225" s="81" t="s">
        <v>580</v>
      </c>
      <c r="M225" s="81"/>
      <c r="N225" s="90">
        <v>44637</v>
      </c>
      <c r="O225" s="90">
        <v>44750</v>
      </c>
      <c r="P225" s="90">
        <v>44637</v>
      </c>
      <c r="Q225" s="90" t="s">
        <v>35</v>
      </c>
      <c r="R225" s="81">
        <v>0</v>
      </c>
      <c r="S225" s="90" t="s">
        <v>35</v>
      </c>
      <c r="T225" s="81">
        <v>0</v>
      </c>
      <c r="U225" s="81" t="s">
        <v>36</v>
      </c>
      <c r="V225" s="90" t="s">
        <v>35</v>
      </c>
      <c r="W225" s="81" t="s">
        <v>605</v>
      </c>
      <c r="X225" s="90">
        <v>44643</v>
      </c>
      <c r="Y225" s="81" t="s">
        <v>38</v>
      </c>
      <c r="Z225" s="81">
        <v>2000</v>
      </c>
      <c r="AA225" s="81" t="s">
        <v>154</v>
      </c>
      <c r="AB225" s="81">
        <v>0</v>
      </c>
      <c r="AC225" s="81"/>
      <c r="AD225" s="81">
        <v>0</v>
      </c>
      <c r="AE225" s="81" t="s">
        <v>153</v>
      </c>
      <c r="AF225" s="81" t="s">
        <v>39</v>
      </c>
      <c r="AG225" s="83">
        <v>0</v>
      </c>
      <c r="AH225" s="95">
        <v>13525.75</v>
      </c>
      <c r="AI225" s="82" t="str">
        <f>CONCATENATE((TEXT(Tabela1[[#This Row],[Data entrega]],"mmmm")),"_",(YEAR(Tabela1[[#This Row],[Data entrega]])))</f>
        <v>julho_2022</v>
      </c>
      <c r="AJ225" s="77">
        <f>IFERROR(IF(Tabela1[[#This Row],[Programa]]="",Tabela1[[#This Row],[Peso bruto]],VLOOKUP(Tabela1[[#This Row],[Pedido]],'Saldo a Produzir'!$A:$D,4,0)),"")</f>
        <v>0</v>
      </c>
      <c r="AM225" s="73">
        <v>1171.3630000000001</v>
      </c>
    </row>
    <row r="226" spans="1:39" ht="14.5" x14ac:dyDescent="0.35">
      <c r="A226" s="81">
        <v>15067</v>
      </c>
      <c r="B226" s="81" t="s">
        <v>59</v>
      </c>
      <c r="C226" s="81">
        <v>89723845000119</v>
      </c>
      <c r="D226" s="81" t="s">
        <v>751</v>
      </c>
      <c r="E226" s="81" t="s">
        <v>210</v>
      </c>
      <c r="F226" s="81" t="s">
        <v>58</v>
      </c>
      <c r="G226" s="81">
        <v>25878</v>
      </c>
      <c r="H226" s="81" t="s">
        <v>88</v>
      </c>
      <c r="I226" s="81" t="s">
        <v>32</v>
      </c>
      <c r="J226" s="81" t="s">
        <v>33</v>
      </c>
      <c r="K226" s="81" t="s">
        <v>34</v>
      </c>
      <c r="L226" s="81" t="s">
        <v>752</v>
      </c>
      <c r="M226" s="81">
        <v>46530</v>
      </c>
      <c r="N226" s="90">
        <v>44659</v>
      </c>
      <c r="O226" s="90">
        <v>44750</v>
      </c>
      <c r="P226" s="90">
        <v>44663</v>
      </c>
      <c r="Q226" s="90" t="s">
        <v>35</v>
      </c>
      <c r="R226" s="81">
        <v>0</v>
      </c>
      <c r="S226" s="90" t="s">
        <v>35</v>
      </c>
      <c r="T226" s="81">
        <v>0</v>
      </c>
      <c r="U226" s="81" t="s">
        <v>36</v>
      </c>
      <c r="V226" s="90" t="s">
        <v>35</v>
      </c>
      <c r="W226" s="81" t="s">
        <v>762</v>
      </c>
      <c r="X226" s="90">
        <v>44664</v>
      </c>
      <c r="Y226" s="81" t="s">
        <v>38</v>
      </c>
      <c r="Z226" s="81">
        <v>2257</v>
      </c>
      <c r="AA226" s="81" t="s">
        <v>155</v>
      </c>
      <c r="AB226" s="81">
        <v>0</v>
      </c>
      <c r="AC226" s="81"/>
      <c r="AD226" s="81">
        <v>0</v>
      </c>
      <c r="AE226" s="81" t="s">
        <v>153</v>
      </c>
      <c r="AF226" s="81" t="s">
        <v>39</v>
      </c>
      <c r="AG226" s="83">
        <v>357.5</v>
      </c>
      <c r="AH226" s="95">
        <v>12390</v>
      </c>
      <c r="AI226" s="82" t="str">
        <f>CONCATENATE((TEXT(Tabela1[[#This Row],[Data entrega]],"mmmm")),"_",(YEAR(Tabela1[[#This Row],[Data entrega]])))</f>
        <v>julho_2022</v>
      </c>
      <c r="AJ226" s="77">
        <f>IFERROR(IF(Tabela1[[#This Row],[Programa]]="",Tabela1[[#This Row],[Peso bruto]],VLOOKUP(Tabela1[[#This Row],[Pedido]],'Saldo a Produzir'!$A:$D,4,0)),"")</f>
        <v>0</v>
      </c>
      <c r="AM226" s="73">
        <v>450.86099999999999</v>
      </c>
    </row>
    <row r="227" spans="1:39" ht="14.5" x14ac:dyDescent="0.35">
      <c r="A227" s="81">
        <v>15070</v>
      </c>
      <c r="B227" s="81" t="s">
        <v>140</v>
      </c>
      <c r="C227" s="81">
        <v>3383709000373</v>
      </c>
      <c r="D227" s="81" t="s">
        <v>1088</v>
      </c>
      <c r="E227" s="81" t="s">
        <v>1089</v>
      </c>
      <c r="F227" s="81" t="s">
        <v>42</v>
      </c>
      <c r="G227" s="81">
        <v>26201</v>
      </c>
      <c r="H227" s="81" t="s">
        <v>87</v>
      </c>
      <c r="I227" s="81" t="s">
        <v>32</v>
      </c>
      <c r="J227" s="81" t="s">
        <v>33</v>
      </c>
      <c r="K227" s="81" t="s">
        <v>34</v>
      </c>
      <c r="L227" s="81" t="s">
        <v>1090</v>
      </c>
      <c r="M227" s="81"/>
      <c r="N227" s="90">
        <v>44705</v>
      </c>
      <c r="O227" s="90">
        <v>44750</v>
      </c>
      <c r="P227" s="90">
        <v>44707</v>
      </c>
      <c r="Q227" s="90" t="s">
        <v>35</v>
      </c>
      <c r="R227" s="81">
        <v>0</v>
      </c>
      <c r="S227" s="90" t="s">
        <v>35</v>
      </c>
      <c r="T227" s="81">
        <v>0</v>
      </c>
      <c r="U227" s="81" t="s">
        <v>36</v>
      </c>
      <c r="V227" s="90" t="s">
        <v>35</v>
      </c>
      <c r="W227" s="81" t="s">
        <v>1126</v>
      </c>
      <c r="X227" s="90">
        <v>44707</v>
      </c>
      <c r="Y227" s="81" t="s">
        <v>38</v>
      </c>
      <c r="Z227" s="81">
        <v>0</v>
      </c>
      <c r="AA227" s="81"/>
      <c r="AB227" s="81">
        <v>0</v>
      </c>
      <c r="AC227" s="81"/>
      <c r="AD227" s="81">
        <v>0</v>
      </c>
      <c r="AE227" s="81" t="s">
        <v>153</v>
      </c>
      <c r="AF227" s="81" t="s">
        <v>39</v>
      </c>
      <c r="AG227" s="83">
        <v>1249.27</v>
      </c>
      <c r="AH227" s="95">
        <v>84148.75</v>
      </c>
      <c r="AI227" s="82" t="str">
        <f>CONCATENATE((TEXT(Tabela1[[#This Row],[Data entrega]],"mmmm")),"_",(YEAR(Tabela1[[#This Row],[Data entrega]])))</f>
        <v>julho_2022</v>
      </c>
      <c r="AJ227" s="77">
        <f>IFERROR(IF(Tabela1[[#This Row],[Programa]]="",Tabela1[[#This Row],[Peso bruto]],VLOOKUP(Tabela1[[#This Row],[Pedido]],'Saldo a Produzir'!$A:$D,4,0)),"")</f>
        <v>730.52</v>
      </c>
      <c r="AM227" s="73">
        <v>3768.74</v>
      </c>
    </row>
    <row r="228" spans="1:39" ht="14.5" x14ac:dyDescent="0.35">
      <c r="A228" s="81">
        <v>15070</v>
      </c>
      <c r="B228" s="81" t="s">
        <v>140</v>
      </c>
      <c r="C228" s="81">
        <v>3383709000373</v>
      </c>
      <c r="D228" s="81" t="s">
        <v>1088</v>
      </c>
      <c r="E228" s="81" t="s">
        <v>1089</v>
      </c>
      <c r="F228" s="81" t="s">
        <v>42</v>
      </c>
      <c r="G228" s="81">
        <v>26202</v>
      </c>
      <c r="H228" s="81" t="s">
        <v>88</v>
      </c>
      <c r="I228" s="81" t="s">
        <v>32</v>
      </c>
      <c r="J228" s="81" t="s">
        <v>33</v>
      </c>
      <c r="K228" s="81" t="s">
        <v>34</v>
      </c>
      <c r="L228" s="81" t="s">
        <v>1091</v>
      </c>
      <c r="M228" s="81"/>
      <c r="N228" s="90">
        <v>44705</v>
      </c>
      <c r="O228" s="90">
        <v>44750</v>
      </c>
      <c r="P228" s="90">
        <v>44705</v>
      </c>
      <c r="Q228" s="90" t="s">
        <v>35</v>
      </c>
      <c r="R228" s="81">
        <v>0</v>
      </c>
      <c r="S228" s="90" t="s">
        <v>35</v>
      </c>
      <c r="T228" s="81">
        <v>0</v>
      </c>
      <c r="U228" s="81" t="s">
        <v>36</v>
      </c>
      <c r="V228" s="90" t="s">
        <v>35</v>
      </c>
      <c r="W228" s="81" t="s">
        <v>1154</v>
      </c>
      <c r="X228" s="90">
        <v>44708</v>
      </c>
      <c r="Y228" s="81" t="s">
        <v>38</v>
      </c>
      <c r="Z228" s="81">
        <v>2000</v>
      </c>
      <c r="AA228" s="81" t="s">
        <v>154</v>
      </c>
      <c r="AB228" s="81">
        <v>0</v>
      </c>
      <c r="AC228" s="81"/>
      <c r="AD228" s="81">
        <v>0</v>
      </c>
      <c r="AE228" s="81" t="s">
        <v>153</v>
      </c>
      <c r="AF228" s="81" t="s">
        <v>39</v>
      </c>
      <c r="AG228" s="83">
        <v>1.36</v>
      </c>
      <c r="AH228" s="95">
        <v>12092.64</v>
      </c>
      <c r="AI228" s="82" t="str">
        <f>CONCATENATE((TEXT(Tabela1[[#This Row],[Data entrega]],"mmmm")),"_",(YEAR(Tabela1[[#This Row],[Data entrega]])))</f>
        <v>julho_2022</v>
      </c>
      <c r="AJ228" s="77" t="str">
        <f>IFERROR(IF(Tabela1[[#This Row],[Programa]]="",Tabela1[[#This Row],[Peso bruto]],VLOOKUP(Tabela1[[#This Row],[Pedido]],'Saldo a Produzir'!$A:$D,4,0)),"")</f>
        <v/>
      </c>
      <c r="AM228" s="73">
        <v>432.38299999999998</v>
      </c>
    </row>
    <row r="229" spans="1:39" ht="14.5" x14ac:dyDescent="0.35">
      <c r="A229" s="81">
        <v>15077</v>
      </c>
      <c r="B229" s="81" t="s">
        <v>298</v>
      </c>
      <c r="C229" s="81">
        <v>19576717000104</v>
      </c>
      <c r="D229" s="81" t="s">
        <v>823</v>
      </c>
      <c r="E229" s="81" t="s">
        <v>79</v>
      </c>
      <c r="F229" s="81" t="s">
        <v>44</v>
      </c>
      <c r="G229" s="81">
        <v>25984</v>
      </c>
      <c r="H229" s="81" t="s">
        <v>92</v>
      </c>
      <c r="I229" s="81" t="s">
        <v>32</v>
      </c>
      <c r="J229" s="81" t="s">
        <v>33</v>
      </c>
      <c r="K229" s="81" t="s">
        <v>34</v>
      </c>
      <c r="L229" s="81" t="s">
        <v>824</v>
      </c>
      <c r="M229" s="81"/>
      <c r="N229" s="90">
        <v>44677</v>
      </c>
      <c r="O229" s="90">
        <v>44750</v>
      </c>
      <c r="P229" s="90">
        <v>44679</v>
      </c>
      <c r="Q229" s="90" t="s">
        <v>35</v>
      </c>
      <c r="R229" s="81">
        <v>0</v>
      </c>
      <c r="S229" s="90" t="s">
        <v>35</v>
      </c>
      <c r="T229" s="81">
        <v>0</v>
      </c>
      <c r="U229" s="81" t="s">
        <v>36</v>
      </c>
      <c r="V229" s="90" t="s">
        <v>35</v>
      </c>
      <c r="W229" s="81" t="s">
        <v>877</v>
      </c>
      <c r="X229" s="90">
        <v>44686</v>
      </c>
      <c r="Y229" s="81" t="s">
        <v>38</v>
      </c>
      <c r="Z229" s="81">
        <v>2257</v>
      </c>
      <c r="AA229" s="81" t="s">
        <v>155</v>
      </c>
      <c r="AB229" s="81">
        <v>0</v>
      </c>
      <c r="AC229" s="81"/>
      <c r="AD229" s="81">
        <v>0</v>
      </c>
      <c r="AE229" s="81" t="s">
        <v>153</v>
      </c>
      <c r="AF229" s="81" t="s">
        <v>39</v>
      </c>
      <c r="AG229" s="83">
        <v>745.37</v>
      </c>
      <c r="AH229" s="95">
        <v>139387.5</v>
      </c>
      <c r="AI229" s="82" t="str">
        <f>CONCATENATE((TEXT(Tabela1[[#This Row],[Data entrega]],"mmmm")),"_",(YEAR(Tabela1[[#This Row],[Data entrega]])))</f>
        <v>julho_2022</v>
      </c>
      <c r="AJ229" s="77">
        <f>IFERROR(IF(Tabela1[[#This Row],[Programa]]="",Tabela1[[#This Row],[Peso bruto]],VLOOKUP(Tabela1[[#This Row],[Pedido]],'Saldo a Produzir'!$A:$D,4,0)),"")</f>
        <v>497.41</v>
      </c>
      <c r="AM229" s="73">
        <v>10527.39</v>
      </c>
    </row>
    <row r="230" spans="1:39" ht="14.5" x14ac:dyDescent="0.35">
      <c r="A230" s="81">
        <v>15080</v>
      </c>
      <c r="B230" s="81" t="s">
        <v>550</v>
      </c>
      <c r="C230" s="81">
        <v>20445801000178</v>
      </c>
      <c r="D230" s="81" t="s">
        <v>740</v>
      </c>
      <c r="E230" s="81" t="s">
        <v>741</v>
      </c>
      <c r="F230" s="81" t="s">
        <v>44</v>
      </c>
      <c r="G230" s="81">
        <v>25874</v>
      </c>
      <c r="H230" s="81" t="s">
        <v>88</v>
      </c>
      <c r="I230" s="81" t="s">
        <v>32</v>
      </c>
      <c r="J230" s="81" t="s">
        <v>33</v>
      </c>
      <c r="K230" s="81" t="s">
        <v>34</v>
      </c>
      <c r="L230" s="81" t="s">
        <v>742</v>
      </c>
      <c r="M230" s="81"/>
      <c r="N230" s="90">
        <v>44658</v>
      </c>
      <c r="O230" s="90">
        <v>44750</v>
      </c>
      <c r="P230" s="90">
        <v>44712</v>
      </c>
      <c r="Q230" s="90" t="s">
        <v>35</v>
      </c>
      <c r="R230" s="81">
        <v>0</v>
      </c>
      <c r="S230" s="90" t="s">
        <v>35</v>
      </c>
      <c r="T230" s="81">
        <v>0</v>
      </c>
      <c r="U230" s="81" t="s">
        <v>36</v>
      </c>
      <c r="V230" s="90" t="s">
        <v>35</v>
      </c>
      <c r="W230" s="81" t="s">
        <v>762</v>
      </c>
      <c r="X230" s="90">
        <v>44664</v>
      </c>
      <c r="Y230" s="81" t="s">
        <v>38</v>
      </c>
      <c r="Z230" s="81">
        <v>0</v>
      </c>
      <c r="AA230" s="81"/>
      <c r="AB230" s="81">
        <v>0</v>
      </c>
      <c r="AC230" s="81"/>
      <c r="AD230" s="81">
        <v>0</v>
      </c>
      <c r="AE230" s="81" t="s">
        <v>153</v>
      </c>
      <c r="AF230" s="81" t="s">
        <v>39</v>
      </c>
      <c r="AG230" s="83">
        <v>322.34000000000003</v>
      </c>
      <c r="AH230" s="95">
        <v>10004.93</v>
      </c>
      <c r="AI230" s="82" t="str">
        <f>CONCATENATE((TEXT(Tabela1[[#This Row],[Data entrega]],"mmmm")),"_",(YEAR(Tabela1[[#This Row],[Data entrega]])))</f>
        <v>julho_2022</v>
      </c>
      <c r="AJ230" s="77">
        <f>IFERROR(IF(Tabela1[[#This Row],[Programa]]="",Tabela1[[#This Row],[Peso bruto]],VLOOKUP(Tabela1[[#This Row],[Pedido]],'Saldo a Produzir'!$A:$D,4,0)),"")</f>
        <v>322.15999999999997</v>
      </c>
      <c r="AM230" s="73">
        <v>332.92200000000003</v>
      </c>
    </row>
    <row r="231" spans="1:39" ht="14.5" x14ac:dyDescent="0.35">
      <c r="A231" s="81">
        <v>15059</v>
      </c>
      <c r="B231" s="81" t="s">
        <v>63</v>
      </c>
      <c r="C231" s="81">
        <v>2278437000117</v>
      </c>
      <c r="D231" s="81" t="s">
        <v>730</v>
      </c>
      <c r="E231" s="81" t="s">
        <v>731</v>
      </c>
      <c r="F231" s="81" t="s">
        <v>64</v>
      </c>
      <c r="G231" s="81">
        <v>25861</v>
      </c>
      <c r="H231" s="81" t="s">
        <v>87</v>
      </c>
      <c r="I231" s="81" t="s">
        <v>32</v>
      </c>
      <c r="J231" s="81" t="s">
        <v>33</v>
      </c>
      <c r="K231" s="81" t="s">
        <v>34</v>
      </c>
      <c r="L231" s="81" t="s">
        <v>732</v>
      </c>
      <c r="M231" s="81"/>
      <c r="N231" s="90">
        <v>44656</v>
      </c>
      <c r="O231" s="90">
        <v>44750</v>
      </c>
      <c r="P231" s="90">
        <v>44656</v>
      </c>
      <c r="Q231" s="90" t="s">
        <v>35</v>
      </c>
      <c r="R231" s="81">
        <v>0</v>
      </c>
      <c r="S231" s="90" t="s">
        <v>35</v>
      </c>
      <c r="T231" s="81">
        <v>0</v>
      </c>
      <c r="U231" s="81" t="s">
        <v>36</v>
      </c>
      <c r="V231" s="90" t="s">
        <v>35</v>
      </c>
      <c r="W231" s="81" t="s">
        <v>746</v>
      </c>
      <c r="X231" s="90">
        <v>44659</v>
      </c>
      <c r="Y231" s="81" t="s">
        <v>38</v>
      </c>
      <c r="Z231" s="81">
        <v>208</v>
      </c>
      <c r="AA231" s="81" t="s">
        <v>150</v>
      </c>
      <c r="AB231" s="81">
        <v>0</v>
      </c>
      <c r="AC231" s="81"/>
      <c r="AD231" s="81">
        <v>0</v>
      </c>
      <c r="AE231" s="81" t="s">
        <v>153</v>
      </c>
      <c r="AF231" s="81" t="s">
        <v>39</v>
      </c>
      <c r="AG231" s="83">
        <v>9.2899999999999991</v>
      </c>
      <c r="AH231" s="95">
        <v>722.75</v>
      </c>
      <c r="AI231" s="82" t="str">
        <f>CONCATENATE((TEXT(Tabela1[[#This Row],[Data entrega]],"mmmm")),"_",(YEAR(Tabela1[[#This Row],[Data entrega]])))</f>
        <v>julho_2022</v>
      </c>
      <c r="AJ231" s="77">
        <f>IFERROR(IF(Tabela1[[#This Row],[Programa]]="",Tabela1[[#This Row],[Peso bruto]],VLOOKUP(Tabela1[[#This Row],[Pedido]],'Saldo a Produzir'!$A:$D,4,0)),"")</f>
        <v>9.25</v>
      </c>
      <c r="AM231" s="73">
        <v>9.2940000000000005</v>
      </c>
    </row>
    <row r="232" spans="1:39" ht="14.5" x14ac:dyDescent="0.35">
      <c r="A232" s="81">
        <v>15067</v>
      </c>
      <c r="B232" s="81" t="s">
        <v>59</v>
      </c>
      <c r="C232" s="81">
        <v>4522379000665</v>
      </c>
      <c r="D232" s="81" t="s">
        <v>675</v>
      </c>
      <c r="E232" s="81" t="s">
        <v>595</v>
      </c>
      <c r="F232" s="81" t="s">
        <v>596</v>
      </c>
      <c r="G232" s="81">
        <v>25801</v>
      </c>
      <c r="H232" s="81" t="s">
        <v>88</v>
      </c>
      <c r="I232" s="81" t="s">
        <v>32</v>
      </c>
      <c r="J232" s="81" t="s">
        <v>33</v>
      </c>
      <c r="K232" s="81" t="s">
        <v>34</v>
      </c>
      <c r="L232" s="81" t="s">
        <v>676</v>
      </c>
      <c r="M232" s="81"/>
      <c r="N232" s="90">
        <v>44651</v>
      </c>
      <c r="O232" s="90">
        <v>44750</v>
      </c>
      <c r="P232" s="90">
        <v>44659</v>
      </c>
      <c r="Q232" s="90" t="s">
        <v>35</v>
      </c>
      <c r="R232" s="81">
        <v>0</v>
      </c>
      <c r="S232" s="90" t="s">
        <v>35</v>
      </c>
      <c r="T232" s="81">
        <v>0</v>
      </c>
      <c r="U232" s="81" t="s">
        <v>36</v>
      </c>
      <c r="V232" s="90" t="s">
        <v>35</v>
      </c>
      <c r="W232" s="81" t="s">
        <v>761</v>
      </c>
      <c r="X232" s="90">
        <v>44662</v>
      </c>
      <c r="Y232" s="81" t="s">
        <v>38</v>
      </c>
      <c r="Z232" s="81">
        <v>2257</v>
      </c>
      <c r="AA232" s="81" t="s">
        <v>155</v>
      </c>
      <c r="AB232" s="81">
        <v>0</v>
      </c>
      <c r="AC232" s="81"/>
      <c r="AD232" s="81">
        <v>0</v>
      </c>
      <c r="AE232" s="81" t="s">
        <v>153</v>
      </c>
      <c r="AF232" s="81" t="s">
        <v>39</v>
      </c>
      <c r="AG232" s="83">
        <v>4657.1799999999994</v>
      </c>
      <c r="AH232" s="95">
        <v>194289.66</v>
      </c>
      <c r="AI232" s="82" t="str">
        <f>CONCATENATE((TEXT(Tabela1[[#This Row],[Data entrega]],"mmmm")),"_",(YEAR(Tabela1[[#This Row],[Data entrega]])))</f>
        <v>julho_2022</v>
      </c>
      <c r="AJ232" s="77">
        <f>IFERROR(IF(Tabela1[[#This Row],[Programa]]="",Tabela1[[#This Row],[Peso bruto]],VLOOKUP(Tabela1[[#This Row],[Pedido]],'Saldo a Produzir'!$A:$D,4,0)),"")</f>
        <v>4609.2999999999993</v>
      </c>
      <c r="AM232" s="73">
        <v>8568.4590000000007</v>
      </c>
    </row>
    <row r="233" spans="1:39" ht="14.5" x14ac:dyDescent="0.35">
      <c r="A233" s="81">
        <v>15062</v>
      </c>
      <c r="B233" s="81" t="s">
        <v>50</v>
      </c>
      <c r="C233" s="81">
        <v>7757005000617</v>
      </c>
      <c r="D233" s="81" t="s">
        <v>753</v>
      </c>
      <c r="E233" s="81" t="s">
        <v>754</v>
      </c>
      <c r="F233" s="81" t="s">
        <v>56</v>
      </c>
      <c r="G233" s="81">
        <v>25880</v>
      </c>
      <c r="H233" s="81" t="s">
        <v>87</v>
      </c>
      <c r="I233" s="81" t="s">
        <v>32</v>
      </c>
      <c r="J233" s="81" t="s">
        <v>33</v>
      </c>
      <c r="K233" s="81" t="s">
        <v>34</v>
      </c>
      <c r="L233" s="81" t="s">
        <v>781</v>
      </c>
      <c r="M233" s="81"/>
      <c r="N233" s="90">
        <v>44659</v>
      </c>
      <c r="O233" s="90">
        <v>44750</v>
      </c>
      <c r="P233" s="90">
        <v>44663</v>
      </c>
      <c r="Q233" s="90" t="s">
        <v>35</v>
      </c>
      <c r="R233" s="81">
        <v>0</v>
      </c>
      <c r="S233" s="90" t="s">
        <v>35</v>
      </c>
      <c r="T233" s="81">
        <v>0</v>
      </c>
      <c r="U233" s="81" t="s">
        <v>36</v>
      </c>
      <c r="V233" s="90" t="s">
        <v>35</v>
      </c>
      <c r="W233" s="81" t="s">
        <v>779</v>
      </c>
      <c r="X233" s="90">
        <v>44669</v>
      </c>
      <c r="Y233" s="81" t="s">
        <v>38</v>
      </c>
      <c r="Z233" s="81">
        <v>0</v>
      </c>
      <c r="AA233" s="81"/>
      <c r="AB233" s="81">
        <v>0</v>
      </c>
      <c r="AC233" s="81"/>
      <c r="AD233" s="81">
        <v>0</v>
      </c>
      <c r="AE233" s="81" t="s">
        <v>153</v>
      </c>
      <c r="AF233" s="81" t="s">
        <v>39</v>
      </c>
      <c r="AG233" s="83">
        <v>398.17</v>
      </c>
      <c r="AH233" s="95">
        <v>208987.95</v>
      </c>
      <c r="AI233" s="82" t="str">
        <f>CONCATENATE((TEXT(Tabela1[[#This Row],[Data entrega]],"mmmm")),"_",(YEAR(Tabela1[[#This Row],[Data entrega]])))</f>
        <v>julho_2022</v>
      </c>
      <c r="AJ233" s="77">
        <f>IFERROR(IF(Tabela1[[#This Row],[Programa]]="",Tabela1[[#This Row],[Peso bruto]],VLOOKUP(Tabela1[[#This Row],[Pedido]],'Saldo a Produzir'!$A:$D,4,0)),"")</f>
        <v>398.17</v>
      </c>
      <c r="AM233" s="73">
        <v>8904.6980000000003</v>
      </c>
    </row>
    <row r="234" spans="1:39" ht="14.5" x14ac:dyDescent="0.35">
      <c r="A234" s="81">
        <v>15064</v>
      </c>
      <c r="B234" s="81" t="s">
        <v>67</v>
      </c>
      <c r="C234" s="81">
        <v>7384827000195</v>
      </c>
      <c r="D234" s="81" t="s">
        <v>677</v>
      </c>
      <c r="E234" s="81" t="s">
        <v>66</v>
      </c>
      <c r="F234" s="81" t="s">
        <v>44</v>
      </c>
      <c r="G234" s="81">
        <v>25793</v>
      </c>
      <c r="H234" s="81" t="s">
        <v>125</v>
      </c>
      <c r="I234" s="81" t="s">
        <v>32</v>
      </c>
      <c r="J234" s="81" t="s">
        <v>33</v>
      </c>
      <c r="K234" s="81" t="s">
        <v>34</v>
      </c>
      <c r="L234" s="81" t="s">
        <v>678</v>
      </c>
      <c r="M234" s="81"/>
      <c r="N234" s="90">
        <v>44651</v>
      </c>
      <c r="O234" s="90">
        <v>44750</v>
      </c>
      <c r="P234" s="90">
        <v>44651</v>
      </c>
      <c r="Q234" s="90" t="s">
        <v>35</v>
      </c>
      <c r="R234" s="81">
        <v>0</v>
      </c>
      <c r="S234" s="90" t="s">
        <v>35</v>
      </c>
      <c r="T234" s="81">
        <v>0</v>
      </c>
      <c r="U234" s="81" t="s">
        <v>36</v>
      </c>
      <c r="V234" s="90" t="s">
        <v>35</v>
      </c>
      <c r="W234" s="81"/>
      <c r="X234" s="90" t="s">
        <v>37</v>
      </c>
      <c r="Y234" s="81" t="s">
        <v>38</v>
      </c>
      <c r="Z234" s="81">
        <v>2203</v>
      </c>
      <c r="AA234" s="81" t="s">
        <v>147</v>
      </c>
      <c r="AB234" s="81">
        <v>0</v>
      </c>
      <c r="AC234" s="81"/>
      <c r="AD234" s="81">
        <v>0</v>
      </c>
      <c r="AE234" s="81"/>
      <c r="AF234" s="81" t="s">
        <v>39</v>
      </c>
      <c r="AG234" s="83">
        <v>0</v>
      </c>
      <c r="AH234" s="95">
        <v>7020</v>
      </c>
      <c r="AI234" s="82" t="str">
        <f>CONCATENATE((TEXT(Tabela1[[#This Row],[Data entrega]],"mmmm")),"_",(YEAR(Tabela1[[#This Row],[Data entrega]])))</f>
        <v>julho_2022</v>
      </c>
      <c r="AJ234" s="77">
        <f>IFERROR(IF(Tabela1[[#This Row],[Programa]]="",Tabela1[[#This Row],[Peso bruto]],VLOOKUP(Tabela1[[#This Row],[Pedido]],'Saldo a Produzir'!$A:$D,4,0)),"")</f>
        <v>0</v>
      </c>
      <c r="AM234" s="73">
        <v>0</v>
      </c>
    </row>
    <row r="235" spans="1:39" ht="14.5" x14ac:dyDescent="0.35">
      <c r="A235" s="81">
        <v>15057</v>
      </c>
      <c r="B235" s="81" t="s">
        <v>60</v>
      </c>
      <c r="C235" s="81">
        <v>74072513000659</v>
      </c>
      <c r="D235" s="81" t="s">
        <v>585</v>
      </c>
      <c r="E235" s="81" t="s">
        <v>586</v>
      </c>
      <c r="F235" s="81" t="s">
        <v>64</v>
      </c>
      <c r="G235" s="81">
        <v>25667</v>
      </c>
      <c r="H235" s="81" t="s">
        <v>92</v>
      </c>
      <c r="I235" s="81" t="s">
        <v>32</v>
      </c>
      <c r="J235" s="81" t="s">
        <v>33</v>
      </c>
      <c r="K235" s="81" t="s">
        <v>34</v>
      </c>
      <c r="L235" s="81" t="s">
        <v>587</v>
      </c>
      <c r="M235" s="81"/>
      <c r="N235" s="90">
        <v>44638</v>
      </c>
      <c r="O235" s="90">
        <v>44757</v>
      </c>
      <c r="P235" s="90">
        <v>44638</v>
      </c>
      <c r="Q235" s="90" t="s">
        <v>35</v>
      </c>
      <c r="R235" s="81">
        <v>0</v>
      </c>
      <c r="S235" s="90" t="s">
        <v>35</v>
      </c>
      <c r="T235" s="81">
        <v>0</v>
      </c>
      <c r="U235" s="81" t="s">
        <v>36</v>
      </c>
      <c r="V235" s="90" t="s">
        <v>35</v>
      </c>
      <c r="W235" s="81" t="s">
        <v>611</v>
      </c>
      <c r="X235" s="90">
        <v>44644</v>
      </c>
      <c r="Y235" s="81" t="s">
        <v>38</v>
      </c>
      <c r="Z235" s="81">
        <v>0</v>
      </c>
      <c r="AA235" s="81"/>
      <c r="AB235" s="81">
        <v>0</v>
      </c>
      <c r="AC235" s="81"/>
      <c r="AD235" s="81">
        <v>0</v>
      </c>
      <c r="AE235" s="81" t="s">
        <v>153</v>
      </c>
      <c r="AF235" s="81" t="s">
        <v>39</v>
      </c>
      <c r="AG235" s="83">
        <v>351.28</v>
      </c>
      <c r="AH235" s="95">
        <v>16272.2</v>
      </c>
      <c r="AI235" s="82" t="str">
        <f>CONCATENATE((TEXT(Tabela1[[#This Row],[Data entrega]],"mmmm")),"_",(YEAR(Tabela1[[#This Row],[Data entrega]])))</f>
        <v>julho_2022</v>
      </c>
      <c r="AJ235" s="77">
        <f>IFERROR(IF(Tabela1[[#This Row],[Programa]]="",Tabela1[[#This Row],[Peso bruto]],VLOOKUP(Tabela1[[#This Row],[Pedido]],'Saldo a Produzir'!$A:$D,4,0)),"")</f>
        <v>350.13</v>
      </c>
      <c r="AM235" s="73">
        <v>673.15700000000004</v>
      </c>
    </row>
    <row r="236" spans="1:39" ht="14.5" x14ac:dyDescent="0.35">
      <c r="A236" s="81">
        <v>15063</v>
      </c>
      <c r="B236" s="81" t="s">
        <v>71</v>
      </c>
      <c r="C236" s="81">
        <v>39350459000150</v>
      </c>
      <c r="D236" s="81" t="s">
        <v>1232</v>
      </c>
      <c r="E236" s="81" t="s">
        <v>68</v>
      </c>
      <c r="F236" s="81" t="s">
        <v>54</v>
      </c>
      <c r="G236" s="81">
        <v>26290</v>
      </c>
      <c r="H236" s="81" t="s">
        <v>87</v>
      </c>
      <c r="I236" s="81" t="s">
        <v>32</v>
      </c>
      <c r="J236" s="81" t="s">
        <v>33</v>
      </c>
      <c r="K236" s="81" t="s">
        <v>34</v>
      </c>
      <c r="L236" s="81" t="s">
        <v>1233</v>
      </c>
      <c r="M236" s="81"/>
      <c r="N236" s="90">
        <v>44712</v>
      </c>
      <c r="O236" s="90">
        <v>44757</v>
      </c>
      <c r="P236" s="90">
        <v>44719</v>
      </c>
      <c r="Q236" s="90" t="s">
        <v>35</v>
      </c>
      <c r="R236" s="81">
        <v>0</v>
      </c>
      <c r="S236" s="90" t="s">
        <v>35</v>
      </c>
      <c r="T236" s="81">
        <v>0</v>
      </c>
      <c r="U236" s="81" t="s">
        <v>36</v>
      </c>
      <c r="V236" s="90" t="s">
        <v>35</v>
      </c>
      <c r="W236" s="81" t="s">
        <v>1439</v>
      </c>
      <c r="X236" s="90">
        <v>44719</v>
      </c>
      <c r="Y236" s="81" t="s">
        <v>1234</v>
      </c>
      <c r="Z236" s="81">
        <v>0</v>
      </c>
      <c r="AA236" s="81"/>
      <c r="AB236" s="81">
        <v>0</v>
      </c>
      <c r="AC236" s="81"/>
      <c r="AD236" s="81">
        <v>0</v>
      </c>
      <c r="AE236" s="81" t="s">
        <v>153</v>
      </c>
      <c r="AF236" s="81" t="s">
        <v>39</v>
      </c>
      <c r="AG236" s="83">
        <v>30731.239999999998</v>
      </c>
      <c r="AH236" s="95">
        <v>991200</v>
      </c>
      <c r="AI236" s="82" t="str">
        <f>CONCATENATE((TEXT(Tabela1[[#This Row],[Data entrega]],"mmmm")),"_",(YEAR(Tabela1[[#This Row],[Data entrega]])))</f>
        <v>julho_2022</v>
      </c>
      <c r="AJ236" s="77">
        <f>IFERROR(IF(Tabela1[[#This Row],[Programa]]="",Tabela1[[#This Row],[Peso bruto]],VLOOKUP(Tabela1[[#This Row],[Pedido]],'Saldo a Produzir'!$A:$D,4,0)),"")</f>
        <v>30390.23</v>
      </c>
      <c r="AM236" s="73">
        <v>60075.855000000003</v>
      </c>
    </row>
    <row r="237" spans="1:39" ht="14.5" x14ac:dyDescent="0.35">
      <c r="A237" s="81">
        <v>15066</v>
      </c>
      <c r="B237" s="81" t="s">
        <v>72</v>
      </c>
      <c r="C237" s="81">
        <v>60498706013488</v>
      </c>
      <c r="D237" s="81" t="s">
        <v>466</v>
      </c>
      <c r="E237" s="81" t="s">
        <v>126</v>
      </c>
      <c r="F237" s="81" t="s">
        <v>56</v>
      </c>
      <c r="G237" s="81">
        <v>25317</v>
      </c>
      <c r="H237" s="81" t="s">
        <v>91</v>
      </c>
      <c r="I237" s="81" t="s">
        <v>32</v>
      </c>
      <c r="J237" s="81" t="s">
        <v>33</v>
      </c>
      <c r="K237" s="81" t="s">
        <v>34</v>
      </c>
      <c r="L237" s="81" t="s">
        <v>467</v>
      </c>
      <c r="M237" s="81">
        <v>4511206584</v>
      </c>
      <c r="N237" s="90">
        <v>44582</v>
      </c>
      <c r="O237" s="90">
        <v>44757</v>
      </c>
      <c r="P237" s="90">
        <v>44629</v>
      </c>
      <c r="Q237" s="90" t="s">
        <v>35</v>
      </c>
      <c r="R237" s="81">
        <v>0</v>
      </c>
      <c r="S237" s="90" t="s">
        <v>35</v>
      </c>
      <c r="T237" s="81">
        <v>0</v>
      </c>
      <c r="U237" s="81" t="s">
        <v>36</v>
      </c>
      <c r="V237" s="90" t="s">
        <v>35</v>
      </c>
      <c r="W237" s="81" t="s">
        <v>515</v>
      </c>
      <c r="X237" s="90">
        <v>44609</v>
      </c>
      <c r="Y237" s="81" t="s">
        <v>38</v>
      </c>
      <c r="Z237" s="81">
        <v>0</v>
      </c>
      <c r="AA237" s="81"/>
      <c r="AB237" s="81">
        <v>0</v>
      </c>
      <c r="AC237" s="81"/>
      <c r="AD237" s="81">
        <v>0</v>
      </c>
      <c r="AE237" s="81" t="s">
        <v>153</v>
      </c>
      <c r="AF237" s="81" t="s">
        <v>39</v>
      </c>
      <c r="AG237" s="83">
        <v>1628.9</v>
      </c>
      <c r="AH237" s="95">
        <v>826000</v>
      </c>
      <c r="AI237" s="82" t="str">
        <f>CONCATENATE((TEXT(Tabela1[[#This Row],[Data entrega]],"mmmm")),"_",(YEAR(Tabela1[[#This Row],[Data entrega]])))</f>
        <v>julho_2022</v>
      </c>
      <c r="AJ237" s="77">
        <f>IFERROR(IF(Tabela1[[#This Row],[Programa]]="",Tabela1[[#This Row],[Peso bruto]],VLOOKUP(Tabela1[[#This Row],[Pedido]],'Saldo a Produzir'!$A:$D,4,0)),"")</f>
        <v>1454.3999999999999</v>
      </c>
      <c r="AM237" s="73">
        <v>26789.741000000002</v>
      </c>
    </row>
    <row r="238" spans="1:39" ht="14.5" x14ac:dyDescent="0.35">
      <c r="A238" s="81">
        <v>15074</v>
      </c>
      <c r="B238" s="81" t="s">
        <v>161</v>
      </c>
      <c r="C238" s="81">
        <v>45070190000232</v>
      </c>
      <c r="D238" s="81" t="s">
        <v>643</v>
      </c>
      <c r="E238" s="81" t="s">
        <v>570</v>
      </c>
      <c r="F238" s="81" t="s">
        <v>44</v>
      </c>
      <c r="G238" s="81">
        <v>25752</v>
      </c>
      <c r="H238" s="81" t="s">
        <v>88</v>
      </c>
      <c r="I238" s="81" t="s">
        <v>32</v>
      </c>
      <c r="J238" s="81" t="s">
        <v>33</v>
      </c>
      <c r="K238" s="81" t="s">
        <v>34</v>
      </c>
      <c r="L238" s="81" t="s">
        <v>644</v>
      </c>
      <c r="M238" s="81">
        <v>4500515784</v>
      </c>
      <c r="N238" s="90">
        <v>44648</v>
      </c>
      <c r="O238" s="90">
        <v>44757</v>
      </c>
      <c r="P238" s="90">
        <v>44648</v>
      </c>
      <c r="Q238" s="90" t="s">
        <v>35</v>
      </c>
      <c r="R238" s="81">
        <v>0</v>
      </c>
      <c r="S238" s="90" t="s">
        <v>35</v>
      </c>
      <c r="T238" s="81">
        <v>0</v>
      </c>
      <c r="U238" s="81" t="s">
        <v>36</v>
      </c>
      <c r="V238" s="90" t="s">
        <v>35</v>
      </c>
      <c r="W238" s="81" t="s">
        <v>728</v>
      </c>
      <c r="X238" s="90">
        <v>44656</v>
      </c>
      <c r="Y238" s="81" t="s">
        <v>38</v>
      </c>
      <c r="Z238" s="81">
        <v>0</v>
      </c>
      <c r="AA238" s="81"/>
      <c r="AB238" s="81">
        <v>0</v>
      </c>
      <c r="AC238" s="81"/>
      <c r="AD238" s="81">
        <v>0</v>
      </c>
      <c r="AE238" s="81" t="s">
        <v>153</v>
      </c>
      <c r="AF238" s="81" t="s">
        <v>39</v>
      </c>
      <c r="AG238" s="83">
        <v>2.9099999999999997</v>
      </c>
      <c r="AH238" s="95">
        <v>36324.239999999998</v>
      </c>
      <c r="AI238" s="82" t="str">
        <f>CONCATENATE((TEXT(Tabela1[[#This Row],[Data entrega]],"mmmm")),"_",(YEAR(Tabela1[[#This Row],[Data entrega]])))</f>
        <v>julho_2022</v>
      </c>
      <c r="AJ238" s="77" t="str">
        <f>IFERROR(IF(Tabela1[[#This Row],[Programa]]="",Tabela1[[#This Row],[Peso bruto]],VLOOKUP(Tabela1[[#This Row],[Pedido]],'Saldo a Produzir'!$A:$D,4,0)),"")</f>
        <v/>
      </c>
      <c r="AM238" s="73">
        <v>1781.184</v>
      </c>
    </row>
    <row r="239" spans="1:39" ht="14.5" x14ac:dyDescent="0.35">
      <c r="A239" s="81">
        <v>15059</v>
      </c>
      <c r="B239" s="81" t="s">
        <v>63</v>
      </c>
      <c r="C239" s="81">
        <v>43270628000209</v>
      </c>
      <c r="D239" s="81" t="s">
        <v>765</v>
      </c>
      <c r="E239" s="81" t="s">
        <v>766</v>
      </c>
      <c r="F239" s="81" t="s">
        <v>64</v>
      </c>
      <c r="G239" s="81">
        <v>25894</v>
      </c>
      <c r="H239" s="81" t="s">
        <v>88</v>
      </c>
      <c r="I239" s="81" t="s">
        <v>32</v>
      </c>
      <c r="J239" s="81" t="s">
        <v>33</v>
      </c>
      <c r="K239" s="81" t="s">
        <v>34</v>
      </c>
      <c r="L239" s="81" t="s">
        <v>767</v>
      </c>
      <c r="M239" s="81"/>
      <c r="N239" s="90">
        <v>44662</v>
      </c>
      <c r="O239" s="90">
        <v>44757</v>
      </c>
      <c r="P239" s="90">
        <v>44670</v>
      </c>
      <c r="Q239" s="90" t="s">
        <v>35</v>
      </c>
      <c r="R239" s="81">
        <v>0</v>
      </c>
      <c r="S239" s="90" t="s">
        <v>35</v>
      </c>
      <c r="T239" s="81">
        <v>0</v>
      </c>
      <c r="U239" s="81" t="s">
        <v>36</v>
      </c>
      <c r="V239" s="90" t="s">
        <v>35</v>
      </c>
      <c r="W239" s="81" t="s">
        <v>791</v>
      </c>
      <c r="X239" s="90">
        <v>44671</v>
      </c>
      <c r="Y239" s="81" t="s">
        <v>38</v>
      </c>
      <c r="Z239" s="81">
        <v>2257</v>
      </c>
      <c r="AA239" s="81" t="s">
        <v>155</v>
      </c>
      <c r="AB239" s="81">
        <v>0</v>
      </c>
      <c r="AC239" s="81"/>
      <c r="AD239" s="81">
        <v>0</v>
      </c>
      <c r="AE239" s="81" t="s">
        <v>153</v>
      </c>
      <c r="AF239" s="81" t="s">
        <v>39</v>
      </c>
      <c r="AG239" s="83">
        <v>93.259999999999991</v>
      </c>
      <c r="AH239" s="95">
        <v>85996.93</v>
      </c>
      <c r="AI239" s="82" t="str">
        <f>CONCATENATE((TEXT(Tabela1[[#This Row],[Data entrega]],"mmmm")),"_",(YEAR(Tabela1[[#This Row],[Data entrega]])))</f>
        <v>julho_2022</v>
      </c>
      <c r="AJ239" s="77" t="str">
        <f>IFERROR(IF(Tabela1[[#This Row],[Programa]]="",Tabela1[[#This Row],[Peso bruto]],VLOOKUP(Tabela1[[#This Row],[Pedido]],'Saldo a Produzir'!$A:$D,4,0)),"")</f>
        <v/>
      </c>
      <c r="AM239" s="73">
        <v>4029.433</v>
      </c>
    </row>
    <row r="240" spans="1:39" ht="14.5" x14ac:dyDescent="0.35">
      <c r="A240" s="81">
        <v>15051</v>
      </c>
      <c r="B240" s="81" t="s">
        <v>40</v>
      </c>
      <c r="C240" s="81">
        <v>77765840000170</v>
      </c>
      <c r="D240" s="81" t="s">
        <v>468</v>
      </c>
      <c r="E240" s="81" t="s">
        <v>78</v>
      </c>
      <c r="F240" s="81" t="s">
        <v>42</v>
      </c>
      <c r="G240" s="81">
        <v>25331</v>
      </c>
      <c r="H240" s="81" t="s">
        <v>93</v>
      </c>
      <c r="I240" s="81" t="s">
        <v>32</v>
      </c>
      <c r="J240" s="81" t="s">
        <v>33</v>
      </c>
      <c r="K240" s="81" t="s">
        <v>34</v>
      </c>
      <c r="L240" s="81" t="s">
        <v>469</v>
      </c>
      <c r="M240" s="81"/>
      <c r="N240" s="90">
        <v>44585</v>
      </c>
      <c r="O240" s="90">
        <v>44757</v>
      </c>
      <c r="P240" s="90">
        <v>44608</v>
      </c>
      <c r="Q240" s="90" t="s">
        <v>35</v>
      </c>
      <c r="R240" s="81">
        <v>0</v>
      </c>
      <c r="S240" s="90" t="s">
        <v>35</v>
      </c>
      <c r="T240" s="81">
        <v>0</v>
      </c>
      <c r="U240" s="81" t="s">
        <v>36</v>
      </c>
      <c r="V240" s="90" t="s">
        <v>35</v>
      </c>
      <c r="W240" s="81" t="s">
        <v>534</v>
      </c>
      <c r="X240" s="90">
        <v>44621</v>
      </c>
      <c r="Y240" s="81" t="s">
        <v>38</v>
      </c>
      <c r="Z240" s="81">
        <v>0</v>
      </c>
      <c r="AA240" s="81"/>
      <c r="AB240" s="81">
        <v>0</v>
      </c>
      <c r="AC240" s="81"/>
      <c r="AD240" s="81">
        <v>0</v>
      </c>
      <c r="AE240" s="81" t="s">
        <v>153</v>
      </c>
      <c r="AF240" s="81" t="s">
        <v>39</v>
      </c>
      <c r="AG240" s="83">
        <v>674.62</v>
      </c>
      <c r="AH240" s="95">
        <v>175040.96</v>
      </c>
      <c r="AI240" s="82" t="str">
        <f>CONCATENATE((TEXT(Tabela1[[#This Row],[Data entrega]],"mmmm")),"_",(YEAR(Tabela1[[#This Row],[Data entrega]])))</f>
        <v>julho_2022</v>
      </c>
      <c r="AJ240" s="77">
        <f>IFERROR(IF(Tabela1[[#This Row],[Programa]]="",Tabela1[[#This Row],[Peso bruto]],VLOOKUP(Tabela1[[#This Row],[Pedido]],'Saldo a Produzir'!$A:$D,4,0)),"")</f>
        <v>627.97</v>
      </c>
      <c r="AM240" s="73">
        <v>7808.4549999999999</v>
      </c>
    </row>
    <row r="241" spans="1:39" ht="14.5" x14ac:dyDescent="0.35">
      <c r="A241" s="81">
        <v>15051</v>
      </c>
      <c r="B241" s="81" t="s">
        <v>40</v>
      </c>
      <c r="C241" s="81">
        <v>77765840000170</v>
      </c>
      <c r="D241" s="81" t="s">
        <v>468</v>
      </c>
      <c r="E241" s="81" t="s">
        <v>78</v>
      </c>
      <c r="F241" s="81" t="s">
        <v>42</v>
      </c>
      <c r="G241" s="81">
        <v>25332</v>
      </c>
      <c r="H241" s="81" t="s">
        <v>191</v>
      </c>
      <c r="I241" s="81" t="s">
        <v>32</v>
      </c>
      <c r="J241" s="81" t="s">
        <v>33</v>
      </c>
      <c r="K241" s="81" t="s">
        <v>34</v>
      </c>
      <c r="L241" s="81" t="s">
        <v>469</v>
      </c>
      <c r="M241" s="81"/>
      <c r="N241" s="90">
        <v>44585</v>
      </c>
      <c r="O241" s="90">
        <v>44757</v>
      </c>
      <c r="P241" s="90">
        <v>44627</v>
      </c>
      <c r="Q241" s="90" t="s">
        <v>35</v>
      </c>
      <c r="R241" s="81">
        <v>0</v>
      </c>
      <c r="S241" s="90" t="s">
        <v>35</v>
      </c>
      <c r="T241" s="81">
        <v>0</v>
      </c>
      <c r="U241" s="81" t="s">
        <v>36</v>
      </c>
      <c r="V241" s="90" t="s">
        <v>35</v>
      </c>
      <c r="W241" s="81" t="s">
        <v>755</v>
      </c>
      <c r="X241" s="90">
        <v>44662</v>
      </c>
      <c r="Y241" s="81" t="s">
        <v>38</v>
      </c>
      <c r="Z241" s="81">
        <v>0</v>
      </c>
      <c r="AA241" s="81"/>
      <c r="AB241" s="81">
        <v>0</v>
      </c>
      <c r="AC241" s="81"/>
      <c r="AD241" s="81">
        <v>0</v>
      </c>
      <c r="AE241" s="81"/>
      <c r="AF241" s="81" t="s">
        <v>39</v>
      </c>
      <c r="AG241" s="83">
        <v>0</v>
      </c>
      <c r="AH241" s="95">
        <v>1147905</v>
      </c>
      <c r="AI241" s="82" t="str">
        <f>CONCATENATE((TEXT(Tabela1[[#This Row],[Data entrega]],"mmmm")),"_",(YEAR(Tabela1[[#This Row],[Data entrega]])))</f>
        <v>julho_2022</v>
      </c>
      <c r="AJ241" s="77">
        <f>IFERROR(IF(Tabela1[[#This Row],[Programa]]="",Tabela1[[#This Row],[Peso bruto]],VLOOKUP(Tabela1[[#This Row],[Pedido]],'Saldo a Produzir'!$A:$D,4,0)),"")</f>
        <v>0</v>
      </c>
      <c r="AM241" s="73">
        <v>3562.04</v>
      </c>
    </row>
    <row r="242" spans="1:39" ht="14.5" x14ac:dyDescent="0.35">
      <c r="A242" s="81">
        <v>15020</v>
      </c>
      <c r="B242" s="81" t="s">
        <v>46</v>
      </c>
      <c r="C242" s="81">
        <v>108</v>
      </c>
      <c r="D242" s="81" t="s">
        <v>197</v>
      </c>
      <c r="E242" s="81" t="s">
        <v>198</v>
      </c>
      <c r="F242" s="81" t="s">
        <v>49</v>
      </c>
      <c r="G242" s="81">
        <v>25124</v>
      </c>
      <c r="H242" s="81" t="s">
        <v>91</v>
      </c>
      <c r="I242" s="81" t="s">
        <v>32</v>
      </c>
      <c r="J242" s="81" t="s">
        <v>33</v>
      </c>
      <c r="K242" s="81" t="s">
        <v>34</v>
      </c>
      <c r="L242" s="81" t="s">
        <v>426</v>
      </c>
      <c r="M242" s="81">
        <v>1470011020</v>
      </c>
      <c r="N242" s="90">
        <v>44543</v>
      </c>
      <c r="O242" s="90">
        <v>44757</v>
      </c>
      <c r="P242" s="90">
        <v>44550</v>
      </c>
      <c r="Q242" s="90" t="s">
        <v>35</v>
      </c>
      <c r="R242" s="81">
        <v>0</v>
      </c>
      <c r="S242" s="90" t="s">
        <v>35</v>
      </c>
      <c r="T242" s="81">
        <v>0</v>
      </c>
      <c r="U242" s="81" t="s">
        <v>36</v>
      </c>
      <c r="V242" s="90" t="s">
        <v>35</v>
      </c>
      <c r="W242" s="81" t="s">
        <v>511</v>
      </c>
      <c r="X242" s="90">
        <v>44603</v>
      </c>
      <c r="Y242" s="81" t="s">
        <v>38</v>
      </c>
      <c r="Z242" s="81">
        <v>0</v>
      </c>
      <c r="AA242" s="81"/>
      <c r="AB242" s="81">
        <v>0</v>
      </c>
      <c r="AC242" s="81"/>
      <c r="AD242" s="81">
        <v>0</v>
      </c>
      <c r="AE242" s="81"/>
      <c r="AF242" s="81" t="s">
        <v>307</v>
      </c>
      <c r="AG242" s="83">
        <v>294.27999999999997</v>
      </c>
      <c r="AH242" s="95">
        <v>220063.5</v>
      </c>
      <c r="AI242" s="82" t="str">
        <f>CONCATENATE((TEXT(Tabela1[[#This Row],[Data entrega]],"mmmm")),"_",(YEAR(Tabela1[[#This Row],[Data entrega]])))</f>
        <v>julho_2022</v>
      </c>
      <c r="AJ242" s="77">
        <f>IFERROR(IF(Tabela1[[#This Row],[Programa]]="",Tabela1[[#This Row],[Peso bruto]],VLOOKUP(Tabela1[[#This Row],[Pedido]],'Saldo a Produzir'!$A:$D,4,0)),"")</f>
        <v>178.52</v>
      </c>
      <c r="AM242" s="73">
        <v>9370.9320000000007</v>
      </c>
    </row>
    <row r="243" spans="1:39" ht="14.5" x14ac:dyDescent="0.35">
      <c r="A243" s="81">
        <v>15020</v>
      </c>
      <c r="B243" s="81" t="s">
        <v>46</v>
      </c>
      <c r="C243" s="81">
        <v>0</v>
      </c>
      <c r="D243" s="81" t="s">
        <v>1014</v>
      </c>
      <c r="E243" s="81" t="s">
        <v>198</v>
      </c>
      <c r="F243" s="81" t="s">
        <v>49</v>
      </c>
      <c r="G243" s="81">
        <v>25176</v>
      </c>
      <c r="H243" s="81" t="s">
        <v>131</v>
      </c>
      <c r="I243" s="81" t="s">
        <v>976</v>
      </c>
      <c r="J243" s="81" t="s">
        <v>33</v>
      </c>
      <c r="K243" s="81" t="s">
        <v>34</v>
      </c>
      <c r="L243" s="81" t="s">
        <v>1015</v>
      </c>
      <c r="M243" s="81"/>
      <c r="N243" s="90">
        <v>44547</v>
      </c>
      <c r="O243" s="90">
        <v>44757</v>
      </c>
      <c r="P243" s="90">
        <v>44645</v>
      </c>
      <c r="Q243" s="90" t="s">
        <v>35</v>
      </c>
      <c r="R243" s="81">
        <v>0</v>
      </c>
      <c r="S243" s="90" t="s">
        <v>35</v>
      </c>
      <c r="T243" s="81">
        <v>0</v>
      </c>
      <c r="U243" s="81" t="s">
        <v>36</v>
      </c>
      <c r="V243" s="90" t="s">
        <v>35</v>
      </c>
      <c r="W243" s="81" t="s">
        <v>566</v>
      </c>
      <c r="X243" s="90">
        <v>44634</v>
      </c>
      <c r="Y243" s="81" t="s">
        <v>38</v>
      </c>
      <c r="Z243" s="81">
        <v>0</v>
      </c>
      <c r="AA243" s="81"/>
      <c r="AB243" s="81">
        <v>0</v>
      </c>
      <c r="AC243" s="81"/>
      <c r="AD243" s="81">
        <v>0</v>
      </c>
      <c r="AE243" s="81"/>
      <c r="AF243" s="81" t="s">
        <v>39</v>
      </c>
      <c r="AG243" s="83">
        <v>210.06</v>
      </c>
      <c r="AH243" s="95">
        <v>47553.279999999999</v>
      </c>
      <c r="AI243" s="82" t="str">
        <f>CONCATENATE((TEXT(Tabela1[[#This Row],[Data entrega]],"mmmm")),"_",(YEAR(Tabela1[[#This Row],[Data entrega]])))</f>
        <v>julho_2022</v>
      </c>
      <c r="AJ243" s="77">
        <f>IFERROR(IF(Tabela1[[#This Row],[Programa]]="",Tabela1[[#This Row],[Peso bruto]],VLOOKUP(Tabela1[[#This Row],[Pedido]],'Saldo a Produzir'!$A:$D,4,0)),"")</f>
        <v>210.06</v>
      </c>
      <c r="AM243" s="73">
        <v>215.50399999999999</v>
      </c>
    </row>
    <row r="244" spans="1:39" ht="14.5" x14ac:dyDescent="0.35">
      <c r="A244" s="81">
        <v>15910</v>
      </c>
      <c r="B244" s="81" t="s">
        <v>261</v>
      </c>
      <c r="C244" s="81">
        <v>955719000186</v>
      </c>
      <c r="D244" s="81" t="s">
        <v>1092</v>
      </c>
      <c r="E244" s="81" t="s">
        <v>182</v>
      </c>
      <c r="F244" s="81" t="s">
        <v>51</v>
      </c>
      <c r="G244" s="81">
        <v>26199</v>
      </c>
      <c r="H244" s="81" t="s">
        <v>87</v>
      </c>
      <c r="I244" s="81" t="s">
        <v>32</v>
      </c>
      <c r="J244" s="81" t="s">
        <v>33</v>
      </c>
      <c r="K244" s="81" t="s">
        <v>34</v>
      </c>
      <c r="L244" s="81" t="s">
        <v>1093</v>
      </c>
      <c r="M244" s="81"/>
      <c r="N244" s="90">
        <v>44705</v>
      </c>
      <c r="O244" s="90">
        <v>44757</v>
      </c>
      <c r="P244" s="90">
        <v>44705</v>
      </c>
      <c r="Q244" s="90" t="s">
        <v>35</v>
      </c>
      <c r="R244" s="81">
        <v>0</v>
      </c>
      <c r="S244" s="90" t="s">
        <v>35</v>
      </c>
      <c r="T244" s="81">
        <v>0</v>
      </c>
      <c r="U244" s="81" t="s">
        <v>36</v>
      </c>
      <c r="V244" s="90" t="s">
        <v>35</v>
      </c>
      <c r="W244" s="81" t="s">
        <v>1126</v>
      </c>
      <c r="X244" s="90">
        <v>44707</v>
      </c>
      <c r="Y244" s="81" t="s">
        <v>38</v>
      </c>
      <c r="Z244" s="81">
        <v>2257</v>
      </c>
      <c r="AA244" s="81" t="s">
        <v>155</v>
      </c>
      <c r="AB244" s="81">
        <v>0</v>
      </c>
      <c r="AC244" s="81"/>
      <c r="AD244" s="81">
        <v>0</v>
      </c>
      <c r="AE244" s="81" t="s">
        <v>153</v>
      </c>
      <c r="AF244" s="81" t="s">
        <v>39</v>
      </c>
      <c r="AG244" s="83">
        <v>79297.7</v>
      </c>
      <c r="AH244" s="95">
        <v>1385517.95</v>
      </c>
      <c r="AI244" s="82" t="str">
        <f>CONCATENATE((TEXT(Tabela1[[#This Row],[Data entrega]],"mmmm")),"_",(YEAR(Tabela1[[#This Row],[Data entrega]])))</f>
        <v>julho_2022</v>
      </c>
      <c r="AJ244" s="77">
        <f>IFERROR(IF(Tabela1[[#This Row],[Programa]]="",Tabela1[[#This Row],[Peso bruto]],VLOOKUP(Tabela1[[#This Row],[Pedido]],'Saldo a Produzir'!$A:$D,4,0)),"")</f>
        <v>37997.870000000003</v>
      </c>
      <c r="AM244" s="73">
        <v>81609.481</v>
      </c>
    </row>
    <row r="245" spans="1:39" ht="14.5" x14ac:dyDescent="0.35">
      <c r="A245" s="81">
        <v>15051</v>
      </c>
      <c r="B245" s="81" t="s">
        <v>40</v>
      </c>
      <c r="C245" s="81">
        <v>11283356000287</v>
      </c>
      <c r="D245" s="81" t="s">
        <v>299</v>
      </c>
      <c r="E245" s="81" t="s">
        <v>74</v>
      </c>
      <c r="F245" s="81" t="s">
        <v>75</v>
      </c>
      <c r="G245" s="81">
        <v>24576</v>
      </c>
      <c r="H245" s="81" t="s">
        <v>91</v>
      </c>
      <c r="I245" s="81" t="s">
        <v>32</v>
      </c>
      <c r="J245" s="81" t="s">
        <v>33</v>
      </c>
      <c r="K245" s="81" t="s">
        <v>34</v>
      </c>
      <c r="L245" s="81" t="s">
        <v>443</v>
      </c>
      <c r="M245" s="81"/>
      <c r="N245" s="90">
        <v>44469</v>
      </c>
      <c r="O245" s="90">
        <v>44757</v>
      </c>
      <c r="P245" s="90">
        <v>44629</v>
      </c>
      <c r="Q245" s="90" t="s">
        <v>35</v>
      </c>
      <c r="R245" s="81">
        <v>0</v>
      </c>
      <c r="S245" s="90" t="s">
        <v>35</v>
      </c>
      <c r="T245" s="81">
        <v>0</v>
      </c>
      <c r="U245" s="81" t="s">
        <v>36</v>
      </c>
      <c r="V245" s="90" t="s">
        <v>35</v>
      </c>
      <c r="W245" s="81"/>
      <c r="X245" s="90" t="s">
        <v>37</v>
      </c>
      <c r="Y245" s="81" t="s">
        <v>38</v>
      </c>
      <c r="Z245" s="81">
        <v>0</v>
      </c>
      <c r="AA245" s="81"/>
      <c r="AB245" s="81">
        <v>0</v>
      </c>
      <c r="AC245" s="81"/>
      <c r="AD245" s="81">
        <v>0</v>
      </c>
      <c r="AE245" s="81"/>
      <c r="AF245" s="81" t="s">
        <v>62</v>
      </c>
      <c r="AG245" s="83">
        <v>164406.51199999999</v>
      </c>
      <c r="AH245" s="95">
        <v>2660000</v>
      </c>
      <c r="AI245" s="82" t="str">
        <f>CONCATENATE((TEXT(Tabela1[[#This Row],[Data entrega]],"mmmm")),"_",(YEAR(Tabela1[[#This Row],[Data entrega]])))</f>
        <v>julho_2022</v>
      </c>
      <c r="AJ245" s="77">
        <f>IFERROR(IF(Tabela1[[#This Row],[Programa]]="",Tabela1[[#This Row],[Peso bruto]],VLOOKUP(Tabela1[[#This Row],[Pedido]],'Saldo a Produzir'!$A:$D,4,0)),"")</f>
        <v>164406.51199999999</v>
      </c>
      <c r="AM245" s="73">
        <v>164406.51199999999</v>
      </c>
    </row>
    <row r="246" spans="1:39" ht="14.5" x14ac:dyDescent="0.35">
      <c r="A246" s="81">
        <v>15051</v>
      </c>
      <c r="B246" s="81" t="s">
        <v>40</v>
      </c>
      <c r="C246" s="81">
        <v>11283356000287</v>
      </c>
      <c r="D246" s="81" t="s">
        <v>299</v>
      </c>
      <c r="E246" s="81" t="s">
        <v>74</v>
      </c>
      <c r="F246" s="81" t="s">
        <v>75</v>
      </c>
      <c r="G246" s="81">
        <v>25258</v>
      </c>
      <c r="H246" s="81" t="s">
        <v>90</v>
      </c>
      <c r="I246" s="81" t="s">
        <v>32</v>
      </c>
      <c r="J246" s="81" t="s">
        <v>33</v>
      </c>
      <c r="K246" s="81" t="s">
        <v>34</v>
      </c>
      <c r="L246" s="81" t="s">
        <v>444</v>
      </c>
      <c r="M246" s="81"/>
      <c r="N246" s="90">
        <v>44558</v>
      </c>
      <c r="O246" s="90">
        <v>44757</v>
      </c>
      <c r="P246" s="90">
        <v>44629</v>
      </c>
      <c r="Q246" s="90" t="s">
        <v>35</v>
      </c>
      <c r="R246" s="81">
        <v>0</v>
      </c>
      <c r="S246" s="90" t="s">
        <v>35</v>
      </c>
      <c r="T246" s="81">
        <v>0</v>
      </c>
      <c r="U246" s="81" t="s">
        <v>36</v>
      </c>
      <c r="V246" s="90" t="s">
        <v>35</v>
      </c>
      <c r="W246" s="81"/>
      <c r="X246" s="90" t="s">
        <v>37</v>
      </c>
      <c r="Y246" s="81" t="s">
        <v>38</v>
      </c>
      <c r="Z246" s="81">
        <v>0</v>
      </c>
      <c r="AA246" s="81"/>
      <c r="AB246" s="81">
        <v>0</v>
      </c>
      <c r="AC246" s="81"/>
      <c r="AD246" s="81">
        <v>0</v>
      </c>
      <c r="AE246" s="81"/>
      <c r="AF246" s="81" t="s">
        <v>62</v>
      </c>
      <c r="AG246" s="83">
        <v>92139.198999999993</v>
      </c>
      <c r="AH246" s="95">
        <v>1580000</v>
      </c>
      <c r="AI246" s="82" t="str">
        <f>CONCATENATE((TEXT(Tabela1[[#This Row],[Data entrega]],"mmmm")),"_",(YEAR(Tabela1[[#This Row],[Data entrega]])))</f>
        <v>julho_2022</v>
      </c>
      <c r="AJ246" s="77">
        <f>IFERROR(IF(Tabela1[[#This Row],[Programa]]="",Tabela1[[#This Row],[Peso bruto]],VLOOKUP(Tabela1[[#This Row],[Pedido]],'Saldo a Produzir'!$A:$D,4,0)),"")</f>
        <v>92139.198999999993</v>
      </c>
      <c r="AM246" s="73">
        <v>92139.198999999993</v>
      </c>
    </row>
    <row r="247" spans="1:39" ht="14.5" x14ac:dyDescent="0.35">
      <c r="A247" s="81">
        <v>15057</v>
      </c>
      <c r="B247" s="81" t="s">
        <v>60</v>
      </c>
      <c r="C247" s="81">
        <v>3707937000190</v>
      </c>
      <c r="D247" s="81" t="s">
        <v>769</v>
      </c>
      <c r="E247" s="81" t="s">
        <v>549</v>
      </c>
      <c r="F247" s="81" t="s">
        <v>64</v>
      </c>
      <c r="G247" s="81">
        <v>25891</v>
      </c>
      <c r="H247" s="81" t="s">
        <v>88</v>
      </c>
      <c r="I247" s="81" t="s">
        <v>32</v>
      </c>
      <c r="J247" s="81" t="s">
        <v>33</v>
      </c>
      <c r="K247" s="81" t="s">
        <v>34</v>
      </c>
      <c r="L247" s="81" t="s">
        <v>770</v>
      </c>
      <c r="M247" s="81"/>
      <c r="N247" s="90">
        <v>44662</v>
      </c>
      <c r="O247" s="90">
        <v>44757</v>
      </c>
      <c r="P247" s="90">
        <v>44664</v>
      </c>
      <c r="Q247" s="90" t="s">
        <v>35</v>
      </c>
      <c r="R247" s="81">
        <v>0</v>
      </c>
      <c r="S247" s="90" t="s">
        <v>35</v>
      </c>
      <c r="T247" s="81">
        <v>0</v>
      </c>
      <c r="U247" s="81" t="s">
        <v>36</v>
      </c>
      <c r="V247" s="90" t="s">
        <v>35</v>
      </c>
      <c r="W247" s="81" t="s">
        <v>779</v>
      </c>
      <c r="X247" s="90">
        <v>44669</v>
      </c>
      <c r="Y247" s="81" t="s">
        <v>38</v>
      </c>
      <c r="Z247" s="81">
        <v>2257</v>
      </c>
      <c r="AA247" s="81" t="s">
        <v>155</v>
      </c>
      <c r="AB247" s="81">
        <v>0</v>
      </c>
      <c r="AC247" s="81"/>
      <c r="AD247" s="81">
        <v>0</v>
      </c>
      <c r="AE247" s="81" t="s">
        <v>153</v>
      </c>
      <c r="AF247" s="81" t="s">
        <v>39</v>
      </c>
      <c r="AG247" s="83">
        <v>2.8</v>
      </c>
      <c r="AH247" s="95">
        <v>4309.1400000000003</v>
      </c>
      <c r="AI247" s="82" t="str">
        <f>CONCATENATE((TEXT(Tabela1[[#This Row],[Data entrega]],"mmmm")),"_",(YEAR(Tabela1[[#This Row],[Data entrega]])))</f>
        <v>julho_2022</v>
      </c>
      <c r="AJ247" s="77" t="str">
        <f>IFERROR(IF(Tabela1[[#This Row],[Programa]]="",Tabela1[[#This Row],[Peso bruto]],VLOOKUP(Tabela1[[#This Row],[Pedido]],'Saldo a Produzir'!$A:$D,4,0)),"")</f>
        <v/>
      </c>
      <c r="AM247" s="73">
        <v>154.05600000000001</v>
      </c>
    </row>
    <row r="248" spans="1:39" ht="14.5" x14ac:dyDescent="0.35">
      <c r="A248" s="81">
        <v>15057</v>
      </c>
      <c r="B248" s="81" t="s">
        <v>60</v>
      </c>
      <c r="C248" s="81">
        <v>4478981000138</v>
      </c>
      <c r="D248" s="81" t="s">
        <v>606</v>
      </c>
      <c r="E248" s="81" t="s">
        <v>430</v>
      </c>
      <c r="F248" s="81" t="s">
        <v>58</v>
      </c>
      <c r="G248" s="81">
        <v>25679</v>
      </c>
      <c r="H248" s="81" t="s">
        <v>92</v>
      </c>
      <c r="I248" s="81" t="s">
        <v>32</v>
      </c>
      <c r="J248" s="81" t="s">
        <v>33</v>
      </c>
      <c r="K248" s="81" t="s">
        <v>34</v>
      </c>
      <c r="L248" s="81" t="s">
        <v>607</v>
      </c>
      <c r="M248" s="81"/>
      <c r="N248" s="90">
        <v>44641</v>
      </c>
      <c r="O248" s="90">
        <v>44757</v>
      </c>
      <c r="P248" s="90">
        <v>44642</v>
      </c>
      <c r="Q248" s="90" t="s">
        <v>35</v>
      </c>
      <c r="R248" s="81">
        <v>0</v>
      </c>
      <c r="S248" s="90" t="s">
        <v>35</v>
      </c>
      <c r="T248" s="81">
        <v>0</v>
      </c>
      <c r="U248" s="81" t="s">
        <v>36</v>
      </c>
      <c r="V248" s="90" t="s">
        <v>35</v>
      </c>
      <c r="W248" s="81" t="s">
        <v>631</v>
      </c>
      <c r="X248" s="90">
        <v>44648</v>
      </c>
      <c r="Y248" s="81" t="s">
        <v>38</v>
      </c>
      <c r="Z248" s="81">
        <v>2257</v>
      </c>
      <c r="AA248" s="81" t="s">
        <v>155</v>
      </c>
      <c r="AB248" s="81">
        <v>0</v>
      </c>
      <c r="AC248" s="81"/>
      <c r="AD248" s="81">
        <v>0</v>
      </c>
      <c r="AE248" s="81" t="s">
        <v>153</v>
      </c>
      <c r="AF248" s="81" t="s">
        <v>39</v>
      </c>
      <c r="AG248" s="83">
        <v>0.93</v>
      </c>
      <c r="AH248" s="95">
        <v>3247.21</v>
      </c>
      <c r="AI248" s="82" t="str">
        <f>CONCATENATE((TEXT(Tabela1[[#This Row],[Data entrega]],"mmmm")),"_",(YEAR(Tabela1[[#This Row],[Data entrega]])))</f>
        <v>julho_2022</v>
      </c>
      <c r="AJ248" s="77" t="str">
        <f>IFERROR(IF(Tabela1[[#This Row],[Programa]]="",Tabela1[[#This Row],[Peso bruto]],VLOOKUP(Tabela1[[#This Row],[Pedido]],'Saldo a Produzir'!$A:$D,4,0)),"")</f>
        <v/>
      </c>
      <c r="AM248" s="73">
        <v>128.506</v>
      </c>
    </row>
    <row r="249" spans="1:39" ht="14.5" x14ac:dyDescent="0.35">
      <c r="A249" s="81">
        <v>15076</v>
      </c>
      <c r="B249" s="81" t="s">
        <v>196</v>
      </c>
      <c r="C249" s="81">
        <v>61454393000106</v>
      </c>
      <c r="D249" s="81" t="s">
        <v>445</v>
      </c>
      <c r="E249" s="81" t="s">
        <v>74</v>
      </c>
      <c r="F249" s="81" t="s">
        <v>75</v>
      </c>
      <c r="G249" s="81">
        <v>25255</v>
      </c>
      <c r="H249" s="81" t="s">
        <v>90</v>
      </c>
      <c r="I249" s="81" t="s">
        <v>32</v>
      </c>
      <c r="J249" s="81" t="s">
        <v>33</v>
      </c>
      <c r="K249" s="81" t="s">
        <v>34</v>
      </c>
      <c r="L249" s="81" t="s">
        <v>446</v>
      </c>
      <c r="M249" s="81">
        <v>4509095212</v>
      </c>
      <c r="N249" s="90">
        <v>44559</v>
      </c>
      <c r="O249" s="90">
        <v>44757</v>
      </c>
      <c r="P249" s="90">
        <v>44572</v>
      </c>
      <c r="Q249" s="90" t="s">
        <v>35</v>
      </c>
      <c r="R249" s="81">
        <v>0</v>
      </c>
      <c r="S249" s="90" t="s">
        <v>35</v>
      </c>
      <c r="T249" s="81">
        <v>0</v>
      </c>
      <c r="U249" s="81" t="s">
        <v>36</v>
      </c>
      <c r="V249" s="90" t="s">
        <v>35</v>
      </c>
      <c r="W249" s="81"/>
      <c r="X249" s="90" t="s">
        <v>37</v>
      </c>
      <c r="Y249" s="81" t="s">
        <v>38</v>
      </c>
      <c r="Z249" s="81">
        <v>2257</v>
      </c>
      <c r="AA249" s="81" t="s">
        <v>155</v>
      </c>
      <c r="AB249" s="81">
        <v>0</v>
      </c>
      <c r="AC249" s="81"/>
      <c r="AD249" s="81">
        <v>0</v>
      </c>
      <c r="AE249" s="81"/>
      <c r="AF249" s="81" t="s">
        <v>62</v>
      </c>
      <c r="AG249" s="83">
        <v>10744.035</v>
      </c>
      <c r="AH249" s="95">
        <v>215134.67</v>
      </c>
      <c r="AI249" s="82" t="str">
        <f>CONCATENATE((TEXT(Tabela1[[#This Row],[Data entrega]],"mmmm")),"_",(YEAR(Tabela1[[#This Row],[Data entrega]])))</f>
        <v>julho_2022</v>
      </c>
      <c r="AJ249" s="77">
        <f>IFERROR(IF(Tabela1[[#This Row],[Programa]]="",Tabela1[[#This Row],[Peso bruto]],VLOOKUP(Tabela1[[#This Row],[Pedido]],'Saldo a Produzir'!$A:$D,4,0)),"")</f>
        <v>10744.035</v>
      </c>
      <c r="AM249" s="73">
        <v>10744.035</v>
      </c>
    </row>
    <row r="250" spans="1:39" ht="14.5" x14ac:dyDescent="0.35">
      <c r="A250" s="81">
        <v>15057</v>
      </c>
      <c r="B250" s="81" t="s">
        <v>60</v>
      </c>
      <c r="C250" s="81">
        <v>9228600000186</v>
      </c>
      <c r="D250" s="81" t="s">
        <v>777</v>
      </c>
      <c r="E250" s="81" t="s">
        <v>768</v>
      </c>
      <c r="F250" s="81" t="s">
        <v>58</v>
      </c>
      <c r="G250" s="81">
        <v>25907</v>
      </c>
      <c r="H250" s="81" t="s">
        <v>92</v>
      </c>
      <c r="I250" s="81" t="s">
        <v>32</v>
      </c>
      <c r="J250" s="81" t="s">
        <v>33</v>
      </c>
      <c r="K250" s="81" t="s">
        <v>34</v>
      </c>
      <c r="L250" s="81" t="s">
        <v>778</v>
      </c>
      <c r="M250" s="81"/>
      <c r="N250" s="90">
        <v>44665</v>
      </c>
      <c r="O250" s="90">
        <v>44757</v>
      </c>
      <c r="P250" s="90">
        <v>44670</v>
      </c>
      <c r="Q250" s="90" t="s">
        <v>35</v>
      </c>
      <c r="R250" s="81">
        <v>0</v>
      </c>
      <c r="S250" s="90" t="s">
        <v>35</v>
      </c>
      <c r="T250" s="81">
        <v>0</v>
      </c>
      <c r="U250" s="81" t="s">
        <v>36</v>
      </c>
      <c r="V250" s="90" t="s">
        <v>35</v>
      </c>
      <c r="W250" s="81" t="s">
        <v>791</v>
      </c>
      <c r="X250" s="90">
        <v>44671</v>
      </c>
      <c r="Y250" s="81" t="s">
        <v>38</v>
      </c>
      <c r="Z250" s="81">
        <v>0</v>
      </c>
      <c r="AA250" s="81"/>
      <c r="AB250" s="81">
        <v>0</v>
      </c>
      <c r="AC250" s="81"/>
      <c r="AD250" s="81">
        <v>0</v>
      </c>
      <c r="AE250" s="81" t="s">
        <v>153</v>
      </c>
      <c r="AF250" s="81" t="s">
        <v>39</v>
      </c>
      <c r="AG250" s="83">
        <v>51.11</v>
      </c>
      <c r="AH250" s="95">
        <v>41797.589999999997</v>
      </c>
      <c r="AI250" s="82" t="str">
        <f>CONCATENATE((TEXT(Tabela1[[#This Row],[Data entrega]],"mmmm")),"_",(YEAR(Tabela1[[#This Row],[Data entrega]])))</f>
        <v>julho_2022</v>
      </c>
      <c r="AJ250" s="77">
        <f>IFERROR(IF(Tabela1[[#This Row],[Programa]]="",Tabela1[[#This Row],[Peso bruto]],VLOOKUP(Tabela1[[#This Row],[Pedido]],'Saldo a Produzir'!$A:$D,4,0)),"")</f>
        <v>39.930000000000007</v>
      </c>
      <c r="AM250" s="73">
        <v>1794.184</v>
      </c>
    </row>
    <row r="251" spans="1:39" ht="14.5" x14ac:dyDescent="0.35">
      <c r="A251" s="81">
        <v>15067</v>
      </c>
      <c r="B251" s="81" t="s">
        <v>59</v>
      </c>
      <c r="C251" s="81">
        <v>87727277000107</v>
      </c>
      <c r="D251" s="81" t="s">
        <v>942</v>
      </c>
      <c r="E251" s="81" t="s">
        <v>57</v>
      </c>
      <c r="F251" s="81" t="s">
        <v>58</v>
      </c>
      <c r="G251" s="81">
        <v>26112</v>
      </c>
      <c r="H251" s="81" t="s">
        <v>87</v>
      </c>
      <c r="I251" s="81" t="s">
        <v>32</v>
      </c>
      <c r="J251" s="81" t="s">
        <v>33</v>
      </c>
      <c r="K251" s="81" t="s">
        <v>34</v>
      </c>
      <c r="L251" s="81" t="s">
        <v>943</v>
      </c>
      <c r="M251" s="81">
        <v>19152</v>
      </c>
      <c r="N251" s="90">
        <v>44693</v>
      </c>
      <c r="O251" s="90">
        <v>44762</v>
      </c>
      <c r="P251" s="90">
        <v>44697</v>
      </c>
      <c r="Q251" s="90" t="s">
        <v>35</v>
      </c>
      <c r="R251" s="81">
        <v>0</v>
      </c>
      <c r="S251" s="90" t="s">
        <v>35</v>
      </c>
      <c r="T251" s="81">
        <v>0</v>
      </c>
      <c r="U251" s="81" t="s">
        <v>36</v>
      </c>
      <c r="V251" s="90" t="s">
        <v>35</v>
      </c>
      <c r="W251" s="81" t="s">
        <v>1011</v>
      </c>
      <c r="X251" s="90">
        <v>44698</v>
      </c>
      <c r="Y251" s="81" t="s">
        <v>38</v>
      </c>
      <c r="Z251" s="81">
        <v>0</v>
      </c>
      <c r="AA251" s="81"/>
      <c r="AB251" s="81">
        <v>0</v>
      </c>
      <c r="AC251" s="81"/>
      <c r="AD251" s="81">
        <v>0</v>
      </c>
      <c r="AE251" s="81" t="s">
        <v>153</v>
      </c>
      <c r="AF251" s="81" t="s">
        <v>39</v>
      </c>
      <c r="AG251" s="83">
        <v>3452.07</v>
      </c>
      <c r="AH251" s="95">
        <v>180142.34</v>
      </c>
      <c r="AI251" s="82" t="str">
        <f>CONCATENATE((TEXT(Tabela1[[#This Row],[Data entrega]],"mmmm")),"_",(YEAR(Tabela1[[#This Row],[Data entrega]])))</f>
        <v>julho_2022</v>
      </c>
      <c r="AJ251" s="77" t="str">
        <f>IFERROR(IF(Tabela1[[#This Row],[Programa]]="",Tabela1[[#This Row],[Peso bruto]],VLOOKUP(Tabela1[[#This Row],[Pedido]],'Saldo a Produzir'!$A:$D,4,0)),"")</f>
        <v/>
      </c>
      <c r="AM251" s="73">
        <v>8828.1560000000009</v>
      </c>
    </row>
    <row r="252" spans="1:39" ht="14.5" x14ac:dyDescent="0.35">
      <c r="A252" s="81">
        <v>15057</v>
      </c>
      <c r="B252" s="81" t="s">
        <v>60</v>
      </c>
      <c r="C252" s="81">
        <v>37014225000107</v>
      </c>
      <c r="D252" s="81" t="s">
        <v>782</v>
      </c>
      <c r="E252" s="81" t="s">
        <v>783</v>
      </c>
      <c r="F252" s="81" t="s">
        <v>64</v>
      </c>
      <c r="G252" s="81">
        <v>25934</v>
      </c>
      <c r="H252" s="81" t="s">
        <v>87</v>
      </c>
      <c r="I252" s="81" t="s">
        <v>32</v>
      </c>
      <c r="J252" s="81" t="s">
        <v>33</v>
      </c>
      <c r="K252" s="81" t="s">
        <v>34</v>
      </c>
      <c r="L252" s="81" t="s">
        <v>784</v>
      </c>
      <c r="M252" s="81">
        <v>252</v>
      </c>
      <c r="N252" s="90">
        <v>44670</v>
      </c>
      <c r="O252" s="90">
        <v>44764</v>
      </c>
      <c r="P252" s="90">
        <v>44670</v>
      </c>
      <c r="Q252" s="90" t="s">
        <v>35</v>
      </c>
      <c r="R252" s="81">
        <v>0</v>
      </c>
      <c r="S252" s="90" t="s">
        <v>35</v>
      </c>
      <c r="T252" s="81">
        <v>0</v>
      </c>
      <c r="U252" s="81" t="s">
        <v>36</v>
      </c>
      <c r="V252" s="90" t="s">
        <v>35</v>
      </c>
      <c r="W252" s="81" t="s">
        <v>825</v>
      </c>
      <c r="X252" s="90">
        <v>44678</v>
      </c>
      <c r="Y252" s="81" t="s">
        <v>38</v>
      </c>
      <c r="Z252" s="81">
        <v>0</v>
      </c>
      <c r="AA252" s="81"/>
      <c r="AB252" s="81">
        <v>0</v>
      </c>
      <c r="AC252" s="81"/>
      <c r="AD252" s="81">
        <v>0</v>
      </c>
      <c r="AE252" s="81" t="s">
        <v>153</v>
      </c>
      <c r="AF252" s="81" t="s">
        <v>39</v>
      </c>
      <c r="AG252" s="83">
        <v>104.59</v>
      </c>
      <c r="AH252" s="95">
        <v>18700.43</v>
      </c>
      <c r="AI252" s="82" t="str">
        <f>CONCATENATE((TEXT(Tabela1[[#This Row],[Data entrega]],"mmmm")),"_",(YEAR(Tabela1[[#This Row],[Data entrega]])))</f>
        <v>julho_2022</v>
      </c>
      <c r="AJ252" s="77">
        <f>IFERROR(IF(Tabela1[[#This Row],[Programa]]="",Tabela1[[#This Row],[Peso bruto]],VLOOKUP(Tabela1[[#This Row],[Pedido]],'Saldo a Produzir'!$A:$D,4,0)),"")</f>
        <v>104.59</v>
      </c>
      <c r="AM252" s="73">
        <v>894.60299999999995</v>
      </c>
    </row>
    <row r="253" spans="1:39" ht="14.5" x14ac:dyDescent="0.35">
      <c r="A253" s="81">
        <v>15052</v>
      </c>
      <c r="B253" s="81" t="s">
        <v>43</v>
      </c>
      <c r="C253" s="81">
        <v>58538372000156</v>
      </c>
      <c r="D253" s="81" t="s">
        <v>792</v>
      </c>
      <c r="E253" s="81" t="s">
        <v>179</v>
      </c>
      <c r="F253" s="81" t="s">
        <v>44</v>
      </c>
      <c r="G253" s="81">
        <v>25948</v>
      </c>
      <c r="H253" s="81" t="s">
        <v>88</v>
      </c>
      <c r="I253" s="81" t="s">
        <v>32</v>
      </c>
      <c r="J253" s="81" t="s">
        <v>33</v>
      </c>
      <c r="K253" s="81" t="s">
        <v>34</v>
      </c>
      <c r="L253" s="81" t="s">
        <v>793</v>
      </c>
      <c r="M253" s="81">
        <v>45550</v>
      </c>
      <c r="N253" s="90">
        <v>44671</v>
      </c>
      <c r="O253" s="90">
        <v>44764</v>
      </c>
      <c r="P253" s="90">
        <v>44676</v>
      </c>
      <c r="Q253" s="90" t="s">
        <v>35</v>
      </c>
      <c r="R253" s="81">
        <v>0</v>
      </c>
      <c r="S253" s="90" t="s">
        <v>35</v>
      </c>
      <c r="T253" s="81">
        <v>0</v>
      </c>
      <c r="U253" s="81" t="s">
        <v>36</v>
      </c>
      <c r="V253" s="90" t="s">
        <v>35</v>
      </c>
      <c r="W253" s="81" t="s">
        <v>877</v>
      </c>
      <c r="X253" s="90">
        <v>44686</v>
      </c>
      <c r="Y253" s="81" t="s">
        <v>38</v>
      </c>
      <c r="Z253" s="81">
        <v>2257</v>
      </c>
      <c r="AA253" s="81" t="s">
        <v>155</v>
      </c>
      <c r="AB253" s="81">
        <v>0</v>
      </c>
      <c r="AC253" s="81"/>
      <c r="AD253" s="81">
        <v>0</v>
      </c>
      <c r="AE253" s="81" t="s">
        <v>153</v>
      </c>
      <c r="AF253" s="81" t="s">
        <v>39</v>
      </c>
      <c r="AG253" s="83">
        <v>107.22</v>
      </c>
      <c r="AH253" s="95">
        <v>18760.53</v>
      </c>
      <c r="AI253" s="82" t="str">
        <f>CONCATENATE((TEXT(Tabela1[[#This Row],[Data entrega]],"mmmm")),"_",(YEAR(Tabela1[[#This Row],[Data entrega]])))</f>
        <v>julho_2022</v>
      </c>
      <c r="AJ253" s="77">
        <f>IFERROR(IF(Tabela1[[#This Row],[Programa]]="",Tabela1[[#This Row],[Peso bruto]],VLOOKUP(Tabela1[[#This Row],[Pedido]],'Saldo a Produzir'!$A:$D,4,0)),"")</f>
        <v>99.3</v>
      </c>
      <c r="AM253" s="73">
        <v>605.57000000000005</v>
      </c>
    </row>
    <row r="254" spans="1:39" ht="14.5" x14ac:dyDescent="0.35">
      <c r="A254" s="81">
        <v>15064</v>
      </c>
      <c r="B254" s="81" t="s">
        <v>67</v>
      </c>
      <c r="C254" s="81">
        <v>45569555000197</v>
      </c>
      <c r="D254" s="81" t="s">
        <v>794</v>
      </c>
      <c r="E254" s="81" t="s">
        <v>215</v>
      </c>
      <c r="F254" s="81" t="s">
        <v>44</v>
      </c>
      <c r="G254" s="81">
        <v>25945</v>
      </c>
      <c r="H254" s="81" t="s">
        <v>87</v>
      </c>
      <c r="I254" s="81" t="s">
        <v>32</v>
      </c>
      <c r="J254" s="81" t="s">
        <v>33</v>
      </c>
      <c r="K254" s="81" t="s">
        <v>34</v>
      </c>
      <c r="L254" s="81" t="s">
        <v>795</v>
      </c>
      <c r="M254" s="81" t="s">
        <v>796</v>
      </c>
      <c r="N254" s="90">
        <v>44671</v>
      </c>
      <c r="O254" s="90">
        <v>44764</v>
      </c>
      <c r="P254" s="90">
        <v>44671</v>
      </c>
      <c r="Q254" s="90" t="s">
        <v>35</v>
      </c>
      <c r="R254" s="81">
        <v>0</v>
      </c>
      <c r="S254" s="90" t="s">
        <v>35</v>
      </c>
      <c r="T254" s="81">
        <v>0</v>
      </c>
      <c r="U254" s="81" t="s">
        <v>36</v>
      </c>
      <c r="V254" s="90" t="s">
        <v>35</v>
      </c>
      <c r="W254" s="81" t="s">
        <v>825</v>
      </c>
      <c r="X254" s="90">
        <v>44678</v>
      </c>
      <c r="Y254" s="81" t="s">
        <v>38</v>
      </c>
      <c r="Z254" s="81">
        <v>2000</v>
      </c>
      <c r="AA254" s="81" t="s">
        <v>154</v>
      </c>
      <c r="AB254" s="81">
        <v>0</v>
      </c>
      <c r="AC254" s="81"/>
      <c r="AD254" s="81">
        <v>0</v>
      </c>
      <c r="AE254" s="81" t="s">
        <v>153</v>
      </c>
      <c r="AF254" s="81" t="s">
        <v>39</v>
      </c>
      <c r="AG254" s="83">
        <v>2278.0499999999997</v>
      </c>
      <c r="AH254" s="95">
        <v>94542.17</v>
      </c>
      <c r="AI254" s="82" t="str">
        <f>CONCATENATE((TEXT(Tabela1[[#This Row],[Data entrega]],"mmmm")),"_",(YEAR(Tabela1[[#This Row],[Data entrega]])))</f>
        <v>julho_2022</v>
      </c>
      <c r="AJ254" s="77">
        <f>IFERROR(IF(Tabela1[[#This Row],[Programa]]="",Tabela1[[#This Row],[Peso bruto]],VLOOKUP(Tabela1[[#This Row],[Pedido]],'Saldo a Produzir'!$A:$D,4,0)),"")</f>
        <v>2261.0099999999998</v>
      </c>
      <c r="AM254" s="73">
        <v>4047.3209999999999</v>
      </c>
    </row>
    <row r="255" spans="1:39" ht="14.5" x14ac:dyDescent="0.35">
      <c r="A255" s="81">
        <v>15057</v>
      </c>
      <c r="B255" s="81" t="s">
        <v>60</v>
      </c>
      <c r="C255" s="81">
        <v>97078463004952</v>
      </c>
      <c r="D255" s="81" t="s">
        <v>1016</v>
      </c>
      <c r="E255" s="81" t="s">
        <v>1017</v>
      </c>
      <c r="F255" s="81" t="s">
        <v>58</v>
      </c>
      <c r="G255" s="81">
        <v>26143</v>
      </c>
      <c r="H255" s="81" t="s">
        <v>87</v>
      </c>
      <c r="I255" s="81" t="s">
        <v>32</v>
      </c>
      <c r="J255" s="81" t="s">
        <v>33</v>
      </c>
      <c r="K255" s="81" t="s">
        <v>34</v>
      </c>
      <c r="L255" s="81" t="s">
        <v>1018</v>
      </c>
      <c r="M255" s="81"/>
      <c r="N255" s="90">
        <v>44698</v>
      </c>
      <c r="O255" s="90">
        <v>44764</v>
      </c>
      <c r="P255" s="90">
        <v>44698</v>
      </c>
      <c r="Q255" s="90" t="s">
        <v>35</v>
      </c>
      <c r="R255" s="81">
        <v>0</v>
      </c>
      <c r="S255" s="90" t="s">
        <v>35</v>
      </c>
      <c r="T255" s="81">
        <v>0</v>
      </c>
      <c r="U255" s="81" t="s">
        <v>36</v>
      </c>
      <c r="V255" s="90" t="s">
        <v>35</v>
      </c>
      <c r="W255" s="81" t="s">
        <v>1094</v>
      </c>
      <c r="X255" s="90">
        <v>44705</v>
      </c>
      <c r="Y255" s="81" t="s">
        <v>38</v>
      </c>
      <c r="Z255" s="81">
        <v>2000</v>
      </c>
      <c r="AA255" s="81" t="s">
        <v>154</v>
      </c>
      <c r="AB255" s="81">
        <v>0</v>
      </c>
      <c r="AC255" s="81"/>
      <c r="AD255" s="81">
        <v>0</v>
      </c>
      <c r="AE255" s="81" t="s">
        <v>153</v>
      </c>
      <c r="AF255" s="81" t="s">
        <v>39</v>
      </c>
      <c r="AG255" s="83">
        <v>371.03</v>
      </c>
      <c r="AH255" s="95">
        <v>9215.06</v>
      </c>
      <c r="AI255" s="82" t="str">
        <f>CONCATENATE((TEXT(Tabela1[[#This Row],[Data entrega]],"mmmm")),"_",(YEAR(Tabela1[[#This Row],[Data entrega]])))</f>
        <v>julho_2022</v>
      </c>
      <c r="AJ255" s="77">
        <f>IFERROR(IF(Tabela1[[#This Row],[Programa]]="",Tabela1[[#This Row],[Peso bruto]],VLOOKUP(Tabela1[[#This Row],[Pedido]],'Saldo a Produzir'!$A:$D,4,0)),"")</f>
        <v>92.33</v>
      </c>
      <c r="AM255" s="73">
        <v>397.60599999999999</v>
      </c>
    </row>
    <row r="256" spans="1:39" ht="14.5" x14ac:dyDescent="0.35">
      <c r="A256" s="81">
        <v>15063</v>
      </c>
      <c r="B256" s="81" t="s">
        <v>71</v>
      </c>
      <c r="C256" s="81">
        <v>16582162000115</v>
      </c>
      <c r="D256" s="81" t="s">
        <v>756</v>
      </c>
      <c r="E256" s="81" t="s">
        <v>129</v>
      </c>
      <c r="F256" s="81" t="s">
        <v>54</v>
      </c>
      <c r="G256" s="81">
        <v>25879</v>
      </c>
      <c r="H256" s="81" t="s">
        <v>92</v>
      </c>
      <c r="I256" s="81" t="s">
        <v>32</v>
      </c>
      <c r="J256" s="81" t="s">
        <v>33</v>
      </c>
      <c r="K256" s="81" t="s">
        <v>34</v>
      </c>
      <c r="L256" s="81" t="s">
        <v>757</v>
      </c>
      <c r="M256" s="81"/>
      <c r="N256" s="90">
        <v>44659</v>
      </c>
      <c r="O256" s="90">
        <v>44764</v>
      </c>
      <c r="P256" s="90">
        <v>44663</v>
      </c>
      <c r="Q256" s="90" t="s">
        <v>35</v>
      </c>
      <c r="R256" s="81">
        <v>0</v>
      </c>
      <c r="S256" s="90" t="s">
        <v>35</v>
      </c>
      <c r="T256" s="81">
        <v>0</v>
      </c>
      <c r="U256" s="81" t="s">
        <v>36</v>
      </c>
      <c r="V256" s="90" t="s">
        <v>35</v>
      </c>
      <c r="W256" s="81" t="s">
        <v>762</v>
      </c>
      <c r="X256" s="90">
        <v>44664</v>
      </c>
      <c r="Y256" s="81" t="s">
        <v>38</v>
      </c>
      <c r="Z256" s="81">
        <v>0</v>
      </c>
      <c r="AA256" s="81"/>
      <c r="AB256" s="81">
        <v>0</v>
      </c>
      <c r="AC256" s="81"/>
      <c r="AD256" s="81">
        <v>0</v>
      </c>
      <c r="AE256" s="81" t="s">
        <v>153</v>
      </c>
      <c r="AF256" s="81" t="s">
        <v>39</v>
      </c>
      <c r="AG256" s="83">
        <v>4086.2200000000007</v>
      </c>
      <c r="AH256" s="95">
        <v>106347.5</v>
      </c>
      <c r="AI256" s="82" t="str">
        <f>CONCATENATE((TEXT(Tabela1[[#This Row],[Data entrega]],"mmmm")),"_",(YEAR(Tabela1[[#This Row],[Data entrega]])))</f>
        <v>julho_2022</v>
      </c>
      <c r="AJ256" s="77">
        <f>IFERROR(IF(Tabela1[[#This Row],[Programa]]="",Tabela1[[#This Row],[Peso bruto]],VLOOKUP(Tabela1[[#This Row],[Pedido]],'Saldo a Produzir'!$A:$D,4,0)),"")</f>
        <v>1839.6499999999999</v>
      </c>
      <c r="AM256" s="73">
        <v>5816.02</v>
      </c>
    </row>
    <row r="257" spans="1:39" ht="14.5" x14ac:dyDescent="0.35">
      <c r="A257" s="81">
        <v>15051</v>
      </c>
      <c r="B257" s="81" t="s">
        <v>40</v>
      </c>
      <c r="C257" s="81">
        <v>1287588000845</v>
      </c>
      <c r="D257" s="81" t="s">
        <v>481</v>
      </c>
      <c r="E257" s="81" t="s">
        <v>482</v>
      </c>
      <c r="F257" s="81" t="s">
        <v>53</v>
      </c>
      <c r="G257" s="81">
        <v>25947</v>
      </c>
      <c r="H257" s="81" t="s">
        <v>88</v>
      </c>
      <c r="I257" s="81" t="s">
        <v>32</v>
      </c>
      <c r="J257" s="81" t="s">
        <v>33</v>
      </c>
      <c r="K257" s="81" t="s">
        <v>34</v>
      </c>
      <c r="L257" s="81" t="s">
        <v>797</v>
      </c>
      <c r="M257" s="81">
        <v>10007195</v>
      </c>
      <c r="N257" s="90">
        <v>44671</v>
      </c>
      <c r="O257" s="90">
        <v>44764</v>
      </c>
      <c r="P257" s="90">
        <v>44671</v>
      </c>
      <c r="Q257" s="90" t="s">
        <v>35</v>
      </c>
      <c r="R257" s="81">
        <v>0</v>
      </c>
      <c r="S257" s="90" t="s">
        <v>35</v>
      </c>
      <c r="T257" s="81">
        <v>0</v>
      </c>
      <c r="U257" s="81" t="s">
        <v>36</v>
      </c>
      <c r="V257" s="90" t="s">
        <v>35</v>
      </c>
      <c r="W257" s="81" t="s">
        <v>877</v>
      </c>
      <c r="X257" s="90">
        <v>44686</v>
      </c>
      <c r="Y257" s="81" t="s">
        <v>38</v>
      </c>
      <c r="Z257" s="81">
        <v>784</v>
      </c>
      <c r="AA257" s="81" t="s">
        <v>798</v>
      </c>
      <c r="AB257" s="81">
        <v>0</v>
      </c>
      <c r="AC257" s="81"/>
      <c r="AD257" s="81">
        <v>0</v>
      </c>
      <c r="AE257" s="81"/>
      <c r="AF257" s="81" t="s">
        <v>62</v>
      </c>
      <c r="AG257" s="83">
        <v>4443.17</v>
      </c>
      <c r="AH257" s="95">
        <v>145066.25</v>
      </c>
      <c r="AI257" s="82" t="str">
        <f>CONCATENATE((TEXT(Tabela1[[#This Row],[Data entrega]],"mmmm")),"_",(YEAR(Tabela1[[#This Row],[Data entrega]])))</f>
        <v>julho_2022</v>
      </c>
      <c r="AJ257" s="77">
        <f>IFERROR(IF(Tabela1[[#This Row],[Programa]]="",Tabela1[[#This Row],[Peso bruto]],VLOOKUP(Tabela1[[#This Row],[Pedido]],'Saldo a Produzir'!$A:$D,4,0)),"")</f>
        <v>2417.98</v>
      </c>
      <c r="AM257" s="73">
        <v>7606.0649999999996</v>
      </c>
    </row>
    <row r="258" spans="1:39" ht="14.5" x14ac:dyDescent="0.35">
      <c r="A258" s="81">
        <v>15079</v>
      </c>
      <c r="B258" s="81" t="s">
        <v>552</v>
      </c>
      <c r="C258" s="81">
        <v>28990075000852</v>
      </c>
      <c r="D258" s="81" t="s">
        <v>1235</v>
      </c>
      <c r="E258" s="81" t="s">
        <v>1236</v>
      </c>
      <c r="F258" s="81" t="s">
        <v>56</v>
      </c>
      <c r="G258" s="81">
        <v>26298</v>
      </c>
      <c r="H258" s="81" t="s">
        <v>87</v>
      </c>
      <c r="I258" s="81" t="s">
        <v>32</v>
      </c>
      <c r="J258" s="81" t="s">
        <v>33</v>
      </c>
      <c r="K258" s="81" t="s">
        <v>34</v>
      </c>
      <c r="L258" s="81" t="s">
        <v>1237</v>
      </c>
      <c r="M258" s="81"/>
      <c r="N258" s="90">
        <v>44712</v>
      </c>
      <c r="O258" s="90">
        <v>44764</v>
      </c>
      <c r="P258" s="90">
        <v>44721</v>
      </c>
      <c r="Q258" s="90" t="s">
        <v>35</v>
      </c>
      <c r="R258" s="81">
        <v>0</v>
      </c>
      <c r="S258" s="90" t="s">
        <v>35</v>
      </c>
      <c r="T258" s="81">
        <v>0</v>
      </c>
      <c r="U258" s="81" t="s">
        <v>36</v>
      </c>
      <c r="V258" s="90" t="s">
        <v>35</v>
      </c>
      <c r="W258" s="81" t="s">
        <v>1440</v>
      </c>
      <c r="X258" s="90">
        <v>44720</v>
      </c>
      <c r="Y258" s="81" t="s">
        <v>38</v>
      </c>
      <c r="Z258" s="81">
        <v>0</v>
      </c>
      <c r="AA258" s="81"/>
      <c r="AB258" s="81">
        <v>0</v>
      </c>
      <c r="AC258" s="81"/>
      <c r="AD258" s="81">
        <v>0</v>
      </c>
      <c r="AE258" s="81" t="s">
        <v>153</v>
      </c>
      <c r="AF258" s="81" t="s">
        <v>39</v>
      </c>
      <c r="AG258" s="83">
        <v>1875.3400000000001</v>
      </c>
      <c r="AH258" s="95">
        <v>80000</v>
      </c>
      <c r="AI258" s="82" t="str">
        <f>CONCATENATE((TEXT(Tabela1[[#This Row],[Data entrega]],"mmmm")),"_",(YEAR(Tabela1[[#This Row],[Data entrega]])))</f>
        <v>julho_2022</v>
      </c>
      <c r="AJ258" s="77">
        <f>IFERROR(IF(Tabela1[[#This Row],[Programa]]="",Tabela1[[#This Row],[Peso bruto]],VLOOKUP(Tabela1[[#This Row],[Pedido]],'Saldo a Produzir'!$A:$D,4,0)),"")</f>
        <v>1869.89</v>
      </c>
      <c r="AM258" s="73">
        <v>3633.6089999999999</v>
      </c>
    </row>
    <row r="259" spans="1:39" ht="14.5" x14ac:dyDescent="0.35">
      <c r="A259" s="81">
        <v>15074</v>
      </c>
      <c r="B259" s="81" t="s">
        <v>161</v>
      </c>
      <c r="C259" s="81">
        <v>58635830000175</v>
      </c>
      <c r="D259" s="81" t="s">
        <v>431</v>
      </c>
      <c r="E259" s="81" t="s">
        <v>128</v>
      </c>
      <c r="F259" s="81" t="s">
        <v>44</v>
      </c>
      <c r="G259" s="81">
        <v>25162</v>
      </c>
      <c r="H259" s="81" t="s">
        <v>90</v>
      </c>
      <c r="I259" s="81" t="s">
        <v>32</v>
      </c>
      <c r="J259" s="81" t="s">
        <v>33</v>
      </c>
      <c r="K259" s="81" t="s">
        <v>34</v>
      </c>
      <c r="L259" s="81" t="s">
        <v>434</v>
      </c>
      <c r="M259" s="81">
        <v>10905</v>
      </c>
      <c r="N259" s="90">
        <v>44546</v>
      </c>
      <c r="O259" s="90">
        <v>44764</v>
      </c>
      <c r="P259" s="90">
        <v>44719</v>
      </c>
      <c r="Q259" s="90" t="s">
        <v>35</v>
      </c>
      <c r="R259" s="81">
        <v>0</v>
      </c>
      <c r="S259" s="90" t="s">
        <v>35</v>
      </c>
      <c r="T259" s="81">
        <v>0</v>
      </c>
      <c r="U259" s="81" t="s">
        <v>36</v>
      </c>
      <c r="V259" s="90" t="s">
        <v>35</v>
      </c>
      <c r="W259" s="81" t="s">
        <v>516</v>
      </c>
      <c r="X259" s="90">
        <v>44603</v>
      </c>
      <c r="Y259" s="81" t="s">
        <v>38</v>
      </c>
      <c r="Z259" s="81">
        <v>600</v>
      </c>
      <c r="AA259" s="81" t="s">
        <v>435</v>
      </c>
      <c r="AB259" s="81">
        <v>0</v>
      </c>
      <c r="AC259" s="81"/>
      <c r="AD259" s="81">
        <v>0</v>
      </c>
      <c r="AE259" s="81" t="s">
        <v>153</v>
      </c>
      <c r="AF259" s="81" t="s">
        <v>39</v>
      </c>
      <c r="AG259" s="83">
        <v>913.24999999999989</v>
      </c>
      <c r="AH259" s="95">
        <v>358277.5</v>
      </c>
      <c r="AI259" s="82" t="str">
        <f>CONCATENATE((TEXT(Tabela1[[#This Row],[Data entrega]],"mmmm")),"_",(YEAR(Tabela1[[#This Row],[Data entrega]])))</f>
        <v>julho_2022</v>
      </c>
      <c r="AJ259" s="77">
        <f>IFERROR(IF(Tabela1[[#This Row],[Programa]]="",Tabela1[[#This Row],[Peso bruto]],VLOOKUP(Tabela1[[#This Row],[Pedido]],'Saldo a Produzir'!$A:$D,4,0)),"")</f>
        <v>938.85</v>
      </c>
      <c r="AM259" s="73">
        <v>13765.578</v>
      </c>
    </row>
    <row r="260" spans="1:39" ht="14.5" x14ac:dyDescent="0.35">
      <c r="A260" s="81">
        <v>15057</v>
      </c>
      <c r="B260" s="81" t="s">
        <v>60</v>
      </c>
      <c r="C260" s="81">
        <v>88674080000101</v>
      </c>
      <c r="D260" s="81" t="s">
        <v>785</v>
      </c>
      <c r="E260" s="81" t="s">
        <v>170</v>
      </c>
      <c r="F260" s="81" t="s">
        <v>58</v>
      </c>
      <c r="G260" s="81">
        <v>25937</v>
      </c>
      <c r="H260" s="81" t="s">
        <v>87</v>
      </c>
      <c r="I260" s="81" t="s">
        <v>32</v>
      </c>
      <c r="J260" s="81" t="s">
        <v>33</v>
      </c>
      <c r="K260" s="81" t="s">
        <v>34</v>
      </c>
      <c r="L260" s="81" t="s">
        <v>786</v>
      </c>
      <c r="M260" s="81">
        <v>188544</v>
      </c>
      <c r="N260" s="90">
        <v>44670</v>
      </c>
      <c r="O260" s="90">
        <v>44764</v>
      </c>
      <c r="P260" s="90">
        <v>44670</v>
      </c>
      <c r="Q260" s="90" t="s">
        <v>35</v>
      </c>
      <c r="R260" s="81">
        <v>0</v>
      </c>
      <c r="S260" s="90" t="s">
        <v>35</v>
      </c>
      <c r="T260" s="81">
        <v>0</v>
      </c>
      <c r="U260" s="81" t="s">
        <v>36</v>
      </c>
      <c r="V260" s="90" t="s">
        <v>35</v>
      </c>
      <c r="W260" s="81" t="s">
        <v>825</v>
      </c>
      <c r="X260" s="90">
        <v>44678</v>
      </c>
      <c r="Y260" s="81" t="s">
        <v>38</v>
      </c>
      <c r="Z260" s="81">
        <v>119</v>
      </c>
      <c r="AA260" s="81" t="s">
        <v>289</v>
      </c>
      <c r="AB260" s="81">
        <v>0</v>
      </c>
      <c r="AC260" s="81"/>
      <c r="AD260" s="81">
        <v>0</v>
      </c>
      <c r="AE260" s="81" t="s">
        <v>153</v>
      </c>
      <c r="AF260" s="81" t="s">
        <v>39</v>
      </c>
      <c r="AG260" s="83">
        <v>4841.47</v>
      </c>
      <c r="AH260" s="95">
        <v>98087.5</v>
      </c>
      <c r="AI260" s="82" t="str">
        <f>CONCATENATE((TEXT(Tabela1[[#This Row],[Data entrega]],"mmmm")),"_",(YEAR(Tabela1[[#This Row],[Data entrega]])))</f>
        <v>julho_2022</v>
      </c>
      <c r="AJ260" s="77">
        <f>IFERROR(IF(Tabela1[[#This Row],[Programa]]="",Tabela1[[#This Row],[Peso bruto]],VLOOKUP(Tabela1[[#This Row],[Pedido]],'Saldo a Produzir'!$A:$D,4,0)),"")</f>
        <v>3279.3999999999996</v>
      </c>
      <c r="AM260" s="73">
        <v>4954.7820000000002</v>
      </c>
    </row>
    <row r="261" spans="1:39" ht="14.5" x14ac:dyDescent="0.35">
      <c r="A261" s="81">
        <v>15059</v>
      </c>
      <c r="B261" s="81" t="s">
        <v>63</v>
      </c>
      <c r="C261" s="81">
        <v>58500398000610</v>
      </c>
      <c r="D261" s="81" t="s">
        <v>645</v>
      </c>
      <c r="E261" s="81" t="s">
        <v>574</v>
      </c>
      <c r="F261" s="81" t="s">
        <v>64</v>
      </c>
      <c r="G261" s="81">
        <v>25479</v>
      </c>
      <c r="H261" s="81" t="s">
        <v>88</v>
      </c>
      <c r="I261" s="81" t="s">
        <v>32</v>
      </c>
      <c r="J261" s="81" t="s">
        <v>33</v>
      </c>
      <c r="K261" s="81" t="s">
        <v>34</v>
      </c>
      <c r="L261" s="81" t="s">
        <v>646</v>
      </c>
      <c r="M261" s="81"/>
      <c r="N261" s="90">
        <v>44648</v>
      </c>
      <c r="O261" s="90">
        <v>44764</v>
      </c>
      <c r="P261" s="90">
        <v>44652</v>
      </c>
      <c r="Q261" s="90" t="s">
        <v>35</v>
      </c>
      <c r="R261" s="81">
        <v>0</v>
      </c>
      <c r="S261" s="90" t="s">
        <v>35</v>
      </c>
      <c r="T261" s="81">
        <v>0</v>
      </c>
      <c r="U261" s="81" t="s">
        <v>36</v>
      </c>
      <c r="V261" s="90" t="s">
        <v>35</v>
      </c>
      <c r="W261" s="81" t="s">
        <v>728</v>
      </c>
      <c r="X261" s="90">
        <v>44656</v>
      </c>
      <c r="Y261" s="81" t="s">
        <v>38</v>
      </c>
      <c r="Z261" s="81">
        <v>2257</v>
      </c>
      <c r="AA261" s="81" t="s">
        <v>155</v>
      </c>
      <c r="AB261" s="81">
        <v>0</v>
      </c>
      <c r="AC261" s="81"/>
      <c r="AD261" s="81">
        <v>0</v>
      </c>
      <c r="AE261" s="81" t="s">
        <v>153</v>
      </c>
      <c r="AF261" s="81" t="s">
        <v>39</v>
      </c>
      <c r="AG261" s="83">
        <v>19.11</v>
      </c>
      <c r="AH261" s="95">
        <v>61950</v>
      </c>
      <c r="AI261" s="82" t="str">
        <f>CONCATENATE((TEXT(Tabela1[[#This Row],[Data entrega]],"mmmm")),"_",(YEAR(Tabela1[[#This Row],[Data entrega]])))</f>
        <v>julho_2022</v>
      </c>
      <c r="AJ261" s="77">
        <f>IFERROR(IF(Tabela1[[#This Row],[Programa]]="",Tabela1[[#This Row],[Peso bruto]],VLOOKUP(Tabela1[[#This Row],[Pedido]],'Saldo a Produzir'!$A:$D,4,0)),"")</f>
        <v>0</v>
      </c>
      <c r="AM261" s="73">
        <v>4732.6729999999998</v>
      </c>
    </row>
    <row r="262" spans="1:39" ht="14.5" x14ac:dyDescent="0.35">
      <c r="A262" s="81">
        <v>15079</v>
      </c>
      <c r="B262" s="81" t="s">
        <v>552</v>
      </c>
      <c r="C262" s="81">
        <v>7159649000107</v>
      </c>
      <c r="D262" s="81" t="s">
        <v>690</v>
      </c>
      <c r="E262" s="81" t="s">
        <v>138</v>
      </c>
      <c r="F262" s="81" t="s">
        <v>56</v>
      </c>
      <c r="G262" s="81">
        <v>25813</v>
      </c>
      <c r="H262" s="81" t="s">
        <v>92</v>
      </c>
      <c r="I262" s="81" t="s">
        <v>32</v>
      </c>
      <c r="J262" s="81" t="s">
        <v>33</v>
      </c>
      <c r="K262" s="81" t="s">
        <v>34</v>
      </c>
      <c r="L262" s="81" t="s">
        <v>715</v>
      </c>
      <c r="M262" s="81"/>
      <c r="N262" s="90">
        <v>44651</v>
      </c>
      <c r="O262" s="90">
        <v>44764</v>
      </c>
      <c r="P262" s="90">
        <v>44657</v>
      </c>
      <c r="Q262" s="90" t="s">
        <v>35</v>
      </c>
      <c r="R262" s="81">
        <v>0</v>
      </c>
      <c r="S262" s="90" t="s">
        <v>35</v>
      </c>
      <c r="T262" s="81">
        <v>0</v>
      </c>
      <c r="U262" s="81" t="s">
        <v>36</v>
      </c>
      <c r="V262" s="90" t="s">
        <v>35</v>
      </c>
      <c r="W262" s="81" t="s">
        <v>779</v>
      </c>
      <c r="X262" s="90">
        <v>44669</v>
      </c>
      <c r="Y262" s="81" t="s">
        <v>38</v>
      </c>
      <c r="Z262" s="81">
        <v>2257</v>
      </c>
      <c r="AA262" s="81" t="s">
        <v>155</v>
      </c>
      <c r="AB262" s="81">
        <v>0</v>
      </c>
      <c r="AC262" s="81"/>
      <c r="AD262" s="81">
        <v>0</v>
      </c>
      <c r="AE262" s="81"/>
      <c r="AF262" s="81" t="s">
        <v>39</v>
      </c>
      <c r="AG262" s="83">
        <v>207.55</v>
      </c>
      <c r="AH262" s="95">
        <v>153755.76999999999</v>
      </c>
      <c r="AI262" s="82" t="str">
        <f>CONCATENATE((TEXT(Tabela1[[#This Row],[Data entrega]],"mmmm")),"_",(YEAR(Tabela1[[#This Row],[Data entrega]])))</f>
        <v>julho_2022</v>
      </c>
      <c r="AJ262" s="77">
        <f>IFERROR(IF(Tabela1[[#This Row],[Programa]]="",Tabela1[[#This Row],[Peso bruto]],VLOOKUP(Tabela1[[#This Row],[Pedido]],'Saldo a Produzir'!$A:$D,4,0)),"")</f>
        <v>204.17000000000002</v>
      </c>
      <c r="AM262" s="73">
        <v>2679.7750000000001</v>
      </c>
    </row>
    <row r="263" spans="1:39" ht="14.5" x14ac:dyDescent="0.35">
      <c r="A263" s="81">
        <v>15059</v>
      </c>
      <c r="B263" s="81" t="s">
        <v>63</v>
      </c>
      <c r="C263" s="81">
        <v>84229624000175</v>
      </c>
      <c r="D263" s="81" t="s">
        <v>382</v>
      </c>
      <c r="E263" s="81" t="s">
        <v>278</v>
      </c>
      <c r="F263" s="81" t="s">
        <v>64</v>
      </c>
      <c r="G263" s="81">
        <v>25818</v>
      </c>
      <c r="H263" s="81" t="s">
        <v>92</v>
      </c>
      <c r="I263" s="81" t="s">
        <v>32</v>
      </c>
      <c r="J263" s="81" t="s">
        <v>33</v>
      </c>
      <c r="K263" s="81" t="s">
        <v>34</v>
      </c>
      <c r="L263" s="81" t="s">
        <v>716</v>
      </c>
      <c r="M263" s="81">
        <v>4500015955</v>
      </c>
      <c r="N263" s="90">
        <v>44651</v>
      </c>
      <c r="O263" s="90">
        <v>44764</v>
      </c>
      <c r="P263" s="90">
        <v>44658</v>
      </c>
      <c r="Q263" s="90" t="s">
        <v>35</v>
      </c>
      <c r="R263" s="81">
        <v>0</v>
      </c>
      <c r="S263" s="90" t="s">
        <v>35</v>
      </c>
      <c r="T263" s="81">
        <v>0</v>
      </c>
      <c r="U263" s="81" t="s">
        <v>36</v>
      </c>
      <c r="V263" s="90" t="s">
        <v>35</v>
      </c>
      <c r="W263" s="81" t="s">
        <v>779</v>
      </c>
      <c r="X263" s="90">
        <v>44669</v>
      </c>
      <c r="Y263" s="81" t="s">
        <v>38</v>
      </c>
      <c r="Z263" s="81">
        <v>2257</v>
      </c>
      <c r="AA263" s="81" t="s">
        <v>155</v>
      </c>
      <c r="AB263" s="81">
        <v>0</v>
      </c>
      <c r="AC263" s="81"/>
      <c r="AD263" s="81">
        <v>0</v>
      </c>
      <c r="AE263" s="81" t="s">
        <v>153</v>
      </c>
      <c r="AF263" s="81" t="s">
        <v>39</v>
      </c>
      <c r="AG263" s="83">
        <v>1339.32</v>
      </c>
      <c r="AH263" s="95">
        <v>141906.82</v>
      </c>
      <c r="AI263" s="82" t="str">
        <f>CONCATENATE((TEXT(Tabela1[[#This Row],[Data entrega]],"mmmm")),"_",(YEAR(Tabela1[[#This Row],[Data entrega]])))</f>
        <v>julho_2022</v>
      </c>
      <c r="AJ263" s="77">
        <f>IFERROR(IF(Tabela1[[#This Row],[Programa]]="",Tabela1[[#This Row],[Peso bruto]],VLOOKUP(Tabela1[[#This Row],[Pedido]],'Saldo a Produzir'!$A:$D,4,0)),"")</f>
        <v>1074.9000000000001</v>
      </c>
      <c r="AM263" s="73">
        <v>5451.8320000000003</v>
      </c>
    </row>
    <row r="264" spans="1:39" ht="14.5" x14ac:dyDescent="0.35">
      <c r="A264" s="81">
        <v>15062</v>
      </c>
      <c r="B264" s="81" t="s">
        <v>50</v>
      </c>
      <c r="C264" s="81">
        <v>59476770003769</v>
      </c>
      <c r="D264" s="81" t="s">
        <v>687</v>
      </c>
      <c r="E264" s="81" t="s">
        <v>336</v>
      </c>
      <c r="F264" s="81" t="s">
        <v>51</v>
      </c>
      <c r="G264" s="81">
        <v>25809</v>
      </c>
      <c r="H264" s="81" t="s">
        <v>112</v>
      </c>
      <c r="I264" s="81" t="s">
        <v>32</v>
      </c>
      <c r="J264" s="81" t="s">
        <v>33</v>
      </c>
      <c r="K264" s="81" t="s">
        <v>34</v>
      </c>
      <c r="L264" s="81" t="s">
        <v>717</v>
      </c>
      <c r="M264" s="81"/>
      <c r="N264" s="90">
        <v>44651</v>
      </c>
      <c r="O264" s="90">
        <v>44764</v>
      </c>
      <c r="P264" s="90">
        <v>44671</v>
      </c>
      <c r="Q264" s="90" t="s">
        <v>35</v>
      </c>
      <c r="R264" s="81">
        <v>0</v>
      </c>
      <c r="S264" s="90" t="s">
        <v>35</v>
      </c>
      <c r="T264" s="81">
        <v>0</v>
      </c>
      <c r="U264" s="81" t="s">
        <v>36</v>
      </c>
      <c r="V264" s="90" t="s">
        <v>35</v>
      </c>
      <c r="W264" s="81" t="s">
        <v>826</v>
      </c>
      <c r="X264" s="90">
        <v>44678</v>
      </c>
      <c r="Y264" s="81" t="s">
        <v>38</v>
      </c>
      <c r="Z264" s="81">
        <v>944</v>
      </c>
      <c r="AA264" s="81" t="s">
        <v>152</v>
      </c>
      <c r="AB264" s="81">
        <v>0</v>
      </c>
      <c r="AC264" s="81"/>
      <c r="AD264" s="81">
        <v>0</v>
      </c>
      <c r="AE264" s="81"/>
      <c r="AF264" s="81" t="s">
        <v>39</v>
      </c>
      <c r="AG264" s="83">
        <v>24203.63</v>
      </c>
      <c r="AH264" s="95">
        <v>1128624.7</v>
      </c>
      <c r="AI264" s="82" t="str">
        <f>CONCATENATE((TEXT(Tabela1[[#This Row],[Data entrega]],"mmmm")),"_",(YEAR(Tabela1[[#This Row],[Data entrega]])))</f>
        <v>julho_2022</v>
      </c>
      <c r="AJ264" s="77">
        <f>IFERROR(IF(Tabela1[[#This Row],[Programa]]="",Tabela1[[#This Row],[Peso bruto]],VLOOKUP(Tabela1[[#This Row],[Pedido]],'Saldo a Produzir'!$A:$D,4,0)),"")</f>
        <v>20790.309999999998</v>
      </c>
      <c r="AM264" s="73">
        <v>65852.672000000006</v>
      </c>
    </row>
    <row r="265" spans="1:39" ht="14.5" x14ac:dyDescent="0.35">
      <c r="A265" s="81">
        <v>15062</v>
      </c>
      <c r="B265" s="81" t="s">
        <v>50</v>
      </c>
      <c r="C265" s="81">
        <v>59476770003769</v>
      </c>
      <c r="D265" s="81" t="s">
        <v>687</v>
      </c>
      <c r="E265" s="81" t="s">
        <v>336</v>
      </c>
      <c r="F265" s="81" t="s">
        <v>51</v>
      </c>
      <c r="G265" s="81">
        <v>25962</v>
      </c>
      <c r="H265" s="81" t="s">
        <v>86</v>
      </c>
      <c r="I265" s="81" t="s">
        <v>32</v>
      </c>
      <c r="J265" s="81" t="s">
        <v>33</v>
      </c>
      <c r="K265" s="81" t="s">
        <v>34</v>
      </c>
      <c r="L265" s="81" t="s">
        <v>717</v>
      </c>
      <c r="M265" s="81"/>
      <c r="N265" s="90">
        <v>44651</v>
      </c>
      <c r="O265" s="90">
        <v>44764</v>
      </c>
      <c r="P265" s="90">
        <v>44676</v>
      </c>
      <c r="Q265" s="90" t="s">
        <v>35</v>
      </c>
      <c r="R265" s="81">
        <v>0</v>
      </c>
      <c r="S265" s="90" t="s">
        <v>35</v>
      </c>
      <c r="T265" s="81">
        <v>0</v>
      </c>
      <c r="U265" s="81" t="s">
        <v>36</v>
      </c>
      <c r="V265" s="90" t="s">
        <v>35</v>
      </c>
      <c r="W265" s="81" t="s">
        <v>905</v>
      </c>
      <c r="X265" s="90">
        <v>44691</v>
      </c>
      <c r="Y265" s="81" t="s">
        <v>38</v>
      </c>
      <c r="Z265" s="81">
        <v>944</v>
      </c>
      <c r="AA265" s="81" t="s">
        <v>152</v>
      </c>
      <c r="AB265" s="81">
        <v>0</v>
      </c>
      <c r="AC265" s="81"/>
      <c r="AD265" s="81">
        <v>0</v>
      </c>
      <c r="AE265" s="81" t="s">
        <v>153</v>
      </c>
      <c r="AF265" s="81" t="s">
        <v>39</v>
      </c>
      <c r="AG265" s="83">
        <v>566.82000000000005</v>
      </c>
      <c r="AH265" s="95">
        <v>55000</v>
      </c>
      <c r="AI265" s="82" t="str">
        <f>CONCATENATE((TEXT(Tabela1[[#This Row],[Data entrega]],"mmmm")),"_",(YEAR(Tabela1[[#This Row],[Data entrega]])))</f>
        <v>julho_2022</v>
      </c>
      <c r="AJ265" s="77">
        <f>IFERROR(IF(Tabela1[[#This Row],[Programa]]="",Tabela1[[#This Row],[Peso bruto]],VLOOKUP(Tabela1[[#This Row],[Pedido]],'Saldo a Produzir'!$A:$D,4,0)),"")</f>
        <v>537.1400000000001</v>
      </c>
      <c r="AM265" s="73">
        <v>1492.4190000000001</v>
      </c>
    </row>
    <row r="266" spans="1:39" ht="14.5" x14ac:dyDescent="0.35">
      <c r="A266" s="81">
        <v>15062</v>
      </c>
      <c r="B266" s="81" t="s">
        <v>50</v>
      </c>
      <c r="C266" s="81">
        <v>59476770003769</v>
      </c>
      <c r="D266" s="81" t="s">
        <v>687</v>
      </c>
      <c r="E266" s="81" t="s">
        <v>336</v>
      </c>
      <c r="F266" s="81" t="s">
        <v>51</v>
      </c>
      <c r="G266" s="81">
        <v>25963</v>
      </c>
      <c r="H266" s="81" t="s">
        <v>125</v>
      </c>
      <c r="I266" s="81" t="s">
        <v>32</v>
      </c>
      <c r="J266" s="81" t="s">
        <v>33</v>
      </c>
      <c r="K266" s="81" t="s">
        <v>34</v>
      </c>
      <c r="L266" s="81" t="s">
        <v>717</v>
      </c>
      <c r="M266" s="81"/>
      <c r="N266" s="90">
        <v>44651</v>
      </c>
      <c r="O266" s="90">
        <v>44764</v>
      </c>
      <c r="P266" s="90">
        <v>44676</v>
      </c>
      <c r="Q266" s="90" t="s">
        <v>35</v>
      </c>
      <c r="R266" s="81">
        <v>0</v>
      </c>
      <c r="S266" s="90" t="s">
        <v>35</v>
      </c>
      <c r="T266" s="81">
        <v>0</v>
      </c>
      <c r="U266" s="81" t="s">
        <v>36</v>
      </c>
      <c r="V266" s="90" t="s">
        <v>35</v>
      </c>
      <c r="W266" s="81"/>
      <c r="X266" s="90" t="s">
        <v>37</v>
      </c>
      <c r="Y266" s="81" t="s">
        <v>38</v>
      </c>
      <c r="Z266" s="81">
        <v>944</v>
      </c>
      <c r="AA266" s="81" t="s">
        <v>152</v>
      </c>
      <c r="AB266" s="81">
        <v>0</v>
      </c>
      <c r="AC266" s="81"/>
      <c r="AD266" s="81">
        <v>0</v>
      </c>
      <c r="AE266" s="81"/>
      <c r="AF266" s="81" t="s">
        <v>39</v>
      </c>
      <c r="AG266" s="83">
        <v>0</v>
      </c>
      <c r="AH266" s="95">
        <v>523634.52</v>
      </c>
      <c r="AI266" s="82" t="str">
        <f>CONCATENATE((TEXT(Tabela1[[#This Row],[Data entrega]],"mmmm")),"_",(YEAR(Tabela1[[#This Row],[Data entrega]])))</f>
        <v>julho_2022</v>
      </c>
      <c r="AJ266" s="77">
        <f>IFERROR(IF(Tabela1[[#This Row],[Programa]]="",Tabela1[[#This Row],[Peso bruto]],VLOOKUP(Tabela1[[#This Row],[Pedido]],'Saldo a Produzir'!$A:$D,4,0)),"")</f>
        <v>0</v>
      </c>
      <c r="AM266" s="73">
        <v>0</v>
      </c>
    </row>
    <row r="267" spans="1:39" ht="14.5" x14ac:dyDescent="0.35">
      <c r="A267" s="81">
        <v>15075</v>
      </c>
      <c r="B267" s="81" t="s">
        <v>166</v>
      </c>
      <c r="C267" s="81">
        <v>94661428000200</v>
      </c>
      <c r="D267" s="81" t="s">
        <v>799</v>
      </c>
      <c r="E267" s="81" t="s">
        <v>800</v>
      </c>
      <c r="F267" s="81" t="s">
        <v>58</v>
      </c>
      <c r="G267" s="81">
        <v>25952</v>
      </c>
      <c r="H267" s="81" t="s">
        <v>88</v>
      </c>
      <c r="I267" s="81" t="s">
        <v>32</v>
      </c>
      <c r="J267" s="81" t="s">
        <v>33</v>
      </c>
      <c r="K267" s="81" t="s">
        <v>34</v>
      </c>
      <c r="L267" s="81" t="s">
        <v>801</v>
      </c>
      <c r="M267" s="81">
        <v>1202</v>
      </c>
      <c r="N267" s="90">
        <v>44671</v>
      </c>
      <c r="O267" s="90">
        <v>44764</v>
      </c>
      <c r="P267" s="90">
        <v>44686</v>
      </c>
      <c r="Q267" s="90" t="s">
        <v>35</v>
      </c>
      <c r="R267" s="81">
        <v>0</v>
      </c>
      <c r="S267" s="90" t="s">
        <v>35</v>
      </c>
      <c r="T267" s="81">
        <v>0</v>
      </c>
      <c r="U267" s="81" t="s">
        <v>36</v>
      </c>
      <c r="V267" s="90" t="s">
        <v>35</v>
      </c>
      <c r="W267" s="81" t="s">
        <v>872</v>
      </c>
      <c r="X267" s="90">
        <v>44690</v>
      </c>
      <c r="Y267" s="81" t="s">
        <v>38</v>
      </c>
      <c r="Z267" s="81">
        <v>0</v>
      </c>
      <c r="AA267" s="81"/>
      <c r="AB267" s="81">
        <v>0</v>
      </c>
      <c r="AC267" s="81"/>
      <c r="AD267" s="81">
        <v>0</v>
      </c>
      <c r="AE267" s="81" t="s">
        <v>153</v>
      </c>
      <c r="AF267" s="81" t="s">
        <v>39</v>
      </c>
      <c r="AG267" s="83">
        <v>1.59</v>
      </c>
      <c r="AH267" s="95">
        <v>17934.53</v>
      </c>
      <c r="AI267" s="82" t="str">
        <f>CONCATENATE((TEXT(Tabela1[[#This Row],[Data entrega]],"mmmm")),"_",(YEAR(Tabela1[[#This Row],[Data entrega]])))</f>
        <v>julho_2022</v>
      </c>
      <c r="AJ267" s="77">
        <f>IFERROR(IF(Tabela1[[#This Row],[Programa]]="",Tabela1[[#This Row],[Peso bruto]],VLOOKUP(Tabela1[[#This Row],[Pedido]],'Saldo a Produzir'!$A:$D,4,0)),"")</f>
        <v>0</v>
      </c>
      <c r="AM267" s="73">
        <v>793.53800000000001</v>
      </c>
    </row>
    <row r="268" spans="1:39" ht="14.5" x14ac:dyDescent="0.35">
      <c r="A268" s="81">
        <v>15057</v>
      </c>
      <c r="B268" s="81" t="s">
        <v>60</v>
      </c>
      <c r="C268" s="81">
        <v>21205440000155</v>
      </c>
      <c r="D268" s="81" t="s">
        <v>944</v>
      </c>
      <c r="E268" s="81" t="s">
        <v>162</v>
      </c>
      <c r="F268" s="81" t="s">
        <v>58</v>
      </c>
      <c r="G268" s="81">
        <v>25940</v>
      </c>
      <c r="H268" s="81" t="s">
        <v>88</v>
      </c>
      <c r="I268" s="81" t="s">
        <v>32</v>
      </c>
      <c r="J268" s="81" t="s">
        <v>33</v>
      </c>
      <c r="K268" s="81" t="s">
        <v>34</v>
      </c>
      <c r="L268" s="81" t="s">
        <v>787</v>
      </c>
      <c r="M268" s="81"/>
      <c r="N268" s="90">
        <v>44670</v>
      </c>
      <c r="O268" s="90">
        <v>44764</v>
      </c>
      <c r="P268" s="90">
        <v>44671</v>
      </c>
      <c r="Q268" s="90" t="s">
        <v>35</v>
      </c>
      <c r="R268" s="81">
        <v>0</v>
      </c>
      <c r="S268" s="90" t="s">
        <v>35</v>
      </c>
      <c r="T268" s="81">
        <v>0</v>
      </c>
      <c r="U268" s="81" t="s">
        <v>36</v>
      </c>
      <c r="V268" s="90" t="s">
        <v>35</v>
      </c>
      <c r="W268" s="81" t="s">
        <v>822</v>
      </c>
      <c r="X268" s="90">
        <v>44678</v>
      </c>
      <c r="Y268" s="81" t="s">
        <v>38</v>
      </c>
      <c r="Z268" s="81">
        <v>2257</v>
      </c>
      <c r="AA268" s="81" t="s">
        <v>155</v>
      </c>
      <c r="AB268" s="81">
        <v>0</v>
      </c>
      <c r="AC268" s="81"/>
      <c r="AD268" s="81">
        <v>0</v>
      </c>
      <c r="AE268" s="81" t="s">
        <v>153</v>
      </c>
      <c r="AF268" s="81" t="s">
        <v>39</v>
      </c>
      <c r="AG268" s="83">
        <v>501.48</v>
      </c>
      <c r="AH268" s="95">
        <v>36584.57</v>
      </c>
      <c r="AI268" s="82" t="str">
        <f>CONCATENATE((TEXT(Tabela1[[#This Row],[Data entrega]],"mmmm")),"_",(YEAR(Tabela1[[#This Row],[Data entrega]])))</f>
        <v>julho_2022</v>
      </c>
      <c r="AJ268" s="77">
        <f>IFERROR(IF(Tabela1[[#This Row],[Programa]]="",Tabela1[[#This Row],[Peso bruto]],VLOOKUP(Tabela1[[#This Row],[Pedido]],'Saldo a Produzir'!$A:$D,4,0)),"")</f>
        <v>131.9</v>
      </c>
      <c r="AM268" s="73">
        <v>1466.0530000000001</v>
      </c>
    </row>
    <row r="269" spans="1:39" ht="14.5" x14ac:dyDescent="0.35">
      <c r="A269" s="81">
        <v>15067</v>
      </c>
      <c r="B269" s="81" t="s">
        <v>59</v>
      </c>
      <c r="C269" s="81">
        <v>18808950000102</v>
      </c>
      <c r="D269" s="81" t="s">
        <v>680</v>
      </c>
      <c r="E269" s="81" t="s">
        <v>130</v>
      </c>
      <c r="F269" s="81" t="s">
        <v>58</v>
      </c>
      <c r="G269" s="81">
        <v>25796</v>
      </c>
      <c r="H269" s="81" t="s">
        <v>92</v>
      </c>
      <c r="I269" s="81" t="s">
        <v>32</v>
      </c>
      <c r="J269" s="81" t="s">
        <v>33</v>
      </c>
      <c r="K269" s="81" t="s">
        <v>34</v>
      </c>
      <c r="L269" s="81" t="s">
        <v>681</v>
      </c>
      <c r="M269" s="81"/>
      <c r="N269" s="90">
        <v>44651</v>
      </c>
      <c r="O269" s="90">
        <v>44764</v>
      </c>
      <c r="P269" s="90">
        <v>44655</v>
      </c>
      <c r="Q269" s="90" t="s">
        <v>35</v>
      </c>
      <c r="R269" s="81">
        <v>0</v>
      </c>
      <c r="S269" s="90" t="s">
        <v>35</v>
      </c>
      <c r="T269" s="81">
        <v>0</v>
      </c>
      <c r="U269" s="81" t="s">
        <v>36</v>
      </c>
      <c r="V269" s="90" t="s">
        <v>35</v>
      </c>
      <c r="W269" s="81" t="s">
        <v>745</v>
      </c>
      <c r="X269" s="90">
        <v>44659</v>
      </c>
      <c r="Y269" s="81" t="s">
        <v>38</v>
      </c>
      <c r="Z269" s="81">
        <v>0</v>
      </c>
      <c r="AA269" s="81"/>
      <c r="AB269" s="81">
        <v>0</v>
      </c>
      <c r="AC269" s="81"/>
      <c r="AD269" s="81">
        <v>0</v>
      </c>
      <c r="AE269" s="81" t="s">
        <v>153</v>
      </c>
      <c r="AF269" s="81" t="s">
        <v>39</v>
      </c>
      <c r="AG269" s="83">
        <v>23.080000000000002</v>
      </c>
      <c r="AH269" s="95">
        <v>7743.75</v>
      </c>
      <c r="AI269" s="82" t="str">
        <f>CONCATENATE((TEXT(Tabela1[[#This Row],[Data entrega]],"mmmm")),"_",(YEAR(Tabela1[[#This Row],[Data entrega]])))</f>
        <v>julho_2022</v>
      </c>
      <c r="AJ269" s="77">
        <f>IFERROR(IF(Tabela1[[#This Row],[Programa]]="",Tabela1[[#This Row],[Peso bruto]],VLOOKUP(Tabela1[[#This Row],[Pedido]],'Saldo a Produzir'!$A:$D,4,0)),"")</f>
        <v>19.350000000000001</v>
      </c>
      <c r="AM269" s="73">
        <v>289.27499999999998</v>
      </c>
    </row>
    <row r="270" spans="1:39" ht="14.5" x14ac:dyDescent="0.35">
      <c r="A270" s="81">
        <v>15067</v>
      </c>
      <c r="B270" s="81" t="s">
        <v>59</v>
      </c>
      <c r="C270" s="81">
        <v>90347840000118</v>
      </c>
      <c r="D270" s="81" t="s">
        <v>682</v>
      </c>
      <c r="E270" s="81" t="s">
        <v>683</v>
      </c>
      <c r="F270" s="81" t="s">
        <v>58</v>
      </c>
      <c r="G270" s="81">
        <v>25791</v>
      </c>
      <c r="H270" s="81" t="s">
        <v>92</v>
      </c>
      <c r="I270" s="81" t="s">
        <v>32</v>
      </c>
      <c r="J270" s="81" t="s">
        <v>33</v>
      </c>
      <c r="K270" s="81" t="s">
        <v>34</v>
      </c>
      <c r="L270" s="81" t="s">
        <v>684</v>
      </c>
      <c r="M270" s="81"/>
      <c r="N270" s="90">
        <v>44651</v>
      </c>
      <c r="O270" s="90">
        <v>44764</v>
      </c>
      <c r="P270" s="90">
        <v>44676</v>
      </c>
      <c r="Q270" s="90" t="s">
        <v>35</v>
      </c>
      <c r="R270" s="81">
        <v>0</v>
      </c>
      <c r="S270" s="90" t="s">
        <v>35</v>
      </c>
      <c r="T270" s="81">
        <v>0</v>
      </c>
      <c r="U270" s="81" t="s">
        <v>36</v>
      </c>
      <c r="V270" s="90" t="s">
        <v>35</v>
      </c>
      <c r="W270" s="81" t="s">
        <v>822</v>
      </c>
      <c r="X270" s="90">
        <v>44678</v>
      </c>
      <c r="Y270" s="81" t="s">
        <v>38</v>
      </c>
      <c r="Z270" s="81">
        <v>2257</v>
      </c>
      <c r="AA270" s="81" t="s">
        <v>155</v>
      </c>
      <c r="AB270" s="81">
        <v>0</v>
      </c>
      <c r="AC270" s="81"/>
      <c r="AD270" s="81">
        <v>0</v>
      </c>
      <c r="AE270" s="81" t="s">
        <v>153</v>
      </c>
      <c r="AF270" s="81" t="s">
        <v>39</v>
      </c>
      <c r="AG270" s="83">
        <v>3742.4300000000007</v>
      </c>
      <c r="AH270" s="95">
        <v>390608.43</v>
      </c>
      <c r="AI270" s="82" t="str">
        <f>CONCATENATE((TEXT(Tabela1[[#This Row],[Data entrega]],"mmmm")),"_",(YEAR(Tabela1[[#This Row],[Data entrega]])))</f>
        <v>julho_2022</v>
      </c>
      <c r="AJ270" s="77">
        <f>IFERROR(IF(Tabela1[[#This Row],[Programa]]="",Tabela1[[#This Row],[Peso bruto]],VLOOKUP(Tabela1[[#This Row],[Pedido]],'Saldo a Produzir'!$A:$D,4,0)),"")</f>
        <v>3733.4500000000003</v>
      </c>
      <c r="AM270" s="73">
        <v>8416.1949999999997</v>
      </c>
    </row>
    <row r="271" spans="1:39" ht="14.5" x14ac:dyDescent="0.35">
      <c r="A271" s="81">
        <v>15059</v>
      </c>
      <c r="B271" s="81" t="s">
        <v>63</v>
      </c>
      <c r="C271" s="81">
        <v>7175725001050</v>
      </c>
      <c r="D271" s="81" t="s">
        <v>199</v>
      </c>
      <c r="E271" s="81" t="s">
        <v>192</v>
      </c>
      <c r="F271" s="81" t="s">
        <v>64</v>
      </c>
      <c r="G271" s="81">
        <v>25875</v>
      </c>
      <c r="H271" s="81" t="s">
        <v>92</v>
      </c>
      <c r="I271" s="81" t="s">
        <v>32</v>
      </c>
      <c r="J271" s="81" t="s">
        <v>33</v>
      </c>
      <c r="K271" s="81" t="s">
        <v>34</v>
      </c>
      <c r="L271" s="81" t="s">
        <v>743</v>
      </c>
      <c r="M271" s="81">
        <v>4512558893</v>
      </c>
      <c r="N271" s="90">
        <v>44658</v>
      </c>
      <c r="O271" s="90">
        <v>44764</v>
      </c>
      <c r="P271" s="90">
        <v>44658</v>
      </c>
      <c r="Q271" s="90" t="s">
        <v>35</v>
      </c>
      <c r="R271" s="81">
        <v>0</v>
      </c>
      <c r="S271" s="90" t="s">
        <v>35</v>
      </c>
      <c r="T271" s="81">
        <v>0</v>
      </c>
      <c r="U271" s="81" t="s">
        <v>36</v>
      </c>
      <c r="V271" s="90" t="s">
        <v>35</v>
      </c>
      <c r="W271" s="81" t="s">
        <v>761</v>
      </c>
      <c r="X271" s="90">
        <v>44662</v>
      </c>
      <c r="Y271" s="81" t="s">
        <v>38</v>
      </c>
      <c r="Z271" s="81">
        <v>2000</v>
      </c>
      <c r="AA271" s="81" t="s">
        <v>154</v>
      </c>
      <c r="AB271" s="81">
        <v>0</v>
      </c>
      <c r="AC271" s="81"/>
      <c r="AD271" s="81">
        <v>0</v>
      </c>
      <c r="AE271" s="81" t="s">
        <v>153</v>
      </c>
      <c r="AF271" s="81" t="s">
        <v>39</v>
      </c>
      <c r="AG271" s="83">
        <v>273.04999999999995</v>
      </c>
      <c r="AH271" s="95">
        <v>21145.599999999999</v>
      </c>
      <c r="AI271" s="82" t="str">
        <f>CONCATENATE((TEXT(Tabela1[[#This Row],[Data entrega]],"mmmm")),"_",(YEAR(Tabela1[[#This Row],[Data entrega]])))</f>
        <v>julho_2022</v>
      </c>
      <c r="AJ271" s="77">
        <f>IFERROR(IF(Tabela1[[#This Row],[Programa]]="",Tabela1[[#This Row],[Peso bruto]],VLOOKUP(Tabela1[[#This Row],[Pedido]],'Saldo a Produzir'!$A:$D,4,0)),"")</f>
        <v>0</v>
      </c>
      <c r="AM271" s="73">
        <v>768.33699999999999</v>
      </c>
    </row>
    <row r="272" spans="1:39" ht="14.5" x14ac:dyDescent="0.35">
      <c r="A272" s="81">
        <v>15066</v>
      </c>
      <c r="B272" s="81" t="s">
        <v>72</v>
      </c>
      <c r="C272" s="81">
        <v>2003402005134</v>
      </c>
      <c r="D272" s="81" t="s">
        <v>461</v>
      </c>
      <c r="E272" s="81" t="s">
        <v>126</v>
      </c>
      <c r="F272" s="81" t="s">
        <v>56</v>
      </c>
      <c r="G272" s="81">
        <v>25310</v>
      </c>
      <c r="H272" s="81" t="s">
        <v>90</v>
      </c>
      <c r="I272" s="81" t="s">
        <v>32</v>
      </c>
      <c r="J272" s="81" t="s">
        <v>33</v>
      </c>
      <c r="K272" s="81" t="s">
        <v>34</v>
      </c>
      <c r="L272" s="81" t="s">
        <v>462</v>
      </c>
      <c r="M272" s="81">
        <v>3952639</v>
      </c>
      <c r="N272" s="90">
        <v>44581</v>
      </c>
      <c r="O272" s="90">
        <v>44771</v>
      </c>
      <c r="P272" s="90">
        <v>44581</v>
      </c>
      <c r="Q272" s="90" t="s">
        <v>35</v>
      </c>
      <c r="R272" s="81">
        <v>0</v>
      </c>
      <c r="S272" s="90" t="s">
        <v>35</v>
      </c>
      <c r="T272" s="81">
        <v>0</v>
      </c>
      <c r="U272" s="81" t="s">
        <v>36</v>
      </c>
      <c r="V272" s="90" t="s">
        <v>35</v>
      </c>
      <c r="W272" s="81" t="s">
        <v>516</v>
      </c>
      <c r="X272" s="90">
        <v>44603</v>
      </c>
      <c r="Y272" s="81" t="s">
        <v>38</v>
      </c>
      <c r="Z272" s="81">
        <v>44</v>
      </c>
      <c r="AA272" s="81" t="s">
        <v>151</v>
      </c>
      <c r="AB272" s="81">
        <v>0</v>
      </c>
      <c r="AC272" s="81"/>
      <c r="AD272" s="81">
        <v>0</v>
      </c>
      <c r="AE272" s="81" t="s">
        <v>153</v>
      </c>
      <c r="AF272" s="81" t="s">
        <v>39</v>
      </c>
      <c r="AG272" s="83">
        <v>204.49</v>
      </c>
      <c r="AH272" s="95">
        <v>61774.48</v>
      </c>
      <c r="AI272" s="82" t="str">
        <f>CONCATENATE((TEXT(Tabela1[[#This Row],[Data entrega]],"mmmm")),"_",(YEAR(Tabela1[[#This Row],[Data entrega]])))</f>
        <v>julho_2022</v>
      </c>
      <c r="AJ272" s="77">
        <f>IFERROR(IF(Tabela1[[#This Row],[Programa]]="",Tabela1[[#This Row],[Peso bruto]],VLOOKUP(Tabela1[[#This Row],[Pedido]],'Saldo a Produzir'!$A:$D,4,0)),"")</f>
        <v>194.36</v>
      </c>
      <c r="AM272" s="73">
        <v>2048.0650000000001</v>
      </c>
    </row>
    <row r="273" spans="1:39" ht="14.5" x14ac:dyDescent="0.35">
      <c r="A273" s="81">
        <v>15066</v>
      </c>
      <c r="B273" s="81" t="s">
        <v>72</v>
      </c>
      <c r="C273" s="81">
        <v>2003402005134</v>
      </c>
      <c r="D273" s="81" t="s">
        <v>461</v>
      </c>
      <c r="E273" s="81" t="s">
        <v>126</v>
      </c>
      <c r="F273" s="81" t="s">
        <v>56</v>
      </c>
      <c r="G273" s="81">
        <v>25311</v>
      </c>
      <c r="H273" s="81" t="s">
        <v>125</v>
      </c>
      <c r="I273" s="81" t="s">
        <v>32</v>
      </c>
      <c r="J273" s="81" t="s">
        <v>33</v>
      </c>
      <c r="K273" s="81" t="s">
        <v>34</v>
      </c>
      <c r="L273" s="81" t="s">
        <v>462</v>
      </c>
      <c r="M273" s="81">
        <v>3952639</v>
      </c>
      <c r="N273" s="90">
        <v>44581</v>
      </c>
      <c r="O273" s="90">
        <v>44771</v>
      </c>
      <c r="P273" s="90">
        <v>44581</v>
      </c>
      <c r="Q273" s="90" t="s">
        <v>35</v>
      </c>
      <c r="R273" s="81">
        <v>0</v>
      </c>
      <c r="S273" s="90" t="s">
        <v>35</v>
      </c>
      <c r="T273" s="81">
        <v>0</v>
      </c>
      <c r="U273" s="81" t="s">
        <v>36</v>
      </c>
      <c r="V273" s="90" t="s">
        <v>35</v>
      </c>
      <c r="W273" s="81"/>
      <c r="X273" s="90" t="s">
        <v>37</v>
      </c>
      <c r="Y273" s="81" t="s">
        <v>38</v>
      </c>
      <c r="Z273" s="81">
        <v>44</v>
      </c>
      <c r="AA273" s="81" t="s">
        <v>151</v>
      </c>
      <c r="AB273" s="81">
        <v>0</v>
      </c>
      <c r="AC273" s="81"/>
      <c r="AD273" s="81">
        <v>0</v>
      </c>
      <c r="AE273" s="81"/>
      <c r="AF273" s="81" t="s">
        <v>39</v>
      </c>
      <c r="AG273" s="83">
        <v>0</v>
      </c>
      <c r="AH273" s="95">
        <v>68250</v>
      </c>
      <c r="AI273" s="82" t="str">
        <f>CONCATENATE((TEXT(Tabela1[[#This Row],[Data entrega]],"mmmm")),"_",(YEAR(Tabela1[[#This Row],[Data entrega]])))</f>
        <v>julho_2022</v>
      </c>
      <c r="AJ273" s="77">
        <f>IFERROR(IF(Tabela1[[#This Row],[Programa]]="",Tabela1[[#This Row],[Peso bruto]],VLOOKUP(Tabela1[[#This Row],[Pedido]],'Saldo a Produzir'!$A:$D,4,0)),"")</f>
        <v>0</v>
      </c>
      <c r="AM273" s="73">
        <v>0</v>
      </c>
    </row>
    <row r="274" spans="1:39" ht="14.5" x14ac:dyDescent="0.35">
      <c r="A274" s="81">
        <v>15064</v>
      </c>
      <c r="B274" s="81" t="s">
        <v>67</v>
      </c>
      <c r="C274" s="81">
        <v>3887324000181</v>
      </c>
      <c r="D274" s="81" t="s">
        <v>1238</v>
      </c>
      <c r="E274" s="81" t="s">
        <v>1239</v>
      </c>
      <c r="F274" s="81" t="s">
        <v>44</v>
      </c>
      <c r="G274" s="81">
        <v>26293</v>
      </c>
      <c r="H274" s="81" t="s">
        <v>87</v>
      </c>
      <c r="I274" s="81" t="s">
        <v>32</v>
      </c>
      <c r="J274" s="81" t="s">
        <v>33</v>
      </c>
      <c r="K274" s="81" t="s">
        <v>34</v>
      </c>
      <c r="L274" s="81" t="s">
        <v>1441</v>
      </c>
      <c r="M274" s="81"/>
      <c r="N274" s="90">
        <v>44712</v>
      </c>
      <c r="O274" s="90">
        <v>44771</v>
      </c>
      <c r="P274" s="90">
        <v>44719</v>
      </c>
      <c r="Q274" s="90" t="s">
        <v>35</v>
      </c>
      <c r="R274" s="81">
        <v>0</v>
      </c>
      <c r="S274" s="90" t="s">
        <v>35</v>
      </c>
      <c r="T274" s="81">
        <v>0</v>
      </c>
      <c r="U274" s="81" t="s">
        <v>36</v>
      </c>
      <c r="V274" s="90" t="s">
        <v>35</v>
      </c>
      <c r="W274" s="81"/>
      <c r="X274" s="90" t="s">
        <v>37</v>
      </c>
      <c r="Y274" s="81" t="s">
        <v>38</v>
      </c>
      <c r="Z274" s="81">
        <v>0</v>
      </c>
      <c r="AA274" s="81"/>
      <c r="AB274" s="81">
        <v>0</v>
      </c>
      <c r="AC274" s="81"/>
      <c r="AD274" s="81">
        <v>0</v>
      </c>
      <c r="AE274" s="81" t="s">
        <v>153</v>
      </c>
      <c r="AF274" s="81" t="s">
        <v>39</v>
      </c>
      <c r="AG274" s="83">
        <v>42473.57</v>
      </c>
      <c r="AH274" s="95">
        <v>661181.23</v>
      </c>
      <c r="AI274" s="82" t="str">
        <f>CONCATENATE((TEXT(Tabela1[[#This Row],[Data entrega]],"mmmm")),"_",(YEAR(Tabela1[[#This Row],[Data entrega]])))</f>
        <v>julho_2022</v>
      </c>
      <c r="AJ274" s="77">
        <f>IFERROR(IF(Tabela1[[#This Row],[Programa]]="",Tabela1[[#This Row],[Peso bruto]],VLOOKUP(Tabela1[[#This Row],[Pedido]],'Saldo a Produzir'!$A:$D,4,0)),"")</f>
        <v>42473.57</v>
      </c>
      <c r="AM274" s="73">
        <v>42473.57</v>
      </c>
    </row>
    <row r="275" spans="1:39" ht="14.5" x14ac:dyDescent="0.35">
      <c r="A275" s="81">
        <v>15064</v>
      </c>
      <c r="B275" s="81" t="s">
        <v>67</v>
      </c>
      <c r="C275" s="81">
        <v>3887324000181</v>
      </c>
      <c r="D275" s="81" t="s">
        <v>1238</v>
      </c>
      <c r="E275" s="81" t="s">
        <v>1239</v>
      </c>
      <c r="F275" s="81" t="s">
        <v>44</v>
      </c>
      <c r="G275" s="81">
        <v>26294</v>
      </c>
      <c r="H275" s="81" t="s">
        <v>86</v>
      </c>
      <c r="I275" s="81" t="s">
        <v>32</v>
      </c>
      <c r="J275" s="81" t="s">
        <v>33</v>
      </c>
      <c r="K275" s="81" t="s">
        <v>34</v>
      </c>
      <c r="L275" s="81" t="s">
        <v>1441</v>
      </c>
      <c r="M275" s="81"/>
      <c r="N275" s="90">
        <v>44712</v>
      </c>
      <c r="O275" s="90">
        <v>44771</v>
      </c>
      <c r="P275" s="90">
        <v>44719</v>
      </c>
      <c r="Q275" s="90" t="s">
        <v>35</v>
      </c>
      <c r="R275" s="81">
        <v>0</v>
      </c>
      <c r="S275" s="90" t="s">
        <v>35</v>
      </c>
      <c r="T275" s="81">
        <v>0</v>
      </c>
      <c r="U275" s="81" t="s">
        <v>36</v>
      </c>
      <c r="V275" s="90" t="s">
        <v>35</v>
      </c>
      <c r="W275" s="81"/>
      <c r="X275" s="90" t="s">
        <v>37</v>
      </c>
      <c r="Y275" s="81" t="s">
        <v>38</v>
      </c>
      <c r="Z275" s="81">
        <v>0</v>
      </c>
      <c r="AA275" s="81"/>
      <c r="AB275" s="81">
        <v>0</v>
      </c>
      <c r="AC275" s="81"/>
      <c r="AD275" s="81">
        <v>0</v>
      </c>
      <c r="AE275" s="81" t="s">
        <v>153</v>
      </c>
      <c r="AF275" s="81" t="s">
        <v>39</v>
      </c>
      <c r="AG275" s="83">
        <v>73130</v>
      </c>
      <c r="AH275" s="95">
        <v>1697521.98</v>
      </c>
      <c r="AI275" s="82" t="str">
        <f>CONCATENATE((TEXT(Tabela1[[#This Row],[Data entrega]],"mmmm")),"_",(YEAR(Tabela1[[#This Row],[Data entrega]])))</f>
        <v>julho_2022</v>
      </c>
      <c r="AJ275" s="77">
        <f>IFERROR(IF(Tabela1[[#This Row],[Programa]]="",Tabela1[[#This Row],[Peso bruto]],VLOOKUP(Tabela1[[#This Row],[Pedido]],'Saldo a Produzir'!$A:$D,4,0)),"")</f>
        <v>73130</v>
      </c>
      <c r="AM275" s="73">
        <v>73130</v>
      </c>
    </row>
    <row r="276" spans="1:39" ht="14.5" x14ac:dyDescent="0.35">
      <c r="A276" s="81">
        <v>15073</v>
      </c>
      <c r="B276" s="81" t="s">
        <v>172</v>
      </c>
      <c r="C276" s="81">
        <v>1154956000534</v>
      </c>
      <c r="D276" s="81" t="s">
        <v>311</v>
      </c>
      <c r="E276" s="81" t="s">
        <v>312</v>
      </c>
      <c r="F276" s="81" t="s">
        <v>44</v>
      </c>
      <c r="G276" s="81">
        <v>25970</v>
      </c>
      <c r="H276" s="81" t="s">
        <v>87</v>
      </c>
      <c r="I276" s="81" t="s">
        <v>32</v>
      </c>
      <c r="J276" s="81" t="s">
        <v>33</v>
      </c>
      <c r="K276" s="81" t="s">
        <v>34</v>
      </c>
      <c r="L276" s="81" t="s">
        <v>827</v>
      </c>
      <c r="M276" s="81"/>
      <c r="N276" s="90">
        <v>44676</v>
      </c>
      <c r="O276" s="90">
        <v>44771</v>
      </c>
      <c r="P276" s="90">
        <v>44680</v>
      </c>
      <c r="Q276" s="90" t="s">
        <v>35</v>
      </c>
      <c r="R276" s="81">
        <v>0</v>
      </c>
      <c r="S276" s="90" t="s">
        <v>35</v>
      </c>
      <c r="T276" s="81">
        <v>0</v>
      </c>
      <c r="U276" s="81" t="s">
        <v>36</v>
      </c>
      <c r="V276" s="90" t="s">
        <v>35</v>
      </c>
      <c r="W276" s="81" t="s">
        <v>877</v>
      </c>
      <c r="X276" s="90">
        <v>44686</v>
      </c>
      <c r="Y276" s="81" t="s">
        <v>38</v>
      </c>
      <c r="Z276" s="81">
        <v>2257</v>
      </c>
      <c r="AA276" s="81" t="s">
        <v>155</v>
      </c>
      <c r="AB276" s="81">
        <v>0</v>
      </c>
      <c r="AC276" s="81"/>
      <c r="AD276" s="81">
        <v>0</v>
      </c>
      <c r="AE276" s="81" t="s">
        <v>153</v>
      </c>
      <c r="AF276" s="81" t="s">
        <v>39</v>
      </c>
      <c r="AG276" s="83">
        <v>892.09</v>
      </c>
      <c r="AH276" s="95">
        <v>34072.5</v>
      </c>
      <c r="AI276" s="82" t="str">
        <f>CONCATENATE((TEXT(Tabela1[[#This Row],[Data entrega]],"mmmm")),"_",(YEAR(Tabela1[[#This Row],[Data entrega]])))</f>
        <v>julho_2022</v>
      </c>
      <c r="AJ276" s="77">
        <f>IFERROR(IF(Tabela1[[#This Row],[Programa]]="",Tabela1[[#This Row],[Peso bruto]],VLOOKUP(Tabela1[[#This Row],[Pedido]],'Saldo a Produzir'!$A:$D,4,0)),"")</f>
        <v>871.31000000000006</v>
      </c>
      <c r="AM276" s="73">
        <v>901.42600000000004</v>
      </c>
    </row>
    <row r="277" spans="1:39" ht="14.5" x14ac:dyDescent="0.35">
      <c r="A277" s="81">
        <v>15057</v>
      </c>
      <c r="B277" s="81" t="s">
        <v>60</v>
      </c>
      <c r="C277" s="81">
        <v>138093000115</v>
      </c>
      <c r="D277" s="81" t="s">
        <v>906</v>
      </c>
      <c r="E277" s="81" t="s">
        <v>162</v>
      </c>
      <c r="F277" s="81" t="s">
        <v>58</v>
      </c>
      <c r="G277" s="81">
        <v>26093</v>
      </c>
      <c r="H277" s="81" t="s">
        <v>87</v>
      </c>
      <c r="I277" s="81" t="s">
        <v>32</v>
      </c>
      <c r="J277" s="81" t="s">
        <v>33</v>
      </c>
      <c r="K277" s="81" t="s">
        <v>34</v>
      </c>
      <c r="L277" s="81" t="s">
        <v>907</v>
      </c>
      <c r="M277" s="81"/>
      <c r="N277" s="90">
        <v>44691</v>
      </c>
      <c r="O277" s="90">
        <v>44771</v>
      </c>
      <c r="P277" s="90">
        <v>44693</v>
      </c>
      <c r="Q277" s="90" t="s">
        <v>35</v>
      </c>
      <c r="R277" s="81">
        <v>0</v>
      </c>
      <c r="S277" s="90" t="s">
        <v>35</v>
      </c>
      <c r="T277" s="81">
        <v>0</v>
      </c>
      <c r="U277" s="81" t="s">
        <v>36</v>
      </c>
      <c r="V277" s="90" t="s">
        <v>35</v>
      </c>
      <c r="W277" s="81" t="s">
        <v>945</v>
      </c>
      <c r="X277" s="90">
        <v>44694</v>
      </c>
      <c r="Y277" s="81" t="s">
        <v>38</v>
      </c>
      <c r="Z277" s="81">
        <v>2239</v>
      </c>
      <c r="AA277" s="81" t="s">
        <v>908</v>
      </c>
      <c r="AB277" s="81">
        <v>0</v>
      </c>
      <c r="AC277" s="81"/>
      <c r="AD277" s="81">
        <v>0</v>
      </c>
      <c r="AE277" s="81" t="s">
        <v>153</v>
      </c>
      <c r="AF277" s="81" t="s">
        <v>39</v>
      </c>
      <c r="AG277" s="83">
        <v>9837.7200000000012</v>
      </c>
      <c r="AH277" s="95">
        <v>227150</v>
      </c>
      <c r="AI277" s="82" t="str">
        <f>CONCATENATE((TEXT(Tabela1[[#This Row],[Data entrega]],"mmmm")),"_",(YEAR(Tabela1[[#This Row],[Data entrega]])))</f>
        <v>julho_2022</v>
      </c>
      <c r="AJ277" s="77">
        <f>IFERROR(IF(Tabela1[[#This Row],[Programa]]="",Tabela1[[#This Row],[Peso bruto]],VLOOKUP(Tabela1[[#This Row],[Pedido]],'Saldo a Produzir'!$A:$D,4,0)),"")</f>
        <v>6597.13</v>
      </c>
      <c r="AM277" s="73">
        <v>11022.505999999999</v>
      </c>
    </row>
    <row r="278" spans="1:39" ht="14.5" x14ac:dyDescent="0.35">
      <c r="A278" s="81">
        <v>15080</v>
      </c>
      <c r="B278" s="81" t="s">
        <v>550</v>
      </c>
      <c r="C278" s="81">
        <v>1377724000111</v>
      </c>
      <c r="D278" s="81" t="s">
        <v>1127</v>
      </c>
      <c r="E278" s="81" t="s">
        <v>662</v>
      </c>
      <c r="F278" s="81" t="s">
        <v>44</v>
      </c>
      <c r="G278" s="81">
        <v>26231</v>
      </c>
      <c r="H278" s="81" t="s">
        <v>87</v>
      </c>
      <c r="I278" s="81" t="s">
        <v>32</v>
      </c>
      <c r="J278" s="81" t="s">
        <v>33</v>
      </c>
      <c r="K278" s="81" t="s">
        <v>34</v>
      </c>
      <c r="L278" s="81" t="s">
        <v>1128</v>
      </c>
      <c r="M278" s="81">
        <v>129338</v>
      </c>
      <c r="N278" s="90">
        <v>44707</v>
      </c>
      <c r="O278" s="90">
        <v>44771</v>
      </c>
      <c r="P278" s="90">
        <v>44707</v>
      </c>
      <c r="Q278" s="90" t="s">
        <v>35</v>
      </c>
      <c r="R278" s="81">
        <v>0</v>
      </c>
      <c r="S278" s="90" t="s">
        <v>35</v>
      </c>
      <c r="T278" s="81">
        <v>0</v>
      </c>
      <c r="U278" s="81" t="s">
        <v>36</v>
      </c>
      <c r="V278" s="90" t="s">
        <v>35</v>
      </c>
      <c r="W278" s="81" t="s">
        <v>1422</v>
      </c>
      <c r="X278" s="90">
        <v>44715</v>
      </c>
      <c r="Y278" s="81" t="s">
        <v>38</v>
      </c>
      <c r="Z278" s="81">
        <v>208</v>
      </c>
      <c r="AA278" s="81" t="s">
        <v>150</v>
      </c>
      <c r="AB278" s="81">
        <v>0</v>
      </c>
      <c r="AC278" s="81"/>
      <c r="AD278" s="81">
        <v>0</v>
      </c>
      <c r="AE278" s="81" t="s">
        <v>153</v>
      </c>
      <c r="AF278" s="81" t="s">
        <v>39</v>
      </c>
      <c r="AG278" s="83">
        <v>174.82999999999998</v>
      </c>
      <c r="AH278" s="95">
        <v>7909.98</v>
      </c>
      <c r="AI278" s="82" t="str">
        <f>CONCATENATE((TEXT(Tabela1[[#This Row],[Data entrega]],"mmmm")),"_",(YEAR(Tabela1[[#This Row],[Data entrega]])))</f>
        <v>julho_2022</v>
      </c>
      <c r="AJ278" s="77">
        <f>IFERROR(IF(Tabela1[[#This Row],[Programa]]="",Tabela1[[#This Row],[Peso bruto]],VLOOKUP(Tabela1[[#This Row],[Pedido]],'Saldo a Produzir'!$A:$D,4,0)),"")</f>
        <v>174.29000000000002</v>
      </c>
      <c r="AM278" s="73">
        <v>291.726</v>
      </c>
    </row>
    <row r="279" spans="1:39" ht="14.5" x14ac:dyDescent="0.35">
      <c r="A279" s="81">
        <v>15057</v>
      </c>
      <c r="B279" s="81" t="s">
        <v>60</v>
      </c>
      <c r="C279" s="81">
        <v>91897876000138</v>
      </c>
      <c r="D279" s="81" t="s">
        <v>1442</v>
      </c>
      <c r="E279" s="81" t="s">
        <v>339</v>
      </c>
      <c r="F279" s="81" t="s">
        <v>58</v>
      </c>
      <c r="G279" s="81">
        <v>26342</v>
      </c>
      <c r="H279" s="81" t="s">
        <v>88</v>
      </c>
      <c r="I279" s="81" t="s">
        <v>32</v>
      </c>
      <c r="J279" s="81" t="s">
        <v>33</v>
      </c>
      <c r="K279" s="81" t="s">
        <v>34</v>
      </c>
      <c r="L279" s="81" t="s">
        <v>1443</v>
      </c>
      <c r="M279" s="81">
        <v>84504</v>
      </c>
      <c r="N279" s="90">
        <v>44721</v>
      </c>
      <c r="O279" s="90">
        <v>44771</v>
      </c>
      <c r="P279" s="90">
        <v>44721</v>
      </c>
      <c r="Q279" s="90" t="s">
        <v>35</v>
      </c>
      <c r="R279" s="81">
        <v>0</v>
      </c>
      <c r="S279" s="90" t="s">
        <v>35</v>
      </c>
      <c r="T279" s="81">
        <v>0</v>
      </c>
      <c r="U279" s="81" t="s">
        <v>36</v>
      </c>
      <c r="V279" s="90" t="s">
        <v>35</v>
      </c>
      <c r="W279" s="81"/>
      <c r="X279" s="90" t="s">
        <v>37</v>
      </c>
      <c r="Y279" s="81" t="s">
        <v>38</v>
      </c>
      <c r="Z279" s="81">
        <v>2000</v>
      </c>
      <c r="AA279" s="81" t="s">
        <v>154</v>
      </c>
      <c r="AB279" s="81">
        <v>0</v>
      </c>
      <c r="AC279" s="81"/>
      <c r="AD279" s="81">
        <v>0</v>
      </c>
      <c r="AE279" s="81" t="s">
        <v>153</v>
      </c>
      <c r="AF279" s="81" t="s">
        <v>39</v>
      </c>
      <c r="AG279" s="83">
        <v>22</v>
      </c>
      <c r="AH279" s="95">
        <v>505.93</v>
      </c>
      <c r="AI279" s="82" t="str">
        <f>CONCATENATE((TEXT(Tabela1[[#This Row],[Data entrega]],"mmmm")),"_",(YEAR(Tabela1[[#This Row],[Data entrega]])))</f>
        <v>julho_2022</v>
      </c>
      <c r="AJ279" s="77">
        <f>IFERROR(IF(Tabela1[[#This Row],[Programa]]="",Tabela1[[#This Row],[Peso bruto]],VLOOKUP(Tabela1[[#This Row],[Pedido]],'Saldo a Produzir'!$A:$D,4,0)),"")</f>
        <v>22</v>
      </c>
      <c r="AM279" s="73">
        <v>22</v>
      </c>
    </row>
    <row r="280" spans="1:39" ht="14.5" x14ac:dyDescent="0.35">
      <c r="A280" s="81">
        <v>15057</v>
      </c>
      <c r="B280" s="81" t="s">
        <v>60</v>
      </c>
      <c r="C280" s="81">
        <v>1838723024816</v>
      </c>
      <c r="D280" s="81" t="s">
        <v>41</v>
      </c>
      <c r="E280" s="81" t="s">
        <v>326</v>
      </c>
      <c r="F280" s="81" t="s">
        <v>58</v>
      </c>
      <c r="G280" s="81">
        <v>25468</v>
      </c>
      <c r="H280" s="81" t="s">
        <v>112</v>
      </c>
      <c r="I280" s="81" t="s">
        <v>32</v>
      </c>
      <c r="J280" s="81" t="s">
        <v>33</v>
      </c>
      <c r="K280" s="81" t="s">
        <v>34</v>
      </c>
      <c r="L280" s="81" t="s">
        <v>518</v>
      </c>
      <c r="M280" s="81">
        <v>104947784</v>
      </c>
      <c r="N280" s="90">
        <v>44608</v>
      </c>
      <c r="O280" s="90">
        <v>44771</v>
      </c>
      <c r="P280" s="90">
        <v>44719</v>
      </c>
      <c r="Q280" s="90" t="s">
        <v>35</v>
      </c>
      <c r="R280" s="81">
        <v>0</v>
      </c>
      <c r="S280" s="90" t="s">
        <v>35</v>
      </c>
      <c r="T280" s="81">
        <v>0</v>
      </c>
      <c r="U280" s="81" t="s">
        <v>36</v>
      </c>
      <c r="V280" s="90" t="s">
        <v>35</v>
      </c>
      <c r="W280" s="81" t="s">
        <v>591</v>
      </c>
      <c r="X280" s="90">
        <v>44638</v>
      </c>
      <c r="Y280" s="81" t="s">
        <v>38</v>
      </c>
      <c r="Z280" s="81">
        <v>575</v>
      </c>
      <c r="AA280" s="81" t="s">
        <v>127</v>
      </c>
      <c r="AB280" s="81">
        <v>0</v>
      </c>
      <c r="AC280" s="81"/>
      <c r="AD280" s="81">
        <v>0</v>
      </c>
      <c r="AE280" s="81" t="s">
        <v>153</v>
      </c>
      <c r="AF280" s="81" t="s">
        <v>39</v>
      </c>
      <c r="AG280" s="83">
        <v>22403.109999999997</v>
      </c>
      <c r="AH280" s="95">
        <v>1744000</v>
      </c>
      <c r="AI280" s="82" t="str">
        <f>CONCATENATE((TEXT(Tabela1[[#This Row],[Data entrega]],"mmmm")),"_",(YEAR(Tabela1[[#This Row],[Data entrega]])))</f>
        <v>julho_2022</v>
      </c>
      <c r="AJ280" s="77">
        <f>IFERROR(IF(Tabela1[[#This Row],[Programa]]="",Tabela1[[#This Row],[Peso bruto]],VLOOKUP(Tabela1[[#This Row],[Pedido]],'Saldo a Produzir'!$A:$D,4,0)),"")</f>
        <v>14024.98</v>
      </c>
      <c r="AM280" s="73">
        <v>63737.485000000001</v>
      </c>
    </row>
    <row r="281" spans="1:39" ht="14.5" x14ac:dyDescent="0.35">
      <c r="A281" s="81">
        <v>15077</v>
      </c>
      <c r="B281" s="81" t="s">
        <v>298</v>
      </c>
      <c r="C281" s="81">
        <v>45242914037955</v>
      </c>
      <c r="D281" s="81" t="s">
        <v>1240</v>
      </c>
      <c r="E281" s="81" t="s">
        <v>79</v>
      </c>
      <c r="F281" s="81" t="s">
        <v>44</v>
      </c>
      <c r="G281" s="81">
        <v>26302</v>
      </c>
      <c r="H281" s="81" t="s">
        <v>87</v>
      </c>
      <c r="I281" s="81" t="s">
        <v>32</v>
      </c>
      <c r="J281" s="81" t="s">
        <v>33</v>
      </c>
      <c r="K281" s="81" t="s">
        <v>34</v>
      </c>
      <c r="L281" s="81" t="s">
        <v>1241</v>
      </c>
      <c r="M281" s="81"/>
      <c r="N281" s="90">
        <v>44712</v>
      </c>
      <c r="O281" s="90">
        <v>44771</v>
      </c>
      <c r="P281" s="90">
        <v>44721</v>
      </c>
      <c r="Q281" s="90" t="s">
        <v>35</v>
      </c>
      <c r="R281" s="81">
        <v>0</v>
      </c>
      <c r="S281" s="90" t="s">
        <v>35</v>
      </c>
      <c r="T281" s="81">
        <v>0</v>
      </c>
      <c r="U281" s="81" t="s">
        <v>36</v>
      </c>
      <c r="V281" s="90" t="s">
        <v>35</v>
      </c>
      <c r="W281" s="81"/>
      <c r="X281" s="90" t="s">
        <v>37</v>
      </c>
      <c r="Y281" s="81" t="s">
        <v>38</v>
      </c>
      <c r="Z281" s="81">
        <v>13</v>
      </c>
      <c r="AA281" s="81" t="s">
        <v>149</v>
      </c>
      <c r="AB281" s="81">
        <v>0</v>
      </c>
      <c r="AC281" s="81"/>
      <c r="AD281" s="81">
        <v>0</v>
      </c>
      <c r="AE281" s="81" t="s">
        <v>153</v>
      </c>
      <c r="AF281" s="81" t="s">
        <v>39</v>
      </c>
      <c r="AG281" s="83">
        <v>30970</v>
      </c>
      <c r="AH281" s="95">
        <v>535867.5</v>
      </c>
      <c r="AI281" s="82" t="str">
        <f>CONCATENATE((TEXT(Tabela1[[#This Row],[Data entrega]],"mmmm")),"_",(YEAR(Tabela1[[#This Row],[Data entrega]])))</f>
        <v>julho_2022</v>
      </c>
      <c r="AJ281" s="77">
        <f>IFERROR(IF(Tabela1[[#This Row],[Programa]]="",Tabela1[[#This Row],[Peso bruto]],VLOOKUP(Tabela1[[#This Row],[Pedido]],'Saldo a Produzir'!$A:$D,4,0)),"")</f>
        <v>30970</v>
      </c>
      <c r="AM281" s="73">
        <v>30970</v>
      </c>
    </row>
    <row r="282" spans="1:39" ht="14.5" x14ac:dyDescent="0.35">
      <c r="A282" s="81">
        <v>15059</v>
      </c>
      <c r="B282" s="81" t="s">
        <v>63</v>
      </c>
      <c r="C282" s="81">
        <v>82900713000176</v>
      </c>
      <c r="D282" s="81" t="s">
        <v>542</v>
      </c>
      <c r="E282" s="81" t="s">
        <v>171</v>
      </c>
      <c r="F282" s="81" t="s">
        <v>64</v>
      </c>
      <c r="G282" s="81">
        <v>25548</v>
      </c>
      <c r="H282" s="81" t="s">
        <v>88</v>
      </c>
      <c r="I282" s="81" t="s">
        <v>32</v>
      </c>
      <c r="J282" s="81" t="s">
        <v>33</v>
      </c>
      <c r="K282" s="81" t="s">
        <v>34</v>
      </c>
      <c r="L282" s="81" t="s">
        <v>543</v>
      </c>
      <c r="M282" s="83"/>
      <c r="N282" s="90">
        <v>44620</v>
      </c>
      <c r="O282" s="90">
        <v>44771</v>
      </c>
      <c r="P282" s="90">
        <v>44638</v>
      </c>
      <c r="Q282" s="90" t="s">
        <v>35</v>
      </c>
      <c r="R282" s="81">
        <v>0</v>
      </c>
      <c r="S282" s="90" t="s">
        <v>35</v>
      </c>
      <c r="T282" s="81">
        <v>0</v>
      </c>
      <c r="U282" s="81" t="s">
        <v>36</v>
      </c>
      <c r="V282" s="90" t="s">
        <v>35</v>
      </c>
      <c r="W282" s="81" t="s">
        <v>581</v>
      </c>
      <c r="X282" s="90">
        <v>44638</v>
      </c>
      <c r="Y282" s="81" t="s">
        <v>38</v>
      </c>
      <c r="Z282" s="81">
        <v>0</v>
      </c>
      <c r="AA282" s="81"/>
      <c r="AB282" s="81">
        <v>0</v>
      </c>
      <c r="AC282" s="81"/>
      <c r="AD282" s="81">
        <v>0</v>
      </c>
      <c r="AE282" s="81" t="s">
        <v>153</v>
      </c>
      <c r="AF282" s="81" t="s">
        <v>39</v>
      </c>
      <c r="AG282" s="83">
        <v>20130.57</v>
      </c>
      <c r="AH282" s="95">
        <v>688333.34</v>
      </c>
      <c r="AI282" s="82" t="str">
        <f>CONCATENATE((TEXT(Tabela1[[#This Row],[Data entrega]],"mmmm")),"_",(YEAR(Tabela1[[#This Row],[Data entrega]])))</f>
        <v>julho_2022</v>
      </c>
      <c r="AJ282" s="77">
        <f>IFERROR(IF(Tabela1[[#This Row],[Programa]]="",Tabela1[[#This Row],[Peso bruto]],VLOOKUP(Tabela1[[#This Row],[Pedido]],'Saldo a Produzir'!$A:$D,4,0)),"")</f>
        <v>18462.560000000001</v>
      </c>
      <c r="AM282" s="73">
        <v>35130.748</v>
      </c>
    </row>
    <row r="283" spans="1:39" ht="14.5" x14ac:dyDescent="0.35">
      <c r="A283" s="81">
        <v>15059</v>
      </c>
      <c r="B283" s="81" t="s">
        <v>63</v>
      </c>
      <c r="C283" s="81">
        <v>82900713000176</v>
      </c>
      <c r="D283" s="81" t="s">
        <v>542</v>
      </c>
      <c r="E283" s="81" t="s">
        <v>171</v>
      </c>
      <c r="F283" s="81" t="s">
        <v>64</v>
      </c>
      <c r="G283" s="81">
        <v>26310</v>
      </c>
      <c r="H283" s="81" t="s">
        <v>87</v>
      </c>
      <c r="I283" s="81" t="s">
        <v>32</v>
      </c>
      <c r="J283" s="81" t="s">
        <v>33</v>
      </c>
      <c r="K283" s="81" t="s">
        <v>34</v>
      </c>
      <c r="L283" s="81" t="s">
        <v>1444</v>
      </c>
      <c r="M283" s="81"/>
      <c r="N283" s="90">
        <v>44715</v>
      </c>
      <c r="O283" s="90">
        <v>44771</v>
      </c>
      <c r="P283" s="90">
        <v>44715</v>
      </c>
      <c r="Q283" s="90" t="s">
        <v>35</v>
      </c>
      <c r="R283" s="81">
        <v>0</v>
      </c>
      <c r="S283" s="90" t="s">
        <v>35</v>
      </c>
      <c r="T283" s="81">
        <v>0</v>
      </c>
      <c r="U283" s="81" t="s">
        <v>36</v>
      </c>
      <c r="V283" s="90" t="s">
        <v>35</v>
      </c>
      <c r="W283" s="81"/>
      <c r="X283" s="90" t="s">
        <v>37</v>
      </c>
      <c r="Y283" s="81" t="s">
        <v>38</v>
      </c>
      <c r="Z283" s="81">
        <v>2096</v>
      </c>
      <c r="AA283" s="81" t="s">
        <v>1445</v>
      </c>
      <c r="AB283" s="81">
        <v>0</v>
      </c>
      <c r="AC283" s="81"/>
      <c r="AD283" s="81">
        <v>0</v>
      </c>
      <c r="AE283" s="81" t="s">
        <v>153</v>
      </c>
      <c r="AF283" s="81" t="s">
        <v>39</v>
      </c>
      <c r="AG283" s="83">
        <v>303</v>
      </c>
      <c r="AH283" s="95">
        <v>6401.5</v>
      </c>
      <c r="AI283" s="82" t="str">
        <f>CONCATENATE((TEXT(Tabela1[[#This Row],[Data entrega]],"mmmm")),"_",(YEAR(Tabela1[[#This Row],[Data entrega]])))</f>
        <v>julho_2022</v>
      </c>
      <c r="AJ283" s="77">
        <f>IFERROR(IF(Tabela1[[#This Row],[Programa]]="",Tabela1[[#This Row],[Peso bruto]],VLOOKUP(Tabela1[[#This Row],[Pedido]],'Saldo a Produzir'!$A:$D,4,0)),"")</f>
        <v>303</v>
      </c>
      <c r="AM283" s="73">
        <v>303</v>
      </c>
    </row>
    <row r="284" spans="1:39" ht="14.5" x14ac:dyDescent="0.35">
      <c r="A284" s="81">
        <v>15057</v>
      </c>
      <c r="B284" s="81" t="s">
        <v>60</v>
      </c>
      <c r="C284" s="81">
        <v>89677595000128</v>
      </c>
      <c r="D284" s="81" t="s">
        <v>828</v>
      </c>
      <c r="E284" s="81" t="s">
        <v>829</v>
      </c>
      <c r="F284" s="81" t="s">
        <v>58</v>
      </c>
      <c r="G284" s="81">
        <v>25999</v>
      </c>
      <c r="H284" s="81" t="s">
        <v>88</v>
      </c>
      <c r="I284" s="81" t="s">
        <v>32</v>
      </c>
      <c r="J284" s="81" t="s">
        <v>33</v>
      </c>
      <c r="K284" s="81" t="s">
        <v>34</v>
      </c>
      <c r="L284" s="81" t="s">
        <v>830</v>
      </c>
      <c r="M284" s="81"/>
      <c r="N284" s="90">
        <v>44678</v>
      </c>
      <c r="O284" s="90">
        <v>44771</v>
      </c>
      <c r="P284" s="90">
        <v>44678</v>
      </c>
      <c r="Q284" s="90" t="s">
        <v>35</v>
      </c>
      <c r="R284" s="81">
        <v>0</v>
      </c>
      <c r="S284" s="90" t="s">
        <v>35</v>
      </c>
      <c r="T284" s="81">
        <v>0</v>
      </c>
      <c r="U284" s="81" t="s">
        <v>36</v>
      </c>
      <c r="V284" s="90" t="s">
        <v>35</v>
      </c>
      <c r="W284" s="81" t="s">
        <v>872</v>
      </c>
      <c r="X284" s="90">
        <v>44690</v>
      </c>
      <c r="Y284" s="81" t="s">
        <v>38</v>
      </c>
      <c r="Z284" s="81">
        <v>2000</v>
      </c>
      <c r="AA284" s="81" t="s">
        <v>154</v>
      </c>
      <c r="AB284" s="81">
        <v>0</v>
      </c>
      <c r="AC284" s="81"/>
      <c r="AD284" s="81">
        <v>0</v>
      </c>
      <c r="AE284" s="81" t="s">
        <v>153</v>
      </c>
      <c r="AF284" s="81" t="s">
        <v>39</v>
      </c>
      <c r="AG284" s="83">
        <v>0.28000000000000003</v>
      </c>
      <c r="AH284" s="95">
        <v>2467.6799999999998</v>
      </c>
      <c r="AI284" s="82" t="str">
        <f>CONCATENATE((TEXT(Tabela1[[#This Row],[Data entrega]],"mmmm")),"_",(YEAR(Tabela1[[#This Row],[Data entrega]])))</f>
        <v>julho_2022</v>
      </c>
      <c r="AJ284" s="77">
        <f>IFERROR(IF(Tabela1[[#This Row],[Programa]]="",Tabela1[[#This Row],[Peso bruto]],VLOOKUP(Tabela1[[#This Row],[Pedido]],'Saldo a Produzir'!$A:$D,4,0)),"")</f>
        <v>0</v>
      </c>
      <c r="AM284" s="73">
        <v>126.215</v>
      </c>
    </row>
    <row r="285" spans="1:39" ht="14.5" x14ac:dyDescent="0.35">
      <c r="A285" s="81">
        <v>15059</v>
      </c>
      <c r="B285" s="81" t="s">
        <v>63</v>
      </c>
      <c r="C285" s="81">
        <v>84430149000109</v>
      </c>
      <c r="D285" s="81" t="s">
        <v>831</v>
      </c>
      <c r="E285" s="81" t="s">
        <v>192</v>
      </c>
      <c r="F285" s="81" t="s">
        <v>64</v>
      </c>
      <c r="G285" s="81">
        <v>25997</v>
      </c>
      <c r="H285" s="81" t="s">
        <v>88</v>
      </c>
      <c r="I285" s="81" t="s">
        <v>32</v>
      </c>
      <c r="J285" s="81" t="s">
        <v>33</v>
      </c>
      <c r="K285" s="81" t="s">
        <v>34</v>
      </c>
      <c r="L285" s="81" t="s">
        <v>832</v>
      </c>
      <c r="M285" s="83">
        <v>4500286781</v>
      </c>
      <c r="N285" s="90">
        <v>44678</v>
      </c>
      <c r="O285" s="90">
        <v>44771</v>
      </c>
      <c r="P285" s="90">
        <v>44685</v>
      </c>
      <c r="Q285" s="90" t="s">
        <v>35</v>
      </c>
      <c r="R285" s="81">
        <v>0</v>
      </c>
      <c r="S285" s="90" t="s">
        <v>35</v>
      </c>
      <c r="T285" s="81">
        <v>0</v>
      </c>
      <c r="U285" s="81" t="s">
        <v>36</v>
      </c>
      <c r="V285" s="90" t="s">
        <v>35</v>
      </c>
      <c r="W285" s="81" t="s">
        <v>877</v>
      </c>
      <c r="X285" s="90">
        <v>44686</v>
      </c>
      <c r="Y285" s="81" t="s">
        <v>38</v>
      </c>
      <c r="Z285" s="81">
        <v>2257</v>
      </c>
      <c r="AA285" s="81" t="s">
        <v>155</v>
      </c>
      <c r="AB285" s="81">
        <v>0</v>
      </c>
      <c r="AC285" s="81"/>
      <c r="AD285" s="81">
        <v>0</v>
      </c>
      <c r="AE285" s="81" t="s">
        <v>153</v>
      </c>
      <c r="AF285" s="81" t="s">
        <v>39</v>
      </c>
      <c r="AG285" s="83">
        <v>554.59999999999991</v>
      </c>
      <c r="AH285" s="95">
        <v>36991.379999999997</v>
      </c>
      <c r="AI285" s="82" t="str">
        <f>CONCATENATE((TEXT(Tabela1[[#This Row],[Data entrega]],"mmmm")),"_",(YEAR(Tabela1[[#This Row],[Data entrega]])))</f>
        <v>julho_2022</v>
      </c>
      <c r="AJ285" s="77">
        <f>IFERROR(IF(Tabela1[[#This Row],[Programa]]="",Tabela1[[#This Row],[Peso bruto]],VLOOKUP(Tabela1[[#This Row],[Pedido]],'Saldo a Produzir'!$A:$D,4,0)),"")</f>
        <v>553.26</v>
      </c>
      <c r="AM285" s="73">
        <v>1140.2650000000001</v>
      </c>
    </row>
    <row r="286" spans="1:39" ht="14.5" x14ac:dyDescent="0.35">
      <c r="A286" s="81">
        <v>15059</v>
      </c>
      <c r="B286" s="81" t="s">
        <v>63</v>
      </c>
      <c r="C286" s="81">
        <v>84430149000109</v>
      </c>
      <c r="D286" s="81" t="s">
        <v>831</v>
      </c>
      <c r="E286" s="81" t="s">
        <v>192</v>
      </c>
      <c r="F286" s="81" t="s">
        <v>64</v>
      </c>
      <c r="G286" s="81">
        <v>25998</v>
      </c>
      <c r="H286" s="81" t="s">
        <v>88</v>
      </c>
      <c r="I286" s="81" t="s">
        <v>32</v>
      </c>
      <c r="J286" s="81" t="s">
        <v>33</v>
      </c>
      <c r="K286" s="81" t="s">
        <v>34</v>
      </c>
      <c r="L286" s="81" t="s">
        <v>833</v>
      </c>
      <c r="M286" s="81">
        <v>4500286781</v>
      </c>
      <c r="N286" s="90">
        <v>44678</v>
      </c>
      <c r="O286" s="90">
        <v>44771</v>
      </c>
      <c r="P286" s="90">
        <v>44685</v>
      </c>
      <c r="Q286" s="90" t="s">
        <v>35</v>
      </c>
      <c r="R286" s="81">
        <v>0</v>
      </c>
      <c r="S286" s="90" t="s">
        <v>35</v>
      </c>
      <c r="T286" s="81">
        <v>0</v>
      </c>
      <c r="U286" s="81" t="s">
        <v>36</v>
      </c>
      <c r="V286" s="90" t="s">
        <v>35</v>
      </c>
      <c r="W286" s="81" t="s">
        <v>872</v>
      </c>
      <c r="X286" s="90">
        <v>44690</v>
      </c>
      <c r="Y286" s="81" t="s">
        <v>38</v>
      </c>
      <c r="Z286" s="81">
        <v>2257</v>
      </c>
      <c r="AA286" s="81" t="s">
        <v>155</v>
      </c>
      <c r="AB286" s="81">
        <v>0</v>
      </c>
      <c r="AC286" s="81"/>
      <c r="AD286" s="81">
        <v>0</v>
      </c>
      <c r="AE286" s="81" t="s">
        <v>153</v>
      </c>
      <c r="AF286" s="81" t="s">
        <v>39</v>
      </c>
      <c r="AG286" s="83">
        <v>365.49</v>
      </c>
      <c r="AH286" s="95">
        <v>11357.5</v>
      </c>
      <c r="AI286" s="82" t="str">
        <f>CONCATENATE((TEXT(Tabela1[[#This Row],[Data entrega]],"mmmm")),"_",(YEAR(Tabela1[[#This Row],[Data entrega]])))</f>
        <v>julho_2022</v>
      </c>
      <c r="AJ286" s="77">
        <f>IFERROR(IF(Tabela1[[#This Row],[Programa]]="",Tabela1[[#This Row],[Peso bruto]],VLOOKUP(Tabela1[[#This Row],[Pedido]],'Saldo a Produzir'!$A:$D,4,0)),"")</f>
        <v>108.77000000000001</v>
      </c>
      <c r="AM286" s="73">
        <v>477.11</v>
      </c>
    </row>
    <row r="287" spans="1:39" ht="14.5" x14ac:dyDescent="0.35">
      <c r="A287" s="81">
        <v>15059</v>
      </c>
      <c r="B287" s="81" t="s">
        <v>63</v>
      </c>
      <c r="C287" s="81">
        <v>84430149000109</v>
      </c>
      <c r="D287" s="81" t="s">
        <v>831</v>
      </c>
      <c r="E287" s="81" t="s">
        <v>192</v>
      </c>
      <c r="F287" s="81" t="s">
        <v>64</v>
      </c>
      <c r="G287" s="81">
        <v>26011</v>
      </c>
      <c r="H287" s="81" t="s">
        <v>88</v>
      </c>
      <c r="I287" s="81" t="s">
        <v>32</v>
      </c>
      <c r="J287" s="81" t="s">
        <v>33</v>
      </c>
      <c r="K287" s="81" t="s">
        <v>34</v>
      </c>
      <c r="L287" s="81" t="s">
        <v>834</v>
      </c>
      <c r="M287" s="81">
        <v>4500286481</v>
      </c>
      <c r="N287" s="90">
        <v>44679</v>
      </c>
      <c r="O287" s="90">
        <v>44771</v>
      </c>
      <c r="P287" s="90">
        <v>44685</v>
      </c>
      <c r="Q287" s="90" t="s">
        <v>35</v>
      </c>
      <c r="R287" s="81">
        <v>0</v>
      </c>
      <c r="S287" s="90" t="s">
        <v>35</v>
      </c>
      <c r="T287" s="81">
        <v>0</v>
      </c>
      <c r="U287" s="81" t="s">
        <v>36</v>
      </c>
      <c r="V287" s="90" t="s">
        <v>35</v>
      </c>
      <c r="W287" s="81" t="s">
        <v>872</v>
      </c>
      <c r="X287" s="90">
        <v>44690</v>
      </c>
      <c r="Y287" s="81" t="s">
        <v>38</v>
      </c>
      <c r="Z287" s="81">
        <v>2257</v>
      </c>
      <c r="AA287" s="81" t="s">
        <v>155</v>
      </c>
      <c r="AB287" s="81">
        <v>0</v>
      </c>
      <c r="AC287" s="81"/>
      <c r="AD287" s="81">
        <v>0</v>
      </c>
      <c r="AE287" s="81" t="s">
        <v>153</v>
      </c>
      <c r="AF287" s="81" t="s">
        <v>39</v>
      </c>
      <c r="AG287" s="83">
        <v>555.34</v>
      </c>
      <c r="AH287" s="95">
        <v>31191.83</v>
      </c>
      <c r="AI287" s="82" t="str">
        <f>CONCATENATE((TEXT(Tabela1[[#This Row],[Data entrega]],"mmmm")),"_",(YEAR(Tabela1[[#This Row],[Data entrega]])))</f>
        <v>julho_2022</v>
      </c>
      <c r="AJ287" s="77">
        <f>IFERROR(IF(Tabela1[[#This Row],[Programa]]="",Tabela1[[#This Row],[Peso bruto]],VLOOKUP(Tabela1[[#This Row],[Pedido]],'Saldo a Produzir'!$A:$D,4,0)),"")</f>
        <v>144.13</v>
      </c>
      <c r="AM287" s="73">
        <v>1142.933</v>
      </c>
    </row>
    <row r="288" spans="1:39" ht="14.5" x14ac:dyDescent="0.35">
      <c r="A288" s="81">
        <v>15909</v>
      </c>
      <c r="B288" s="81" t="s">
        <v>223</v>
      </c>
      <c r="C288" s="81">
        <v>10970887003209</v>
      </c>
      <c r="D288" s="81" t="s">
        <v>540</v>
      </c>
      <c r="E288" s="81" t="s">
        <v>68</v>
      </c>
      <c r="F288" s="81" t="s">
        <v>54</v>
      </c>
      <c r="G288" s="81">
        <v>25555</v>
      </c>
      <c r="H288" s="81" t="s">
        <v>92</v>
      </c>
      <c r="I288" s="81" t="s">
        <v>32</v>
      </c>
      <c r="J288" s="81" t="s">
        <v>33</v>
      </c>
      <c r="K288" s="81" t="s">
        <v>34</v>
      </c>
      <c r="L288" s="81" t="s">
        <v>664</v>
      </c>
      <c r="M288" s="81"/>
      <c r="N288" s="90">
        <v>44620</v>
      </c>
      <c r="O288" s="90">
        <v>44771</v>
      </c>
      <c r="P288" s="90">
        <v>44657</v>
      </c>
      <c r="Q288" s="90" t="s">
        <v>35</v>
      </c>
      <c r="R288" s="81">
        <v>0</v>
      </c>
      <c r="S288" s="90" t="s">
        <v>35</v>
      </c>
      <c r="T288" s="81">
        <v>0</v>
      </c>
      <c r="U288" s="81" t="s">
        <v>36</v>
      </c>
      <c r="V288" s="90" t="s">
        <v>35</v>
      </c>
      <c r="W288" s="81" t="s">
        <v>758</v>
      </c>
      <c r="X288" s="90">
        <v>44664</v>
      </c>
      <c r="Y288" s="81" t="s">
        <v>38</v>
      </c>
      <c r="Z288" s="81">
        <v>0</v>
      </c>
      <c r="AA288" s="81"/>
      <c r="AB288" s="81">
        <v>0</v>
      </c>
      <c r="AC288" s="81"/>
      <c r="AD288" s="81">
        <v>0</v>
      </c>
      <c r="AE288" s="81" t="s">
        <v>153</v>
      </c>
      <c r="AF288" s="81" t="s">
        <v>39</v>
      </c>
      <c r="AG288" s="83">
        <v>89364.969999999987</v>
      </c>
      <c r="AH288" s="95">
        <v>2397325.52</v>
      </c>
      <c r="AI288" s="82" t="str">
        <f>CONCATENATE((TEXT(Tabela1[[#This Row],[Data entrega]],"mmmm")),"_",(YEAR(Tabela1[[#This Row],[Data entrega]])))</f>
        <v>julho_2022</v>
      </c>
      <c r="AJ288" s="77">
        <f>IFERROR(IF(Tabela1[[#This Row],[Programa]]="",Tabela1[[#This Row],[Peso bruto]],VLOOKUP(Tabela1[[#This Row],[Pedido]],'Saldo a Produzir'!$A:$D,4,0)),"")</f>
        <v>42560.510000000017</v>
      </c>
      <c r="AM288" s="73">
        <v>102113.242</v>
      </c>
    </row>
    <row r="289" spans="1:39" ht="14.5" x14ac:dyDescent="0.35">
      <c r="A289" s="81">
        <v>15909</v>
      </c>
      <c r="B289" s="81" t="s">
        <v>223</v>
      </c>
      <c r="C289" s="81">
        <v>10970887003209</v>
      </c>
      <c r="D289" s="81" t="s">
        <v>540</v>
      </c>
      <c r="E289" s="81" t="s">
        <v>68</v>
      </c>
      <c r="F289" s="81" t="s">
        <v>54</v>
      </c>
      <c r="G289" s="81">
        <v>25787</v>
      </c>
      <c r="H289" s="81" t="s">
        <v>92</v>
      </c>
      <c r="I289" s="81" t="s">
        <v>32</v>
      </c>
      <c r="J289" s="81" t="s">
        <v>33</v>
      </c>
      <c r="K289" s="81" t="s">
        <v>34</v>
      </c>
      <c r="L289" s="81" t="s">
        <v>664</v>
      </c>
      <c r="M289" s="81"/>
      <c r="N289" s="90">
        <v>44620</v>
      </c>
      <c r="O289" s="90">
        <v>44771</v>
      </c>
      <c r="P289" s="90">
        <v>44662</v>
      </c>
      <c r="Q289" s="90" t="s">
        <v>35</v>
      </c>
      <c r="R289" s="81">
        <v>0</v>
      </c>
      <c r="S289" s="90" t="s">
        <v>35</v>
      </c>
      <c r="T289" s="81">
        <v>0</v>
      </c>
      <c r="U289" s="81" t="s">
        <v>36</v>
      </c>
      <c r="V289" s="90" t="s">
        <v>35</v>
      </c>
      <c r="W289" s="81" t="s">
        <v>758</v>
      </c>
      <c r="X289" s="90">
        <v>44664</v>
      </c>
      <c r="Y289" s="81" t="s">
        <v>38</v>
      </c>
      <c r="Z289" s="81">
        <v>0</v>
      </c>
      <c r="AA289" s="81"/>
      <c r="AB289" s="81">
        <v>0</v>
      </c>
      <c r="AC289" s="81"/>
      <c r="AD289" s="81">
        <v>0</v>
      </c>
      <c r="AE289" s="81" t="s">
        <v>153</v>
      </c>
      <c r="AF289" s="81" t="s">
        <v>39</v>
      </c>
      <c r="AG289" s="83">
        <v>75179.210000000006</v>
      </c>
      <c r="AH289" s="95">
        <v>2397325.52</v>
      </c>
      <c r="AI289" s="82" t="str">
        <f>CONCATENATE((TEXT(Tabela1[[#This Row],[Data entrega]],"mmmm")),"_",(YEAR(Tabela1[[#This Row],[Data entrega]])))</f>
        <v>julho_2022</v>
      </c>
      <c r="AJ289" s="77">
        <f>IFERROR(IF(Tabela1[[#This Row],[Programa]]="",Tabela1[[#This Row],[Peso bruto]],VLOOKUP(Tabela1[[#This Row],[Pedido]],'Saldo a Produzir'!$A:$D,4,0)),"")</f>
        <v>44893.88</v>
      </c>
      <c r="AM289" s="73">
        <v>78203.224000000002</v>
      </c>
    </row>
    <row r="290" spans="1:39" ht="14.5" x14ac:dyDescent="0.35">
      <c r="A290" s="81">
        <v>15067</v>
      </c>
      <c r="B290" s="81" t="s">
        <v>59</v>
      </c>
      <c r="C290" s="81">
        <v>92695691000103</v>
      </c>
      <c r="D290" s="81" t="s">
        <v>432</v>
      </c>
      <c r="E290" s="81" t="s">
        <v>57</v>
      </c>
      <c r="F290" s="81" t="s">
        <v>58</v>
      </c>
      <c r="G290" s="81">
        <v>26308</v>
      </c>
      <c r="H290" s="81" t="s">
        <v>87</v>
      </c>
      <c r="I290" s="81" t="s">
        <v>32</v>
      </c>
      <c r="J290" s="81" t="s">
        <v>33</v>
      </c>
      <c r="K290" s="81" t="s">
        <v>34</v>
      </c>
      <c r="L290" s="81" t="s">
        <v>1446</v>
      </c>
      <c r="M290" s="81">
        <v>4500078535</v>
      </c>
      <c r="N290" s="90">
        <v>44715</v>
      </c>
      <c r="O290" s="90">
        <v>44771</v>
      </c>
      <c r="P290" s="90">
        <v>44715</v>
      </c>
      <c r="Q290" s="90" t="s">
        <v>35</v>
      </c>
      <c r="R290" s="81">
        <v>0</v>
      </c>
      <c r="S290" s="90" t="s">
        <v>35</v>
      </c>
      <c r="T290" s="81">
        <v>0</v>
      </c>
      <c r="U290" s="81" t="s">
        <v>36</v>
      </c>
      <c r="V290" s="90" t="s">
        <v>35</v>
      </c>
      <c r="W290" s="81"/>
      <c r="X290" s="90" t="s">
        <v>37</v>
      </c>
      <c r="Y290" s="81" t="s">
        <v>38</v>
      </c>
      <c r="Z290" s="81">
        <v>2257</v>
      </c>
      <c r="AA290" s="81" t="s">
        <v>155</v>
      </c>
      <c r="AB290" s="81">
        <v>0</v>
      </c>
      <c r="AC290" s="81"/>
      <c r="AD290" s="81">
        <v>0</v>
      </c>
      <c r="AE290" s="81" t="s">
        <v>153</v>
      </c>
      <c r="AF290" s="81" t="s">
        <v>39</v>
      </c>
      <c r="AG290" s="83">
        <v>2495</v>
      </c>
      <c r="AH290" s="95">
        <v>57010</v>
      </c>
      <c r="AI290" s="82" t="str">
        <f>CONCATENATE((TEXT(Tabela1[[#This Row],[Data entrega]],"mmmm")),"_",(YEAR(Tabela1[[#This Row],[Data entrega]])))</f>
        <v>julho_2022</v>
      </c>
      <c r="AJ290" s="77">
        <f>IFERROR(IF(Tabela1[[#This Row],[Programa]]="",Tabela1[[#This Row],[Peso bruto]],VLOOKUP(Tabela1[[#This Row],[Pedido]],'Saldo a Produzir'!$A:$D,4,0)),"")</f>
        <v>2495</v>
      </c>
      <c r="AM290" s="73">
        <v>2495</v>
      </c>
    </row>
    <row r="291" spans="1:39" ht="14.5" x14ac:dyDescent="0.35">
      <c r="A291" s="81">
        <v>15067</v>
      </c>
      <c r="B291" s="81" t="s">
        <v>59</v>
      </c>
      <c r="C291" s="81">
        <v>92695691000103</v>
      </c>
      <c r="D291" s="81" t="s">
        <v>432</v>
      </c>
      <c r="E291" s="81" t="s">
        <v>57</v>
      </c>
      <c r="F291" s="81" t="s">
        <v>58</v>
      </c>
      <c r="G291" s="81">
        <v>26309</v>
      </c>
      <c r="H291" s="81" t="s">
        <v>125</v>
      </c>
      <c r="I291" s="81" t="s">
        <v>32</v>
      </c>
      <c r="J291" s="81" t="s">
        <v>33</v>
      </c>
      <c r="K291" s="81" t="s">
        <v>34</v>
      </c>
      <c r="L291" s="81" t="s">
        <v>1446</v>
      </c>
      <c r="M291" s="81">
        <v>4500078535</v>
      </c>
      <c r="N291" s="90">
        <v>44715</v>
      </c>
      <c r="O291" s="90">
        <v>44771</v>
      </c>
      <c r="P291" s="90">
        <v>44715</v>
      </c>
      <c r="Q291" s="90" t="s">
        <v>35</v>
      </c>
      <c r="R291" s="81">
        <v>0</v>
      </c>
      <c r="S291" s="90" t="s">
        <v>35</v>
      </c>
      <c r="T291" s="81">
        <v>0</v>
      </c>
      <c r="U291" s="81" t="s">
        <v>36</v>
      </c>
      <c r="V291" s="90" t="s">
        <v>35</v>
      </c>
      <c r="W291" s="81"/>
      <c r="X291" s="90" t="s">
        <v>37</v>
      </c>
      <c r="Y291" s="81" t="s">
        <v>38</v>
      </c>
      <c r="Z291" s="81">
        <v>2203</v>
      </c>
      <c r="AA291" s="81" t="s">
        <v>147</v>
      </c>
      <c r="AB291" s="81">
        <v>0</v>
      </c>
      <c r="AC291" s="81"/>
      <c r="AD291" s="81">
        <v>0</v>
      </c>
      <c r="AE291" s="81" t="s">
        <v>433</v>
      </c>
      <c r="AF291" s="81"/>
      <c r="AG291" s="83">
        <v>0</v>
      </c>
      <c r="AH291" s="95">
        <v>7690</v>
      </c>
      <c r="AI291" s="82" t="str">
        <f>CONCATENATE((TEXT(Tabela1[[#This Row],[Data entrega]],"mmmm")),"_",(YEAR(Tabela1[[#This Row],[Data entrega]])))</f>
        <v>julho_2022</v>
      </c>
      <c r="AJ291" s="77">
        <f>IFERROR(IF(Tabela1[[#This Row],[Programa]]="",Tabela1[[#This Row],[Peso bruto]],VLOOKUP(Tabela1[[#This Row],[Pedido]],'Saldo a Produzir'!$A:$D,4,0)),"")</f>
        <v>0</v>
      </c>
      <c r="AM291" s="73">
        <v>0</v>
      </c>
    </row>
    <row r="292" spans="1:39" ht="14.5" x14ac:dyDescent="0.35">
      <c r="A292" s="81">
        <v>15067</v>
      </c>
      <c r="B292" s="81" t="s">
        <v>59</v>
      </c>
      <c r="C292" s="81">
        <v>2118988000113</v>
      </c>
      <c r="D292" s="81" t="s">
        <v>835</v>
      </c>
      <c r="E292" s="81" t="s">
        <v>57</v>
      </c>
      <c r="F292" s="81" t="s">
        <v>58</v>
      </c>
      <c r="G292" s="81">
        <v>25968</v>
      </c>
      <c r="H292" s="81" t="s">
        <v>88</v>
      </c>
      <c r="I292" s="81" t="s">
        <v>32</v>
      </c>
      <c r="J292" s="81" t="s">
        <v>33</v>
      </c>
      <c r="K292" s="81" t="s">
        <v>34</v>
      </c>
      <c r="L292" s="81" t="s">
        <v>836</v>
      </c>
      <c r="M292" s="81"/>
      <c r="N292" s="90">
        <v>44676</v>
      </c>
      <c r="O292" s="90">
        <v>44771</v>
      </c>
      <c r="P292" s="90">
        <v>44676</v>
      </c>
      <c r="Q292" s="90" t="s">
        <v>35</v>
      </c>
      <c r="R292" s="81">
        <v>0</v>
      </c>
      <c r="S292" s="90" t="s">
        <v>35</v>
      </c>
      <c r="T292" s="81">
        <v>0</v>
      </c>
      <c r="U292" s="81" t="s">
        <v>36</v>
      </c>
      <c r="V292" s="90" t="s">
        <v>35</v>
      </c>
      <c r="W292" s="81" t="s">
        <v>872</v>
      </c>
      <c r="X292" s="90">
        <v>44690</v>
      </c>
      <c r="Y292" s="81" t="s">
        <v>38</v>
      </c>
      <c r="Z292" s="81">
        <v>0</v>
      </c>
      <c r="AA292" s="81"/>
      <c r="AB292" s="81">
        <v>0</v>
      </c>
      <c r="AC292" s="81"/>
      <c r="AD292" s="81">
        <v>0</v>
      </c>
      <c r="AE292" s="81" t="s">
        <v>153</v>
      </c>
      <c r="AF292" s="81" t="s">
        <v>39</v>
      </c>
      <c r="AG292" s="83">
        <v>45.550000000000004</v>
      </c>
      <c r="AH292" s="95">
        <v>15922.89</v>
      </c>
      <c r="AI292" s="82" t="str">
        <f>CONCATENATE((TEXT(Tabela1[[#This Row],[Data entrega]],"mmmm")),"_",(YEAR(Tabela1[[#This Row],[Data entrega]])))</f>
        <v>julho_2022</v>
      </c>
      <c r="AJ292" s="77">
        <f>IFERROR(IF(Tabela1[[#This Row],[Programa]]="",Tabela1[[#This Row],[Peso bruto]],VLOOKUP(Tabela1[[#This Row],[Pedido]],'Saldo a Produzir'!$A:$D,4,0)),"")</f>
        <v>45</v>
      </c>
      <c r="AM292" s="73">
        <v>523.82799999999997</v>
      </c>
    </row>
    <row r="293" spans="1:39" ht="14.5" x14ac:dyDescent="0.35">
      <c r="A293" s="81">
        <v>15067</v>
      </c>
      <c r="B293" s="81" t="s">
        <v>59</v>
      </c>
      <c r="C293" s="81">
        <v>89776991000102</v>
      </c>
      <c r="D293" s="81" t="s">
        <v>837</v>
      </c>
      <c r="E293" s="81" t="s">
        <v>157</v>
      </c>
      <c r="F293" s="81" t="s">
        <v>58</v>
      </c>
      <c r="G293" s="81">
        <v>25988</v>
      </c>
      <c r="H293" s="81" t="s">
        <v>87</v>
      </c>
      <c r="I293" s="81" t="s">
        <v>32</v>
      </c>
      <c r="J293" s="81" t="s">
        <v>33</v>
      </c>
      <c r="K293" s="81" t="s">
        <v>34</v>
      </c>
      <c r="L293" s="81" t="s">
        <v>838</v>
      </c>
      <c r="M293" s="81">
        <v>27621</v>
      </c>
      <c r="N293" s="90">
        <v>44678</v>
      </c>
      <c r="O293" s="90">
        <v>44771</v>
      </c>
      <c r="P293" s="90">
        <v>44678</v>
      </c>
      <c r="Q293" s="90" t="s">
        <v>35</v>
      </c>
      <c r="R293" s="81">
        <v>0</v>
      </c>
      <c r="S293" s="90" t="s">
        <v>35</v>
      </c>
      <c r="T293" s="81">
        <v>0</v>
      </c>
      <c r="U293" s="81" t="s">
        <v>36</v>
      </c>
      <c r="V293" s="90" t="s">
        <v>35</v>
      </c>
      <c r="W293" s="81" t="s">
        <v>872</v>
      </c>
      <c r="X293" s="90">
        <v>44690</v>
      </c>
      <c r="Y293" s="81" t="s">
        <v>38</v>
      </c>
      <c r="Z293" s="81">
        <v>2000</v>
      </c>
      <c r="AA293" s="81" t="s">
        <v>154</v>
      </c>
      <c r="AB293" s="81">
        <v>0</v>
      </c>
      <c r="AC293" s="81"/>
      <c r="AD293" s="81">
        <v>0</v>
      </c>
      <c r="AE293" s="81" t="s">
        <v>153</v>
      </c>
      <c r="AF293" s="81" t="s">
        <v>39</v>
      </c>
      <c r="AG293" s="83">
        <v>22.66</v>
      </c>
      <c r="AH293" s="95">
        <v>2345.84</v>
      </c>
      <c r="AI293" s="82" t="str">
        <f>CONCATENATE((TEXT(Tabela1[[#This Row],[Data entrega]],"mmmm")),"_",(YEAR(Tabela1[[#This Row],[Data entrega]])))</f>
        <v>julho_2022</v>
      </c>
      <c r="AJ293" s="77">
        <f>IFERROR(IF(Tabela1[[#This Row],[Programa]]="",Tabela1[[#This Row],[Peso bruto]],VLOOKUP(Tabela1[[#This Row],[Pedido]],'Saldo a Produzir'!$A:$D,4,0)),"")</f>
        <v>22.66</v>
      </c>
      <c r="AM293" s="73">
        <v>90.31</v>
      </c>
    </row>
    <row r="294" spans="1:39" ht="14.5" x14ac:dyDescent="0.35">
      <c r="A294" s="81">
        <v>15057</v>
      </c>
      <c r="B294" s="81" t="s">
        <v>60</v>
      </c>
      <c r="C294" s="81">
        <v>42155311000170</v>
      </c>
      <c r="D294" s="81" t="s">
        <v>909</v>
      </c>
      <c r="E294" s="81" t="s">
        <v>910</v>
      </c>
      <c r="F294" s="81" t="s">
        <v>58</v>
      </c>
      <c r="G294" s="81">
        <v>26095</v>
      </c>
      <c r="H294" s="81" t="s">
        <v>88</v>
      </c>
      <c r="I294" s="81" t="s">
        <v>32</v>
      </c>
      <c r="J294" s="81" t="s">
        <v>33</v>
      </c>
      <c r="K294" s="81" t="s">
        <v>34</v>
      </c>
      <c r="L294" s="81" t="s">
        <v>911</v>
      </c>
      <c r="M294" s="81"/>
      <c r="N294" s="90">
        <v>44691</v>
      </c>
      <c r="O294" s="90">
        <v>44771</v>
      </c>
      <c r="P294" s="90">
        <v>44693</v>
      </c>
      <c r="Q294" s="90" t="s">
        <v>35</v>
      </c>
      <c r="R294" s="81">
        <v>0</v>
      </c>
      <c r="S294" s="90" t="s">
        <v>35</v>
      </c>
      <c r="T294" s="81">
        <v>0</v>
      </c>
      <c r="U294" s="81" t="s">
        <v>36</v>
      </c>
      <c r="V294" s="90" t="s">
        <v>35</v>
      </c>
      <c r="W294" s="81" t="s">
        <v>945</v>
      </c>
      <c r="X294" s="90">
        <v>44694</v>
      </c>
      <c r="Y294" s="81" t="s">
        <v>38</v>
      </c>
      <c r="Z294" s="81">
        <v>2257</v>
      </c>
      <c r="AA294" s="81" t="s">
        <v>155</v>
      </c>
      <c r="AB294" s="81">
        <v>0</v>
      </c>
      <c r="AC294" s="81"/>
      <c r="AD294" s="81">
        <v>0</v>
      </c>
      <c r="AE294" s="81" t="s">
        <v>153</v>
      </c>
      <c r="AF294" s="81" t="s">
        <v>39</v>
      </c>
      <c r="AG294" s="83">
        <v>213.11</v>
      </c>
      <c r="AH294" s="95">
        <v>11246.76</v>
      </c>
      <c r="AI294" s="82" t="str">
        <f>CONCATENATE((TEXT(Tabela1[[#This Row],[Data entrega]],"mmmm")),"_",(YEAR(Tabela1[[#This Row],[Data entrega]])))</f>
        <v>julho_2022</v>
      </c>
      <c r="AJ294" s="77">
        <f>IFERROR(IF(Tabela1[[#This Row],[Programa]]="",Tabela1[[#This Row],[Peso bruto]],VLOOKUP(Tabela1[[#This Row],[Pedido]],'Saldo a Produzir'!$A:$D,4,0)),"")</f>
        <v>55.7</v>
      </c>
      <c r="AM294" s="73">
        <v>437.33600000000001</v>
      </c>
    </row>
    <row r="295" spans="1:39" ht="14.5" x14ac:dyDescent="0.35">
      <c r="A295" s="81">
        <v>15063</v>
      </c>
      <c r="B295" s="81" t="s">
        <v>71</v>
      </c>
      <c r="C295" s="81">
        <v>61150751003102</v>
      </c>
      <c r="D295" s="81" t="s">
        <v>771</v>
      </c>
      <c r="E295" s="81" t="s">
        <v>219</v>
      </c>
      <c r="F295" s="81" t="s">
        <v>54</v>
      </c>
      <c r="G295" s="81">
        <v>25899</v>
      </c>
      <c r="H295" s="81" t="s">
        <v>92</v>
      </c>
      <c r="I295" s="81" t="s">
        <v>32</v>
      </c>
      <c r="J295" s="81" t="s">
        <v>33</v>
      </c>
      <c r="K295" s="81" t="s">
        <v>34</v>
      </c>
      <c r="L295" s="81" t="s">
        <v>772</v>
      </c>
      <c r="M295" s="81">
        <v>4500107763</v>
      </c>
      <c r="N295" s="90">
        <v>44663</v>
      </c>
      <c r="O295" s="90">
        <v>44771</v>
      </c>
      <c r="P295" s="90">
        <v>44663</v>
      </c>
      <c r="Q295" s="90" t="s">
        <v>35</v>
      </c>
      <c r="R295" s="81">
        <v>0</v>
      </c>
      <c r="S295" s="90" t="s">
        <v>35</v>
      </c>
      <c r="T295" s="81">
        <v>0</v>
      </c>
      <c r="U295" s="81" t="s">
        <v>36</v>
      </c>
      <c r="V295" s="90" t="s">
        <v>35</v>
      </c>
      <c r="W295" s="81" t="s">
        <v>791</v>
      </c>
      <c r="X295" s="90">
        <v>44671</v>
      </c>
      <c r="Y295" s="81" t="s">
        <v>38</v>
      </c>
      <c r="Z295" s="81">
        <v>44</v>
      </c>
      <c r="AA295" s="81" t="s">
        <v>151</v>
      </c>
      <c r="AB295" s="81">
        <v>0</v>
      </c>
      <c r="AC295" s="81"/>
      <c r="AD295" s="81">
        <v>0</v>
      </c>
      <c r="AE295" s="81" t="s">
        <v>153</v>
      </c>
      <c r="AF295" s="81" t="s">
        <v>39</v>
      </c>
      <c r="AG295" s="83">
        <v>1583.81</v>
      </c>
      <c r="AH295" s="95">
        <v>53586.75</v>
      </c>
      <c r="AI295" s="82" t="str">
        <f>CONCATENATE((TEXT(Tabela1[[#This Row],[Data entrega]],"mmmm")),"_",(YEAR(Tabela1[[#This Row],[Data entrega]])))</f>
        <v>julho_2022</v>
      </c>
      <c r="AJ295" s="77">
        <f>IFERROR(IF(Tabela1[[#This Row],[Programa]]="",Tabela1[[#This Row],[Peso bruto]],VLOOKUP(Tabela1[[#This Row],[Pedido]],'Saldo a Produzir'!$A:$D,4,0)),"")</f>
        <v>1581.62</v>
      </c>
      <c r="AM295" s="73">
        <v>2286.5529999999999</v>
      </c>
    </row>
    <row r="296" spans="1:39" ht="14.5" x14ac:dyDescent="0.35">
      <c r="A296" s="81">
        <v>15067</v>
      </c>
      <c r="B296" s="81" t="s">
        <v>59</v>
      </c>
      <c r="C296" s="81">
        <v>89729867000358</v>
      </c>
      <c r="D296" s="81" t="s">
        <v>1447</v>
      </c>
      <c r="E296" s="81" t="s">
        <v>1448</v>
      </c>
      <c r="F296" s="81" t="s">
        <v>44</v>
      </c>
      <c r="G296" s="81">
        <v>26334</v>
      </c>
      <c r="H296" s="81" t="s">
        <v>87</v>
      </c>
      <c r="I296" s="81" t="s">
        <v>32</v>
      </c>
      <c r="J296" s="81" t="s">
        <v>33</v>
      </c>
      <c r="K296" s="81" t="s">
        <v>34</v>
      </c>
      <c r="L296" s="81" t="s">
        <v>1449</v>
      </c>
      <c r="M296" s="81"/>
      <c r="N296" s="90">
        <v>44720</v>
      </c>
      <c r="O296" s="90">
        <v>44771</v>
      </c>
      <c r="P296" s="90">
        <v>44720</v>
      </c>
      <c r="Q296" s="90" t="s">
        <v>35</v>
      </c>
      <c r="R296" s="81">
        <v>0</v>
      </c>
      <c r="S296" s="90" t="s">
        <v>35</v>
      </c>
      <c r="T296" s="81">
        <v>0</v>
      </c>
      <c r="U296" s="81" t="s">
        <v>36</v>
      </c>
      <c r="V296" s="90" t="s">
        <v>35</v>
      </c>
      <c r="W296" s="81"/>
      <c r="X296" s="90" t="s">
        <v>37</v>
      </c>
      <c r="Y296" s="81" t="s">
        <v>38</v>
      </c>
      <c r="Z296" s="81">
        <v>2230</v>
      </c>
      <c r="AA296" s="81" t="s">
        <v>333</v>
      </c>
      <c r="AB296" s="81">
        <v>0</v>
      </c>
      <c r="AC296" s="81"/>
      <c r="AD296" s="81">
        <v>0</v>
      </c>
      <c r="AE296" s="81" t="s">
        <v>153</v>
      </c>
      <c r="AF296" s="81" t="s">
        <v>39</v>
      </c>
      <c r="AG296" s="83">
        <v>5118</v>
      </c>
      <c r="AH296" s="95">
        <v>89548.73</v>
      </c>
      <c r="AI296" s="82" t="str">
        <f>CONCATENATE((TEXT(Tabela1[[#This Row],[Data entrega]],"mmmm")),"_",(YEAR(Tabela1[[#This Row],[Data entrega]])))</f>
        <v>julho_2022</v>
      </c>
      <c r="AJ296" s="77">
        <f>IFERROR(IF(Tabela1[[#This Row],[Programa]]="",Tabela1[[#This Row],[Peso bruto]],VLOOKUP(Tabela1[[#This Row],[Pedido]],'Saldo a Produzir'!$A:$D,4,0)),"")</f>
        <v>5118</v>
      </c>
      <c r="AM296" s="73">
        <v>5118</v>
      </c>
    </row>
    <row r="297" spans="1:39" ht="14.5" x14ac:dyDescent="0.35">
      <c r="A297" s="81">
        <v>15051</v>
      </c>
      <c r="B297" s="81" t="s">
        <v>40</v>
      </c>
      <c r="C297" s="81">
        <v>56548472000138</v>
      </c>
      <c r="D297" s="81" t="s">
        <v>1450</v>
      </c>
      <c r="E297" s="81" t="s">
        <v>128</v>
      </c>
      <c r="F297" s="81" t="s">
        <v>44</v>
      </c>
      <c r="G297" s="81">
        <v>26337</v>
      </c>
      <c r="H297" s="81" t="s">
        <v>92</v>
      </c>
      <c r="I297" s="81" t="s">
        <v>32</v>
      </c>
      <c r="J297" s="81" t="s">
        <v>33</v>
      </c>
      <c r="K297" s="81" t="s">
        <v>34</v>
      </c>
      <c r="L297" s="81" t="s">
        <v>1451</v>
      </c>
      <c r="M297" s="81">
        <v>10218947</v>
      </c>
      <c r="N297" s="90">
        <v>44720</v>
      </c>
      <c r="O297" s="90">
        <v>44771</v>
      </c>
      <c r="P297" s="90">
        <v>44721</v>
      </c>
      <c r="Q297" s="90" t="s">
        <v>35</v>
      </c>
      <c r="R297" s="81">
        <v>0</v>
      </c>
      <c r="S297" s="90" t="s">
        <v>35</v>
      </c>
      <c r="T297" s="81">
        <v>0</v>
      </c>
      <c r="U297" s="81" t="s">
        <v>36</v>
      </c>
      <c r="V297" s="90" t="s">
        <v>35</v>
      </c>
      <c r="W297" s="81"/>
      <c r="X297" s="90" t="s">
        <v>37</v>
      </c>
      <c r="Y297" s="81" t="s">
        <v>38</v>
      </c>
      <c r="Z297" s="81">
        <v>1091</v>
      </c>
      <c r="AA297" s="81" t="s">
        <v>1452</v>
      </c>
      <c r="AB297" s="81">
        <v>0</v>
      </c>
      <c r="AC297" s="81"/>
      <c r="AD297" s="81">
        <v>0</v>
      </c>
      <c r="AE297" s="81" t="s">
        <v>153</v>
      </c>
      <c r="AF297" s="81" t="s">
        <v>39</v>
      </c>
      <c r="AG297" s="83">
        <v>1239</v>
      </c>
      <c r="AH297" s="95">
        <v>32007.5</v>
      </c>
      <c r="AI297" s="82" t="str">
        <f>CONCATENATE((TEXT(Tabela1[[#This Row],[Data entrega]],"mmmm")),"_",(YEAR(Tabela1[[#This Row],[Data entrega]])))</f>
        <v>julho_2022</v>
      </c>
      <c r="AJ297" s="77">
        <f>IFERROR(IF(Tabela1[[#This Row],[Programa]]="",Tabela1[[#This Row],[Peso bruto]],VLOOKUP(Tabela1[[#This Row],[Pedido]],'Saldo a Produzir'!$A:$D,4,0)),"")</f>
        <v>1239</v>
      </c>
      <c r="AM297" s="73">
        <v>1239</v>
      </c>
    </row>
    <row r="298" spans="1:39" ht="14.5" x14ac:dyDescent="0.35">
      <c r="A298" s="81">
        <v>15064</v>
      </c>
      <c r="B298" s="81" t="s">
        <v>67</v>
      </c>
      <c r="C298" s="81">
        <v>18928807000154</v>
      </c>
      <c r="D298" s="81" t="s">
        <v>1095</v>
      </c>
      <c r="E298" s="81" t="s">
        <v>226</v>
      </c>
      <c r="F298" s="81" t="s">
        <v>56</v>
      </c>
      <c r="G298" s="81">
        <v>26189</v>
      </c>
      <c r="H298" s="81" t="s">
        <v>87</v>
      </c>
      <c r="I298" s="81" t="s">
        <v>32</v>
      </c>
      <c r="J298" s="81" t="s">
        <v>33</v>
      </c>
      <c r="K298" s="81" t="s">
        <v>34</v>
      </c>
      <c r="L298" s="81" t="s">
        <v>1096</v>
      </c>
      <c r="M298" s="81"/>
      <c r="N298" s="90">
        <v>44704</v>
      </c>
      <c r="O298" s="90">
        <v>44771</v>
      </c>
      <c r="P298" s="90">
        <v>44705</v>
      </c>
      <c r="Q298" s="90" t="s">
        <v>35</v>
      </c>
      <c r="R298" s="81">
        <v>0</v>
      </c>
      <c r="S298" s="90" t="s">
        <v>35</v>
      </c>
      <c r="T298" s="81">
        <v>0</v>
      </c>
      <c r="U298" s="81" t="s">
        <v>36</v>
      </c>
      <c r="V298" s="90" t="s">
        <v>35</v>
      </c>
      <c r="W298" s="81" t="s">
        <v>1126</v>
      </c>
      <c r="X298" s="90">
        <v>44707</v>
      </c>
      <c r="Y298" s="81" t="s">
        <v>38</v>
      </c>
      <c r="Z298" s="81">
        <v>2257</v>
      </c>
      <c r="AA298" s="81" t="s">
        <v>155</v>
      </c>
      <c r="AB298" s="81">
        <v>0</v>
      </c>
      <c r="AC298" s="81"/>
      <c r="AD298" s="81">
        <v>0</v>
      </c>
      <c r="AE298" s="81" t="s">
        <v>153</v>
      </c>
      <c r="AF298" s="81" t="s">
        <v>39</v>
      </c>
      <c r="AG298" s="83">
        <v>1135.74</v>
      </c>
      <c r="AH298" s="95">
        <v>42126</v>
      </c>
      <c r="AI298" s="82" t="str">
        <f>CONCATENATE((TEXT(Tabela1[[#This Row],[Data entrega]],"mmmm")),"_",(YEAR(Tabela1[[#This Row],[Data entrega]])))</f>
        <v>julho_2022</v>
      </c>
      <c r="AJ298" s="77">
        <f>IFERROR(IF(Tabela1[[#This Row],[Programa]]="",Tabela1[[#This Row],[Peso bruto]],VLOOKUP(Tabela1[[#This Row],[Pedido]],'Saldo a Produzir'!$A:$D,4,0)),"")</f>
        <v>1075.72</v>
      </c>
      <c r="AM298" s="73">
        <v>1965.405</v>
      </c>
    </row>
    <row r="299" spans="1:39" ht="14.5" x14ac:dyDescent="0.35">
      <c r="A299" s="81">
        <v>15059</v>
      </c>
      <c r="B299" s="81" t="s">
        <v>63</v>
      </c>
      <c r="C299" s="81">
        <v>514179000103</v>
      </c>
      <c r="D299" s="81" t="s">
        <v>1453</v>
      </c>
      <c r="E299" s="81" t="s">
        <v>278</v>
      </c>
      <c r="F299" s="81" t="s">
        <v>64</v>
      </c>
      <c r="G299" s="81">
        <v>26320</v>
      </c>
      <c r="H299" s="81" t="s">
        <v>91</v>
      </c>
      <c r="I299" s="81" t="s">
        <v>32</v>
      </c>
      <c r="J299" s="81" t="s">
        <v>33</v>
      </c>
      <c r="K299" s="81" t="s">
        <v>34</v>
      </c>
      <c r="L299" s="81" t="s">
        <v>1454</v>
      </c>
      <c r="M299" s="81">
        <v>14150</v>
      </c>
      <c r="N299" s="90">
        <v>44719</v>
      </c>
      <c r="O299" s="90">
        <v>44771</v>
      </c>
      <c r="P299" s="90">
        <v>44719</v>
      </c>
      <c r="Q299" s="90" t="s">
        <v>35</v>
      </c>
      <c r="R299" s="81">
        <v>0</v>
      </c>
      <c r="S299" s="90" t="s">
        <v>35</v>
      </c>
      <c r="T299" s="81">
        <v>0</v>
      </c>
      <c r="U299" s="81" t="s">
        <v>36</v>
      </c>
      <c r="V299" s="90" t="s">
        <v>35</v>
      </c>
      <c r="W299" s="81"/>
      <c r="X299" s="90" t="s">
        <v>37</v>
      </c>
      <c r="Y299" s="81" t="s">
        <v>38</v>
      </c>
      <c r="Z299" s="81">
        <v>2000</v>
      </c>
      <c r="AA299" s="81" t="s">
        <v>154</v>
      </c>
      <c r="AB299" s="81">
        <v>0</v>
      </c>
      <c r="AC299" s="81"/>
      <c r="AD299" s="81">
        <v>0</v>
      </c>
      <c r="AE299" s="81" t="s">
        <v>153</v>
      </c>
      <c r="AF299" s="81" t="s">
        <v>39</v>
      </c>
      <c r="AG299" s="83">
        <v>184</v>
      </c>
      <c r="AH299" s="95">
        <v>4731.04</v>
      </c>
      <c r="AI299" s="82" t="str">
        <f>CONCATENATE((TEXT(Tabela1[[#This Row],[Data entrega]],"mmmm")),"_",(YEAR(Tabela1[[#This Row],[Data entrega]])))</f>
        <v>julho_2022</v>
      </c>
      <c r="AJ299" s="77">
        <f>IFERROR(IF(Tabela1[[#This Row],[Programa]]="",Tabela1[[#This Row],[Peso bruto]],VLOOKUP(Tabela1[[#This Row],[Pedido]],'Saldo a Produzir'!$A:$D,4,0)),"")</f>
        <v>184</v>
      </c>
      <c r="AM299" s="73">
        <v>184</v>
      </c>
    </row>
    <row r="300" spans="1:39" ht="14.5" x14ac:dyDescent="0.35">
      <c r="A300" s="81">
        <v>15057</v>
      </c>
      <c r="B300" s="81" t="s">
        <v>60</v>
      </c>
      <c r="C300" s="81">
        <v>89831788000191</v>
      </c>
      <c r="D300" s="81" t="s">
        <v>878</v>
      </c>
      <c r="E300" s="81" t="s">
        <v>879</v>
      </c>
      <c r="F300" s="81" t="s">
        <v>58</v>
      </c>
      <c r="G300" s="81">
        <v>26051</v>
      </c>
      <c r="H300" s="81" t="s">
        <v>92</v>
      </c>
      <c r="I300" s="81" t="s">
        <v>32</v>
      </c>
      <c r="J300" s="81" t="s">
        <v>33</v>
      </c>
      <c r="K300" s="81" t="s">
        <v>34</v>
      </c>
      <c r="L300" s="81" t="s">
        <v>880</v>
      </c>
      <c r="M300" s="81"/>
      <c r="N300" s="90">
        <v>44684</v>
      </c>
      <c r="O300" s="90">
        <v>44771</v>
      </c>
      <c r="P300" s="90">
        <v>44686</v>
      </c>
      <c r="Q300" s="90" t="s">
        <v>35</v>
      </c>
      <c r="R300" s="81">
        <v>0</v>
      </c>
      <c r="S300" s="90" t="s">
        <v>35</v>
      </c>
      <c r="T300" s="81">
        <v>0</v>
      </c>
      <c r="U300" s="81" t="s">
        <v>36</v>
      </c>
      <c r="V300" s="90" t="s">
        <v>35</v>
      </c>
      <c r="W300" s="81" t="s">
        <v>912</v>
      </c>
      <c r="X300" s="90">
        <v>44691</v>
      </c>
      <c r="Y300" s="81" t="s">
        <v>38</v>
      </c>
      <c r="Z300" s="81">
        <v>0</v>
      </c>
      <c r="AA300" s="81"/>
      <c r="AB300" s="81">
        <v>0</v>
      </c>
      <c r="AC300" s="81"/>
      <c r="AD300" s="81">
        <v>0</v>
      </c>
      <c r="AE300" s="81" t="s">
        <v>153</v>
      </c>
      <c r="AF300" s="81" t="s">
        <v>39</v>
      </c>
      <c r="AG300" s="83">
        <v>5296.04</v>
      </c>
      <c r="AH300" s="95">
        <v>109693.79</v>
      </c>
      <c r="AI300" s="82" t="str">
        <f>CONCATENATE((TEXT(Tabela1[[#This Row],[Data entrega]],"mmmm")),"_",(YEAR(Tabela1[[#This Row],[Data entrega]])))</f>
        <v>julho_2022</v>
      </c>
      <c r="AJ300" s="77">
        <f>IFERROR(IF(Tabela1[[#This Row],[Programa]]="",Tabela1[[#This Row],[Peso bruto]],VLOOKUP(Tabela1[[#This Row],[Pedido]],'Saldo a Produzir'!$A:$D,4,0)),"")</f>
        <v>3786.77</v>
      </c>
      <c r="AM300" s="73">
        <v>5430.3370000000004</v>
      </c>
    </row>
    <row r="301" spans="1:39" ht="14.5" x14ac:dyDescent="0.35">
      <c r="A301" s="81">
        <v>15059</v>
      </c>
      <c r="B301" s="81" t="s">
        <v>63</v>
      </c>
      <c r="C301" s="81">
        <v>502654000113</v>
      </c>
      <c r="D301" s="81" t="s">
        <v>1157</v>
      </c>
      <c r="E301" s="81" t="s">
        <v>192</v>
      </c>
      <c r="F301" s="81" t="s">
        <v>64</v>
      </c>
      <c r="G301" s="81">
        <v>26242</v>
      </c>
      <c r="H301" s="81" t="s">
        <v>87</v>
      </c>
      <c r="I301" s="81" t="s">
        <v>32</v>
      </c>
      <c r="J301" s="81" t="s">
        <v>33</v>
      </c>
      <c r="K301" s="81" t="s">
        <v>34</v>
      </c>
      <c r="L301" s="81" t="s">
        <v>1158</v>
      </c>
      <c r="M301" s="81"/>
      <c r="N301" s="90">
        <v>44708</v>
      </c>
      <c r="O301" s="90">
        <v>44771</v>
      </c>
      <c r="P301" s="90">
        <v>44713</v>
      </c>
      <c r="Q301" s="90" t="s">
        <v>35</v>
      </c>
      <c r="R301" s="81">
        <v>0</v>
      </c>
      <c r="S301" s="90" t="s">
        <v>35</v>
      </c>
      <c r="T301" s="81">
        <v>0</v>
      </c>
      <c r="U301" s="81" t="s">
        <v>36</v>
      </c>
      <c r="V301" s="90" t="s">
        <v>35</v>
      </c>
      <c r="W301" s="81" t="s">
        <v>1422</v>
      </c>
      <c r="X301" s="90">
        <v>44715</v>
      </c>
      <c r="Y301" s="81" t="s">
        <v>38</v>
      </c>
      <c r="Z301" s="81">
        <v>2257</v>
      </c>
      <c r="AA301" s="81" t="s">
        <v>155</v>
      </c>
      <c r="AB301" s="81">
        <v>0</v>
      </c>
      <c r="AC301" s="81"/>
      <c r="AD301" s="81">
        <v>0</v>
      </c>
      <c r="AE301" s="81" t="s">
        <v>153</v>
      </c>
      <c r="AF301" s="81" t="s">
        <v>39</v>
      </c>
      <c r="AG301" s="83">
        <v>1536.58</v>
      </c>
      <c r="AH301" s="95">
        <v>62698.559999999998</v>
      </c>
      <c r="AI301" s="82" t="str">
        <f>CONCATENATE((TEXT(Tabela1[[#This Row],[Data entrega]],"mmmm")),"_",(YEAR(Tabela1[[#This Row],[Data entrega]])))</f>
        <v>julho_2022</v>
      </c>
      <c r="AJ301" s="77">
        <f>IFERROR(IF(Tabela1[[#This Row],[Programa]]="",Tabela1[[#This Row],[Peso bruto]],VLOOKUP(Tabela1[[#This Row],[Pedido]],'Saldo a Produzir'!$A:$D,4,0)),"")</f>
        <v>1507.02</v>
      </c>
      <c r="AM301" s="73">
        <v>3003.0360000000001</v>
      </c>
    </row>
    <row r="302" spans="1:39" ht="14.5" x14ac:dyDescent="0.35">
      <c r="A302" s="81">
        <v>15910</v>
      </c>
      <c r="B302" s="81" t="s">
        <v>261</v>
      </c>
      <c r="C302" s="81">
        <v>8146691000148</v>
      </c>
      <c r="D302" s="81" t="s">
        <v>1242</v>
      </c>
      <c r="E302" s="81" t="s">
        <v>73</v>
      </c>
      <c r="F302" s="81" t="s">
        <v>51</v>
      </c>
      <c r="G302" s="81">
        <v>26291</v>
      </c>
      <c r="H302" s="81" t="s">
        <v>90</v>
      </c>
      <c r="I302" s="81" t="s">
        <v>32</v>
      </c>
      <c r="J302" s="81" t="s">
        <v>33</v>
      </c>
      <c r="K302" s="81" t="s">
        <v>34</v>
      </c>
      <c r="L302" s="81" t="s">
        <v>1243</v>
      </c>
      <c r="M302" s="81"/>
      <c r="N302" s="90">
        <v>44712</v>
      </c>
      <c r="O302" s="90">
        <v>44771</v>
      </c>
      <c r="P302" s="90">
        <v>44715</v>
      </c>
      <c r="Q302" s="90" t="s">
        <v>35</v>
      </c>
      <c r="R302" s="81">
        <v>0</v>
      </c>
      <c r="S302" s="90" t="s">
        <v>35</v>
      </c>
      <c r="T302" s="81">
        <v>0</v>
      </c>
      <c r="U302" s="81" t="s">
        <v>36</v>
      </c>
      <c r="V302" s="90" t="s">
        <v>35</v>
      </c>
      <c r="W302" s="81"/>
      <c r="X302" s="90" t="s">
        <v>37</v>
      </c>
      <c r="Y302" s="81" t="s">
        <v>38</v>
      </c>
      <c r="Z302" s="81">
        <v>3012</v>
      </c>
      <c r="AA302" s="81" t="s">
        <v>841</v>
      </c>
      <c r="AB302" s="81">
        <v>0</v>
      </c>
      <c r="AC302" s="81"/>
      <c r="AD302" s="81">
        <v>0</v>
      </c>
      <c r="AE302" s="81" t="s">
        <v>153</v>
      </c>
      <c r="AF302" s="81" t="s">
        <v>39</v>
      </c>
      <c r="AG302" s="83">
        <v>1380</v>
      </c>
      <c r="AH302" s="95">
        <v>31976.53</v>
      </c>
      <c r="AI302" s="82" t="str">
        <f>CONCATENATE((TEXT(Tabela1[[#This Row],[Data entrega]],"mmmm")),"_",(YEAR(Tabela1[[#This Row],[Data entrega]])))</f>
        <v>julho_2022</v>
      </c>
      <c r="AJ302" s="77">
        <f>IFERROR(IF(Tabela1[[#This Row],[Programa]]="",Tabela1[[#This Row],[Peso bruto]],VLOOKUP(Tabela1[[#This Row],[Pedido]],'Saldo a Produzir'!$A:$D,4,0)),"")</f>
        <v>1380</v>
      </c>
      <c r="AM302" s="73">
        <v>1380</v>
      </c>
    </row>
    <row r="303" spans="1:39" ht="14.5" x14ac:dyDescent="0.35">
      <c r="A303" s="81">
        <v>15057</v>
      </c>
      <c r="B303" s="81" t="s">
        <v>60</v>
      </c>
      <c r="C303" s="81">
        <v>90070384000101</v>
      </c>
      <c r="D303" s="81" t="s">
        <v>1455</v>
      </c>
      <c r="E303" s="81" t="s">
        <v>1456</v>
      </c>
      <c r="F303" s="81" t="s">
        <v>58</v>
      </c>
      <c r="G303" s="81">
        <v>26341</v>
      </c>
      <c r="H303" s="81" t="s">
        <v>87</v>
      </c>
      <c r="I303" s="81" t="s">
        <v>32</v>
      </c>
      <c r="J303" s="81" t="s">
        <v>33</v>
      </c>
      <c r="K303" s="81" t="s">
        <v>34</v>
      </c>
      <c r="L303" s="81" t="s">
        <v>1457</v>
      </c>
      <c r="M303" s="81"/>
      <c r="N303" s="90">
        <v>44721</v>
      </c>
      <c r="O303" s="90">
        <v>44771</v>
      </c>
      <c r="P303" s="90">
        <v>44721</v>
      </c>
      <c r="Q303" s="90" t="s">
        <v>35</v>
      </c>
      <c r="R303" s="81">
        <v>0</v>
      </c>
      <c r="S303" s="90" t="s">
        <v>35</v>
      </c>
      <c r="T303" s="81">
        <v>0</v>
      </c>
      <c r="U303" s="81" t="s">
        <v>36</v>
      </c>
      <c r="V303" s="90" t="s">
        <v>35</v>
      </c>
      <c r="W303" s="81"/>
      <c r="X303" s="90" t="s">
        <v>37</v>
      </c>
      <c r="Y303" s="81" t="s">
        <v>38</v>
      </c>
      <c r="Z303" s="81">
        <v>2257</v>
      </c>
      <c r="AA303" s="81" t="s">
        <v>155</v>
      </c>
      <c r="AB303" s="81">
        <v>0</v>
      </c>
      <c r="AC303" s="81"/>
      <c r="AD303" s="81">
        <v>0</v>
      </c>
      <c r="AE303" s="81" t="s">
        <v>153</v>
      </c>
      <c r="AF303" s="81" t="s">
        <v>39</v>
      </c>
      <c r="AG303" s="83">
        <v>533</v>
      </c>
      <c r="AH303" s="95">
        <v>12881.47</v>
      </c>
      <c r="AI303" s="82" t="str">
        <f>CONCATENATE((TEXT(Tabela1[[#This Row],[Data entrega]],"mmmm")),"_",(YEAR(Tabela1[[#This Row],[Data entrega]])))</f>
        <v>julho_2022</v>
      </c>
      <c r="AJ303" s="77">
        <f>IFERROR(IF(Tabela1[[#This Row],[Programa]]="",Tabela1[[#This Row],[Peso bruto]],VLOOKUP(Tabela1[[#This Row],[Pedido]],'Saldo a Produzir'!$A:$D,4,0)),"")</f>
        <v>533</v>
      </c>
      <c r="AM303" s="73">
        <v>533</v>
      </c>
    </row>
    <row r="304" spans="1:39" ht="14.5" x14ac:dyDescent="0.35">
      <c r="A304" s="81">
        <v>15057</v>
      </c>
      <c r="B304" s="81" t="s">
        <v>60</v>
      </c>
      <c r="C304" s="81">
        <v>74072513001035</v>
      </c>
      <c r="D304" s="81" t="s">
        <v>1049</v>
      </c>
      <c r="E304" s="81" t="s">
        <v>1050</v>
      </c>
      <c r="F304" s="81" t="s">
        <v>42</v>
      </c>
      <c r="G304" s="81">
        <v>26174</v>
      </c>
      <c r="H304" s="81" t="s">
        <v>87</v>
      </c>
      <c r="I304" s="81" t="s">
        <v>32</v>
      </c>
      <c r="J304" s="81" t="s">
        <v>33</v>
      </c>
      <c r="K304" s="81" t="s">
        <v>34</v>
      </c>
      <c r="L304" s="81" t="s">
        <v>1051</v>
      </c>
      <c r="M304" s="81"/>
      <c r="N304" s="90">
        <v>44700</v>
      </c>
      <c r="O304" s="90">
        <v>44778</v>
      </c>
      <c r="P304" s="90">
        <v>44705</v>
      </c>
      <c r="Q304" s="90" t="s">
        <v>35</v>
      </c>
      <c r="R304" s="81">
        <v>0</v>
      </c>
      <c r="S304" s="90" t="s">
        <v>35</v>
      </c>
      <c r="T304" s="81">
        <v>0</v>
      </c>
      <c r="U304" s="81" t="s">
        <v>36</v>
      </c>
      <c r="V304" s="90" t="s">
        <v>35</v>
      </c>
      <c r="W304" s="81" t="s">
        <v>1125</v>
      </c>
      <c r="X304" s="90">
        <v>44706</v>
      </c>
      <c r="Y304" s="81" t="s">
        <v>38</v>
      </c>
      <c r="Z304" s="81">
        <v>0</v>
      </c>
      <c r="AA304" s="81"/>
      <c r="AB304" s="81">
        <v>0</v>
      </c>
      <c r="AC304" s="81"/>
      <c r="AD304" s="81">
        <v>0</v>
      </c>
      <c r="AE304" s="81" t="s">
        <v>153</v>
      </c>
      <c r="AF304" s="81" t="s">
        <v>39</v>
      </c>
      <c r="AG304" s="83">
        <v>2639.43</v>
      </c>
      <c r="AH304" s="95">
        <v>78470</v>
      </c>
      <c r="AI304" s="82" t="str">
        <f>CONCATENATE((TEXT(Tabela1[[#This Row],[Data entrega]],"mmmm")),"_",(YEAR(Tabela1[[#This Row],[Data entrega]])))</f>
        <v>agosto_2022</v>
      </c>
      <c r="AJ304" s="77">
        <f>IFERROR(IF(Tabela1[[#This Row],[Programa]]="",Tabela1[[#This Row],[Peso bruto]],VLOOKUP(Tabela1[[#This Row],[Pedido]],'Saldo a Produzir'!$A:$D,4,0)),"")</f>
        <v>2621.2799999999997</v>
      </c>
      <c r="AM304" s="73">
        <v>3734.8679999999999</v>
      </c>
    </row>
    <row r="305" spans="1:39" ht="14.5" x14ac:dyDescent="0.35">
      <c r="A305" s="81">
        <v>15073</v>
      </c>
      <c r="B305" s="81" t="s">
        <v>172</v>
      </c>
      <c r="C305" s="81">
        <v>17469701004326</v>
      </c>
      <c r="D305" s="81" t="s">
        <v>1144</v>
      </c>
      <c r="E305" s="81" t="s">
        <v>79</v>
      </c>
      <c r="F305" s="81" t="s">
        <v>44</v>
      </c>
      <c r="G305" s="81">
        <v>26243</v>
      </c>
      <c r="H305" s="81" t="s">
        <v>87</v>
      </c>
      <c r="I305" s="81" t="s">
        <v>32</v>
      </c>
      <c r="J305" s="81" t="s">
        <v>33</v>
      </c>
      <c r="K305" s="81" t="s">
        <v>34</v>
      </c>
      <c r="L305" s="81" t="s">
        <v>1159</v>
      </c>
      <c r="M305" s="81">
        <v>4400544788</v>
      </c>
      <c r="N305" s="90">
        <v>44708</v>
      </c>
      <c r="O305" s="90">
        <v>44778</v>
      </c>
      <c r="P305" s="90">
        <v>44708</v>
      </c>
      <c r="Q305" s="90" t="s">
        <v>35</v>
      </c>
      <c r="R305" s="81">
        <v>0</v>
      </c>
      <c r="S305" s="90" t="s">
        <v>35</v>
      </c>
      <c r="T305" s="81">
        <v>0</v>
      </c>
      <c r="U305" s="81" t="s">
        <v>36</v>
      </c>
      <c r="V305" s="90" t="s">
        <v>35</v>
      </c>
      <c r="W305" s="81" t="s">
        <v>1433</v>
      </c>
      <c r="X305" s="90">
        <v>44719</v>
      </c>
      <c r="Y305" s="81" t="s">
        <v>38</v>
      </c>
      <c r="Z305" s="81">
        <v>13</v>
      </c>
      <c r="AA305" s="81" t="s">
        <v>149</v>
      </c>
      <c r="AB305" s="81">
        <v>0</v>
      </c>
      <c r="AC305" s="81"/>
      <c r="AD305" s="81">
        <v>0</v>
      </c>
      <c r="AE305" s="81" t="s">
        <v>153</v>
      </c>
      <c r="AF305" s="81" t="s">
        <v>39</v>
      </c>
      <c r="AG305" s="83">
        <v>403.37</v>
      </c>
      <c r="AH305" s="95">
        <v>27051.5</v>
      </c>
      <c r="AI305" s="82" t="str">
        <f>CONCATENATE((TEXT(Tabela1[[#This Row],[Data entrega]],"mmmm")),"_",(YEAR(Tabela1[[#This Row],[Data entrega]])))</f>
        <v>agosto_2022</v>
      </c>
      <c r="AJ305" s="77">
        <f>IFERROR(IF(Tabela1[[#This Row],[Programa]]="",Tabela1[[#This Row],[Peso bruto]],VLOOKUP(Tabela1[[#This Row],[Pedido]],'Saldo a Produzir'!$A:$D,4,0)),"")</f>
        <v>393.66999999999996</v>
      </c>
      <c r="AM305" s="73">
        <v>804.02599999999995</v>
      </c>
    </row>
    <row r="306" spans="1:39" ht="14.5" x14ac:dyDescent="0.35">
      <c r="A306" s="81">
        <v>15077</v>
      </c>
      <c r="B306" s="81" t="s">
        <v>298</v>
      </c>
      <c r="C306" s="81">
        <v>6346545000130</v>
      </c>
      <c r="D306" s="81" t="s">
        <v>1178</v>
      </c>
      <c r="E306" s="81" t="s">
        <v>79</v>
      </c>
      <c r="F306" s="81" t="s">
        <v>44</v>
      </c>
      <c r="G306" s="81">
        <v>26281</v>
      </c>
      <c r="H306" s="81" t="s">
        <v>87</v>
      </c>
      <c r="I306" s="81" t="s">
        <v>32</v>
      </c>
      <c r="J306" s="81" t="s">
        <v>33</v>
      </c>
      <c r="K306" s="81" t="s">
        <v>34</v>
      </c>
      <c r="L306" s="81" t="s">
        <v>1179</v>
      </c>
      <c r="M306" s="81"/>
      <c r="N306" s="90">
        <v>44712</v>
      </c>
      <c r="O306" s="90">
        <v>44778</v>
      </c>
      <c r="P306" s="90">
        <v>44712</v>
      </c>
      <c r="Q306" s="90" t="s">
        <v>35</v>
      </c>
      <c r="R306" s="81">
        <v>0</v>
      </c>
      <c r="S306" s="90" t="s">
        <v>35</v>
      </c>
      <c r="T306" s="81">
        <v>0</v>
      </c>
      <c r="U306" s="81" t="s">
        <v>36</v>
      </c>
      <c r="V306" s="90" t="s">
        <v>35</v>
      </c>
      <c r="W306" s="81"/>
      <c r="X306" s="90" t="s">
        <v>37</v>
      </c>
      <c r="Y306" s="81" t="s">
        <v>38</v>
      </c>
      <c r="Z306" s="81">
        <v>2257</v>
      </c>
      <c r="AA306" s="81" t="s">
        <v>155</v>
      </c>
      <c r="AB306" s="81">
        <v>0</v>
      </c>
      <c r="AC306" s="81"/>
      <c r="AD306" s="81">
        <v>0</v>
      </c>
      <c r="AE306" s="81" t="s">
        <v>153</v>
      </c>
      <c r="AF306" s="81" t="s">
        <v>39</v>
      </c>
      <c r="AG306" s="83">
        <v>474.60199999999998</v>
      </c>
      <c r="AH306" s="95">
        <v>16726.5</v>
      </c>
      <c r="AI306" s="82" t="str">
        <f>CONCATENATE((TEXT(Tabela1[[#This Row],[Data entrega]],"mmmm")),"_",(YEAR(Tabela1[[#This Row],[Data entrega]])))</f>
        <v>agosto_2022</v>
      </c>
      <c r="AJ306" s="77">
        <f>IFERROR(IF(Tabela1[[#This Row],[Programa]]="",Tabela1[[#This Row],[Peso bruto]],VLOOKUP(Tabela1[[#This Row],[Pedido]],'Saldo a Produzir'!$A:$D,4,0)),"")</f>
        <v>474.60199999999998</v>
      </c>
      <c r="AM306" s="73">
        <v>474.60199999999998</v>
      </c>
    </row>
    <row r="307" spans="1:39" ht="14.5" x14ac:dyDescent="0.35">
      <c r="A307" s="81">
        <v>15052</v>
      </c>
      <c r="B307" s="81" t="s">
        <v>43</v>
      </c>
      <c r="C307" s="81">
        <v>43270628000110</v>
      </c>
      <c r="D307" s="81" t="s">
        <v>765</v>
      </c>
      <c r="E307" s="81" t="s">
        <v>1180</v>
      </c>
      <c r="F307" s="81" t="s">
        <v>44</v>
      </c>
      <c r="G307" s="81">
        <v>26287</v>
      </c>
      <c r="H307" s="81" t="s">
        <v>88</v>
      </c>
      <c r="I307" s="81" t="s">
        <v>32</v>
      </c>
      <c r="J307" s="81" t="s">
        <v>33</v>
      </c>
      <c r="K307" s="81" t="s">
        <v>34</v>
      </c>
      <c r="L307" s="81" t="s">
        <v>1181</v>
      </c>
      <c r="M307" s="81"/>
      <c r="N307" s="90">
        <v>44712</v>
      </c>
      <c r="O307" s="90">
        <v>44778</v>
      </c>
      <c r="P307" s="90">
        <v>44715</v>
      </c>
      <c r="Q307" s="90" t="s">
        <v>35</v>
      </c>
      <c r="R307" s="81">
        <v>0</v>
      </c>
      <c r="S307" s="90" t="s">
        <v>35</v>
      </c>
      <c r="T307" s="81">
        <v>0</v>
      </c>
      <c r="U307" s="81" t="s">
        <v>36</v>
      </c>
      <c r="V307" s="90" t="s">
        <v>35</v>
      </c>
      <c r="W307" s="81"/>
      <c r="X307" s="90" t="s">
        <v>37</v>
      </c>
      <c r="Y307" s="81" t="s">
        <v>38</v>
      </c>
      <c r="Z307" s="81">
        <v>2257</v>
      </c>
      <c r="AA307" s="81" t="s">
        <v>155</v>
      </c>
      <c r="AB307" s="81">
        <v>0</v>
      </c>
      <c r="AC307" s="81"/>
      <c r="AD307" s="81">
        <v>0</v>
      </c>
      <c r="AE307" s="81"/>
      <c r="AF307" s="81" t="s">
        <v>39</v>
      </c>
      <c r="AG307" s="83">
        <v>32882</v>
      </c>
      <c r="AH307" s="95">
        <v>569886.31000000006</v>
      </c>
      <c r="AI307" s="82" t="str">
        <f>CONCATENATE((TEXT(Tabela1[[#This Row],[Data entrega]],"mmmm")),"_",(YEAR(Tabela1[[#This Row],[Data entrega]])))</f>
        <v>agosto_2022</v>
      </c>
      <c r="AJ307" s="77">
        <f>IFERROR(IF(Tabela1[[#This Row],[Programa]]="",Tabela1[[#This Row],[Peso bruto]],VLOOKUP(Tabela1[[#This Row],[Pedido]],'Saldo a Produzir'!$A:$D,4,0)),"")</f>
        <v>32882</v>
      </c>
      <c r="AM307" s="73">
        <v>32882</v>
      </c>
    </row>
    <row r="308" spans="1:39" ht="14.5" x14ac:dyDescent="0.35">
      <c r="A308" s="81">
        <v>15075</v>
      </c>
      <c r="B308" s="81" t="s">
        <v>166</v>
      </c>
      <c r="C308" s="81">
        <v>2675611000750</v>
      </c>
      <c r="D308" s="81" t="s">
        <v>1182</v>
      </c>
      <c r="E308" s="81" t="s">
        <v>1183</v>
      </c>
      <c r="F308" s="81" t="s">
        <v>142</v>
      </c>
      <c r="G308" s="81">
        <v>26253</v>
      </c>
      <c r="H308" s="81" t="s">
        <v>87</v>
      </c>
      <c r="I308" s="81" t="s">
        <v>32</v>
      </c>
      <c r="J308" s="81" t="s">
        <v>33</v>
      </c>
      <c r="K308" s="81" t="s">
        <v>34</v>
      </c>
      <c r="L308" s="81" t="s">
        <v>1184</v>
      </c>
      <c r="M308" s="81">
        <v>182678</v>
      </c>
      <c r="N308" s="90">
        <v>44711</v>
      </c>
      <c r="O308" s="90">
        <v>44778</v>
      </c>
      <c r="P308" s="90">
        <v>44718</v>
      </c>
      <c r="Q308" s="90" t="s">
        <v>35</v>
      </c>
      <c r="R308" s="81">
        <v>0</v>
      </c>
      <c r="S308" s="90" t="s">
        <v>35</v>
      </c>
      <c r="T308" s="81">
        <v>0</v>
      </c>
      <c r="U308" s="81" t="s">
        <v>36</v>
      </c>
      <c r="V308" s="90" t="s">
        <v>35</v>
      </c>
      <c r="W308" s="81"/>
      <c r="X308" s="90" t="s">
        <v>37</v>
      </c>
      <c r="Y308" s="81" t="s">
        <v>38</v>
      </c>
      <c r="Z308" s="81">
        <v>0</v>
      </c>
      <c r="AA308" s="81"/>
      <c r="AB308" s="81">
        <v>0</v>
      </c>
      <c r="AC308" s="81"/>
      <c r="AD308" s="81">
        <v>0</v>
      </c>
      <c r="AE308" s="81" t="s">
        <v>153</v>
      </c>
      <c r="AF308" s="81" t="s">
        <v>39</v>
      </c>
      <c r="AG308" s="83">
        <v>20182</v>
      </c>
      <c r="AH308" s="95">
        <v>459934.35</v>
      </c>
      <c r="AI308" s="82" t="str">
        <f>CONCATENATE((TEXT(Tabela1[[#This Row],[Data entrega]],"mmmm")),"_",(YEAR(Tabela1[[#This Row],[Data entrega]])))</f>
        <v>agosto_2022</v>
      </c>
      <c r="AJ308" s="77">
        <f>IFERROR(IF(Tabela1[[#This Row],[Programa]]="",Tabela1[[#This Row],[Peso bruto]],VLOOKUP(Tabela1[[#This Row],[Pedido]],'Saldo a Produzir'!$A:$D,4,0)),"")</f>
        <v>20182</v>
      </c>
      <c r="AM308" s="73">
        <v>20182</v>
      </c>
    </row>
    <row r="309" spans="1:39" ht="14.5" x14ac:dyDescent="0.35">
      <c r="A309" s="81">
        <v>15057</v>
      </c>
      <c r="B309" s="81" t="s">
        <v>60</v>
      </c>
      <c r="C309" s="81">
        <v>87678132000821</v>
      </c>
      <c r="D309" s="81" t="s">
        <v>1185</v>
      </c>
      <c r="E309" s="81" t="s">
        <v>1186</v>
      </c>
      <c r="F309" s="81" t="s">
        <v>58</v>
      </c>
      <c r="G309" s="81">
        <v>26283</v>
      </c>
      <c r="H309" s="81" t="s">
        <v>87</v>
      </c>
      <c r="I309" s="81" t="s">
        <v>32</v>
      </c>
      <c r="J309" s="81" t="s">
        <v>33</v>
      </c>
      <c r="K309" s="81" t="s">
        <v>34</v>
      </c>
      <c r="L309" s="81" t="s">
        <v>1187</v>
      </c>
      <c r="M309" s="81"/>
      <c r="N309" s="90">
        <v>44712</v>
      </c>
      <c r="O309" s="90">
        <v>44778</v>
      </c>
      <c r="P309" s="90">
        <v>44715</v>
      </c>
      <c r="Q309" s="90" t="s">
        <v>35</v>
      </c>
      <c r="R309" s="81">
        <v>0</v>
      </c>
      <c r="S309" s="90" t="s">
        <v>35</v>
      </c>
      <c r="T309" s="81">
        <v>0</v>
      </c>
      <c r="U309" s="81" t="s">
        <v>36</v>
      </c>
      <c r="V309" s="90" t="s">
        <v>35</v>
      </c>
      <c r="W309" s="81" t="s">
        <v>1433</v>
      </c>
      <c r="X309" s="90">
        <v>44719</v>
      </c>
      <c r="Y309" s="81" t="s">
        <v>38</v>
      </c>
      <c r="Z309" s="81">
        <v>2257</v>
      </c>
      <c r="AA309" s="81" t="s">
        <v>155</v>
      </c>
      <c r="AB309" s="81">
        <v>0</v>
      </c>
      <c r="AC309" s="81"/>
      <c r="AD309" s="81">
        <v>0</v>
      </c>
      <c r="AE309" s="81" t="s">
        <v>153</v>
      </c>
      <c r="AF309" s="81" t="s">
        <v>39</v>
      </c>
      <c r="AG309" s="83">
        <v>297.2</v>
      </c>
      <c r="AH309" s="95">
        <v>15836.74</v>
      </c>
      <c r="AI309" s="82" t="str">
        <f>CONCATENATE((TEXT(Tabela1[[#This Row],[Data entrega]],"mmmm")),"_",(YEAR(Tabela1[[#This Row],[Data entrega]])))</f>
        <v>agosto_2022</v>
      </c>
      <c r="AJ309" s="77">
        <f>IFERROR(IF(Tabela1[[#This Row],[Programa]]="",Tabela1[[#This Row],[Peso bruto]],VLOOKUP(Tabela1[[#This Row],[Pedido]],'Saldo a Produzir'!$A:$D,4,0)),"")</f>
        <v>296.04000000000002</v>
      </c>
      <c r="AM309" s="73">
        <v>682.06799999999998</v>
      </c>
    </row>
    <row r="310" spans="1:39" ht="14.5" x14ac:dyDescent="0.35">
      <c r="A310" s="81">
        <v>15059</v>
      </c>
      <c r="B310" s="81" t="s">
        <v>63</v>
      </c>
      <c r="C310" s="81">
        <v>12403693000223</v>
      </c>
      <c r="D310" s="81" t="s">
        <v>1188</v>
      </c>
      <c r="E310" s="81" t="s">
        <v>1189</v>
      </c>
      <c r="F310" s="81" t="s">
        <v>64</v>
      </c>
      <c r="G310" s="81">
        <v>26282</v>
      </c>
      <c r="H310" s="81" t="s">
        <v>87</v>
      </c>
      <c r="I310" s="81" t="s">
        <v>32</v>
      </c>
      <c r="J310" s="81" t="s">
        <v>33</v>
      </c>
      <c r="K310" s="81" t="s">
        <v>34</v>
      </c>
      <c r="L310" s="81" t="s">
        <v>1458</v>
      </c>
      <c r="M310" s="81"/>
      <c r="N310" s="90">
        <v>44712</v>
      </c>
      <c r="O310" s="90">
        <v>44778</v>
      </c>
      <c r="P310" s="90">
        <v>44715</v>
      </c>
      <c r="Q310" s="90" t="s">
        <v>35</v>
      </c>
      <c r="R310" s="81">
        <v>0</v>
      </c>
      <c r="S310" s="90" t="s">
        <v>35</v>
      </c>
      <c r="T310" s="81">
        <v>0</v>
      </c>
      <c r="U310" s="81" t="s">
        <v>36</v>
      </c>
      <c r="V310" s="90" t="s">
        <v>35</v>
      </c>
      <c r="W310" s="81"/>
      <c r="X310" s="90" t="s">
        <v>37</v>
      </c>
      <c r="Y310" s="81" t="s">
        <v>38</v>
      </c>
      <c r="Z310" s="81">
        <v>0</v>
      </c>
      <c r="AA310" s="81"/>
      <c r="AB310" s="81">
        <v>0</v>
      </c>
      <c r="AC310" s="81"/>
      <c r="AD310" s="81">
        <v>0</v>
      </c>
      <c r="AE310" s="81" t="s">
        <v>153</v>
      </c>
      <c r="AF310" s="81" t="s">
        <v>39</v>
      </c>
      <c r="AG310" s="83">
        <v>18934</v>
      </c>
      <c r="AH310" s="95">
        <v>346827.08</v>
      </c>
      <c r="AI310" s="82" t="str">
        <f>CONCATENATE((TEXT(Tabela1[[#This Row],[Data entrega]],"mmmm")),"_",(YEAR(Tabela1[[#This Row],[Data entrega]])))</f>
        <v>agosto_2022</v>
      </c>
      <c r="AJ310" s="77">
        <f>IFERROR(IF(Tabela1[[#This Row],[Programa]]="",Tabela1[[#This Row],[Peso bruto]],VLOOKUP(Tabela1[[#This Row],[Pedido]],'Saldo a Produzir'!$A:$D,4,0)),"")</f>
        <v>18934</v>
      </c>
      <c r="AM310" s="73">
        <v>18934</v>
      </c>
    </row>
    <row r="311" spans="1:39" ht="14.5" x14ac:dyDescent="0.35">
      <c r="A311" s="81">
        <v>15057</v>
      </c>
      <c r="B311" s="81" t="s">
        <v>60</v>
      </c>
      <c r="C311" s="81">
        <v>93976017000160</v>
      </c>
      <c r="D311" s="81" t="s">
        <v>881</v>
      </c>
      <c r="E311" s="81" t="s">
        <v>882</v>
      </c>
      <c r="F311" s="81" t="s">
        <v>58</v>
      </c>
      <c r="G311" s="81">
        <v>26058</v>
      </c>
      <c r="H311" s="81" t="s">
        <v>88</v>
      </c>
      <c r="I311" s="81" t="s">
        <v>32</v>
      </c>
      <c r="J311" s="81" t="s">
        <v>33</v>
      </c>
      <c r="K311" s="81" t="s">
        <v>34</v>
      </c>
      <c r="L311" s="81" t="s">
        <v>883</v>
      </c>
      <c r="M311" s="81">
        <v>47230</v>
      </c>
      <c r="N311" s="90">
        <v>44685</v>
      </c>
      <c r="O311" s="90">
        <v>44778</v>
      </c>
      <c r="P311" s="90">
        <v>44685</v>
      </c>
      <c r="Q311" s="90" t="s">
        <v>35</v>
      </c>
      <c r="R311" s="81">
        <v>0</v>
      </c>
      <c r="S311" s="90" t="s">
        <v>35</v>
      </c>
      <c r="T311" s="81">
        <v>0</v>
      </c>
      <c r="U311" s="81" t="s">
        <v>36</v>
      </c>
      <c r="V311" s="90" t="s">
        <v>35</v>
      </c>
      <c r="W311" s="81" t="s">
        <v>912</v>
      </c>
      <c r="X311" s="90">
        <v>44691</v>
      </c>
      <c r="Y311" s="81" t="s">
        <v>38</v>
      </c>
      <c r="Z311" s="81">
        <v>2000</v>
      </c>
      <c r="AA311" s="81" t="s">
        <v>154</v>
      </c>
      <c r="AB311" s="81">
        <v>0</v>
      </c>
      <c r="AC311" s="81"/>
      <c r="AD311" s="81">
        <v>0</v>
      </c>
      <c r="AE311" s="81" t="s">
        <v>153</v>
      </c>
      <c r="AF311" s="81" t="s">
        <v>39</v>
      </c>
      <c r="AG311" s="83">
        <v>136.04999999999998</v>
      </c>
      <c r="AH311" s="95">
        <v>4033.56</v>
      </c>
      <c r="AI311" s="82" t="str">
        <f>CONCATENATE((TEXT(Tabela1[[#This Row],[Data entrega]],"mmmm")),"_",(YEAR(Tabela1[[#This Row],[Data entrega]])))</f>
        <v>agosto_2022</v>
      </c>
      <c r="AJ311" s="77">
        <f>IFERROR(IF(Tabela1[[#This Row],[Programa]]="",Tabela1[[#This Row],[Peso bruto]],VLOOKUP(Tabela1[[#This Row],[Pedido]],'Saldo a Produzir'!$A:$D,4,0)),"")</f>
        <v>136.04999999999998</v>
      </c>
      <c r="AM311" s="73">
        <v>143.56899999999999</v>
      </c>
    </row>
    <row r="312" spans="1:39" ht="14.5" x14ac:dyDescent="0.35">
      <c r="A312" s="81">
        <v>15907</v>
      </c>
      <c r="B312" s="81" t="s">
        <v>272</v>
      </c>
      <c r="C312" s="81">
        <v>64858525013980</v>
      </c>
      <c r="D312" s="81" t="s">
        <v>281</v>
      </c>
      <c r="E312" s="81" t="s">
        <v>133</v>
      </c>
      <c r="F312" s="81" t="s">
        <v>53</v>
      </c>
      <c r="G312" s="81">
        <v>26076</v>
      </c>
      <c r="H312" s="81" t="s">
        <v>87</v>
      </c>
      <c r="I312" s="81" t="s">
        <v>32</v>
      </c>
      <c r="J312" s="81" t="s">
        <v>33</v>
      </c>
      <c r="K312" s="81" t="s">
        <v>34</v>
      </c>
      <c r="L312" s="81" t="s">
        <v>884</v>
      </c>
      <c r="M312" s="81">
        <v>6500514503</v>
      </c>
      <c r="N312" s="90">
        <v>44687</v>
      </c>
      <c r="O312" s="90">
        <v>44778</v>
      </c>
      <c r="P312" s="90">
        <v>44687</v>
      </c>
      <c r="Q312" s="90" t="s">
        <v>35</v>
      </c>
      <c r="R312" s="81">
        <v>0</v>
      </c>
      <c r="S312" s="90" t="s">
        <v>35</v>
      </c>
      <c r="T312" s="81">
        <v>0</v>
      </c>
      <c r="U312" s="81" t="s">
        <v>36</v>
      </c>
      <c r="V312" s="90" t="s">
        <v>35</v>
      </c>
      <c r="W312" s="81" t="s">
        <v>912</v>
      </c>
      <c r="X312" s="90">
        <v>44691</v>
      </c>
      <c r="Y312" s="81" t="s">
        <v>38</v>
      </c>
      <c r="Z312" s="81">
        <v>44</v>
      </c>
      <c r="AA312" s="81" t="s">
        <v>151</v>
      </c>
      <c r="AB312" s="81">
        <v>0</v>
      </c>
      <c r="AC312" s="81"/>
      <c r="AD312" s="81">
        <v>0</v>
      </c>
      <c r="AE312" s="81" t="s">
        <v>153</v>
      </c>
      <c r="AF312" s="81" t="s">
        <v>39</v>
      </c>
      <c r="AG312" s="83">
        <v>1.0900000000000001</v>
      </c>
      <c r="AH312" s="95">
        <v>6711.25</v>
      </c>
      <c r="AI312" s="82" t="str">
        <f>CONCATENATE((TEXT(Tabela1[[#This Row],[Data entrega]],"mmmm")),"_",(YEAR(Tabela1[[#This Row],[Data entrega]])))</f>
        <v>agosto_2022</v>
      </c>
      <c r="AJ312" s="77">
        <f>IFERROR(IF(Tabela1[[#This Row],[Programa]]="",Tabela1[[#This Row],[Peso bruto]],VLOOKUP(Tabela1[[#This Row],[Pedido]],'Saldo a Produzir'!$A:$D,4,0)),"")</f>
        <v>0</v>
      </c>
      <c r="AM312" s="73">
        <v>288.31299999999999</v>
      </c>
    </row>
    <row r="313" spans="1:39" ht="14.5" x14ac:dyDescent="0.35">
      <c r="A313" s="81">
        <v>15069</v>
      </c>
      <c r="B313" s="81" t="s">
        <v>297</v>
      </c>
      <c r="C313" s="81">
        <v>60945169000570</v>
      </c>
      <c r="D313" s="81" t="s">
        <v>1190</v>
      </c>
      <c r="E313" s="81" t="s">
        <v>1191</v>
      </c>
      <c r="F313" s="81" t="s">
        <v>33</v>
      </c>
      <c r="G313" s="81">
        <v>26271</v>
      </c>
      <c r="H313" s="81" t="s">
        <v>88</v>
      </c>
      <c r="I313" s="81" t="s">
        <v>32</v>
      </c>
      <c r="J313" s="81" t="s">
        <v>33</v>
      </c>
      <c r="K313" s="81" t="s">
        <v>34</v>
      </c>
      <c r="L313" s="81" t="s">
        <v>1192</v>
      </c>
      <c r="M313" s="81"/>
      <c r="N313" s="90">
        <v>44712</v>
      </c>
      <c r="O313" s="90">
        <v>44778</v>
      </c>
      <c r="P313" s="90">
        <v>44712</v>
      </c>
      <c r="Q313" s="90" t="s">
        <v>35</v>
      </c>
      <c r="R313" s="81">
        <v>0</v>
      </c>
      <c r="S313" s="90" t="s">
        <v>35</v>
      </c>
      <c r="T313" s="81">
        <v>0</v>
      </c>
      <c r="U313" s="81" t="s">
        <v>36</v>
      </c>
      <c r="V313" s="90" t="s">
        <v>35</v>
      </c>
      <c r="W313" s="81" t="s">
        <v>1422</v>
      </c>
      <c r="X313" s="90">
        <v>44715</v>
      </c>
      <c r="Y313" s="81" t="s">
        <v>38</v>
      </c>
      <c r="Z313" s="81">
        <v>0</v>
      </c>
      <c r="AA313" s="81"/>
      <c r="AB313" s="81">
        <v>0</v>
      </c>
      <c r="AC313" s="81"/>
      <c r="AD313" s="81">
        <v>0</v>
      </c>
      <c r="AE313" s="81" t="s">
        <v>153</v>
      </c>
      <c r="AF313" s="81" t="s">
        <v>39</v>
      </c>
      <c r="AG313" s="83">
        <v>237.53</v>
      </c>
      <c r="AH313" s="95">
        <v>93888.77</v>
      </c>
      <c r="AI313" s="82" t="str">
        <f>CONCATENATE((TEXT(Tabela1[[#This Row],[Data entrega]],"mmmm")),"_",(YEAR(Tabela1[[#This Row],[Data entrega]])))</f>
        <v>agosto_2022</v>
      </c>
      <c r="AJ313" s="77">
        <f>IFERROR(IF(Tabela1[[#This Row],[Programa]]="",Tabela1[[#This Row],[Peso bruto]],VLOOKUP(Tabela1[[#This Row],[Pedido]],'Saldo a Produzir'!$A:$D,4,0)),"")</f>
        <v>232.57</v>
      </c>
      <c r="AM313" s="73">
        <v>3993.2530000000002</v>
      </c>
    </row>
    <row r="314" spans="1:39" ht="14.5" x14ac:dyDescent="0.35">
      <c r="A314" s="81">
        <v>15069</v>
      </c>
      <c r="B314" s="81" t="s">
        <v>297</v>
      </c>
      <c r="C314" s="81">
        <v>60945169000570</v>
      </c>
      <c r="D314" s="81" t="s">
        <v>1190</v>
      </c>
      <c r="E314" s="81" t="s">
        <v>1191</v>
      </c>
      <c r="F314" s="81" t="s">
        <v>33</v>
      </c>
      <c r="G314" s="81">
        <v>26273</v>
      </c>
      <c r="H314" s="81" t="s">
        <v>88</v>
      </c>
      <c r="I314" s="81" t="s">
        <v>32</v>
      </c>
      <c r="J314" s="81" t="s">
        <v>33</v>
      </c>
      <c r="K314" s="81" t="s">
        <v>34</v>
      </c>
      <c r="L314" s="81" t="s">
        <v>1193</v>
      </c>
      <c r="M314" s="81"/>
      <c r="N314" s="90">
        <v>44712</v>
      </c>
      <c r="O314" s="90">
        <v>44778</v>
      </c>
      <c r="P314" s="90">
        <v>44712</v>
      </c>
      <c r="Q314" s="90" t="s">
        <v>35</v>
      </c>
      <c r="R314" s="81">
        <v>0</v>
      </c>
      <c r="S314" s="90" t="s">
        <v>35</v>
      </c>
      <c r="T314" s="81">
        <v>0</v>
      </c>
      <c r="U314" s="81" t="s">
        <v>36</v>
      </c>
      <c r="V314" s="90" t="s">
        <v>35</v>
      </c>
      <c r="W314" s="81" t="s">
        <v>1433</v>
      </c>
      <c r="X314" s="90">
        <v>44719</v>
      </c>
      <c r="Y314" s="81" t="s">
        <v>38</v>
      </c>
      <c r="Z314" s="81">
        <v>0</v>
      </c>
      <c r="AA314" s="81"/>
      <c r="AB314" s="81">
        <v>0</v>
      </c>
      <c r="AC314" s="81"/>
      <c r="AD314" s="81">
        <v>0</v>
      </c>
      <c r="AE314" s="81" t="s">
        <v>153</v>
      </c>
      <c r="AF314" s="81" t="s">
        <v>39</v>
      </c>
      <c r="AG314" s="83">
        <v>225.16</v>
      </c>
      <c r="AH314" s="95">
        <v>44285.87</v>
      </c>
      <c r="AI314" s="82" t="str">
        <f>CONCATENATE((TEXT(Tabela1[[#This Row],[Data entrega]],"mmmm")),"_",(YEAR(Tabela1[[#This Row],[Data entrega]])))</f>
        <v>agosto_2022</v>
      </c>
      <c r="AJ314" s="77">
        <f>IFERROR(IF(Tabela1[[#This Row],[Programa]]="",Tabela1[[#This Row],[Peso bruto]],VLOOKUP(Tabela1[[#This Row],[Pedido]],'Saldo a Produzir'!$A:$D,4,0)),"")</f>
        <v>212.43</v>
      </c>
      <c r="AM314" s="73">
        <v>1968.6179999999999</v>
      </c>
    </row>
    <row r="315" spans="1:39" ht="14.5" x14ac:dyDescent="0.35">
      <c r="A315" s="81">
        <v>15063</v>
      </c>
      <c r="B315" s="81" t="s">
        <v>71</v>
      </c>
      <c r="C315" s="81">
        <v>46044053004607</v>
      </c>
      <c r="D315" s="81" t="s">
        <v>885</v>
      </c>
      <c r="E315" s="81" t="s">
        <v>68</v>
      </c>
      <c r="F315" s="81" t="s">
        <v>54</v>
      </c>
      <c r="G315" s="81">
        <v>26075</v>
      </c>
      <c r="H315" s="81" t="s">
        <v>87</v>
      </c>
      <c r="I315" s="81" t="s">
        <v>32</v>
      </c>
      <c r="J315" s="81" t="s">
        <v>33</v>
      </c>
      <c r="K315" s="81" t="s">
        <v>34</v>
      </c>
      <c r="L315" s="81" t="s">
        <v>886</v>
      </c>
      <c r="M315" s="81">
        <v>27499</v>
      </c>
      <c r="N315" s="90">
        <v>44687</v>
      </c>
      <c r="O315" s="90">
        <v>44778</v>
      </c>
      <c r="P315" s="90">
        <v>44687</v>
      </c>
      <c r="Q315" s="90" t="s">
        <v>35</v>
      </c>
      <c r="R315" s="81">
        <v>0</v>
      </c>
      <c r="S315" s="90" t="s">
        <v>35</v>
      </c>
      <c r="T315" s="81">
        <v>0</v>
      </c>
      <c r="U315" s="81" t="s">
        <v>36</v>
      </c>
      <c r="V315" s="90" t="s">
        <v>35</v>
      </c>
      <c r="W315" s="81" t="s">
        <v>912</v>
      </c>
      <c r="X315" s="90">
        <v>44691</v>
      </c>
      <c r="Y315" s="81" t="s">
        <v>38</v>
      </c>
      <c r="Z315" s="81">
        <v>0</v>
      </c>
      <c r="AA315" s="81"/>
      <c r="AB315" s="81">
        <v>0</v>
      </c>
      <c r="AC315" s="81"/>
      <c r="AD315" s="81">
        <v>0</v>
      </c>
      <c r="AE315" s="81" t="s">
        <v>153</v>
      </c>
      <c r="AF315" s="81" t="s">
        <v>39</v>
      </c>
      <c r="AG315" s="83">
        <v>5501.21</v>
      </c>
      <c r="AH315" s="95">
        <v>202370</v>
      </c>
      <c r="AI315" s="82" t="str">
        <f>CONCATENATE((TEXT(Tabela1[[#This Row],[Data entrega]],"mmmm")),"_",(YEAR(Tabela1[[#This Row],[Data entrega]])))</f>
        <v>agosto_2022</v>
      </c>
      <c r="AJ315" s="77">
        <f>IFERROR(IF(Tabela1[[#This Row],[Programa]]="",Tabela1[[#This Row],[Peso bruto]],VLOOKUP(Tabela1[[#This Row],[Pedido]],'Saldo a Produzir'!$A:$D,4,0)),"")</f>
        <v>5403.3399999999992</v>
      </c>
      <c r="AM315" s="73">
        <v>11739.146000000001</v>
      </c>
    </row>
    <row r="316" spans="1:39" ht="14.5" x14ac:dyDescent="0.35">
      <c r="A316" s="81">
        <v>15057</v>
      </c>
      <c r="B316" s="81" t="s">
        <v>60</v>
      </c>
      <c r="C316" s="81">
        <v>24230368000104</v>
      </c>
      <c r="D316" s="81" t="s">
        <v>1244</v>
      </c>
      <c r="E316" s="81" t="s">
        <v>1245</v>
      </c>
      <c r="F316" s="81" t="s">
        <v>58</v>
      </c>
      <c r="G316" s="81">
        <v>26300</v>
      </c>
      <c r="H316" s="81" t="s">
        <v>87</v>
      </c>
      <c r="I316" s="81" t="s">
        <v>32</v>
      </c>
      <c r="J316" s="81" t="s">
        <v>33</v>
      </c>
      <c r="K316" s="81" t="s">
        <v>34</v>
      </c>
      <c r="L316" s="81" t="s">
        <v>1246</v>
      </c>
      <c r="M316" s="81">
        <v>3180</v>
      </c>
      <c r="N316" s="90">
        <v>44712</v>
      </c>
      <c r="O316" s="90">
        <v>44778</v>
      </c>
      <c r="P316" s="90">
        <v>44718</v>
      </c>
      <c r="Q316" s="90" t="s">
        <v>35</v>
      </c>
      <c r="R316" s="81">
        <v>0</v>
      </c>
      <c r="S316" s="90" t="s">
        <v>35</v>
      </c>
      <c r="T316" s="81">
        <v>0</v>
      </c>
      <c r="U316" s="81" t="s">
        <v>36</v>
      </c>
      <c r="V316" s="90" t="s">
        <v>35</v>
      </c>
      <c r="W316" s="81" t="s">
        <v>1433</v>
      </c>
      <c r="X316" s="90">
        <v>44719</v>
      </c>
      <c r="Y316" s="81" t="s">
        <v>38</v>
      </c>
      <c r="Z316" s="81">
        <v>2257</v>
      </c>
      <c r="AA316" s="81" t="s">
        <v>155</v>
      </c>
      <c r="AB316" s="81">
        <v>0</v>
      </c>
      <c r="AC316" s="81"/>
      <c r="AD316" s="81">
        <v>0</v>
      </c>
      <c r="AE316" s="81" t="s">
        <v>153</v>
      </c>
      <c r="AF316" s="81" t="s">
        <v>39</v>
      </c>
      <c r="AG316" s="83">
        <v>254.25</v>
      </c>
      <c r="AH316" s="95">
        <v>10584.16</v>
      </c>
      <c r="AI316" s="82" t="str">
        <f>CONCATENATE((TEXT(Tabela1[[#This Row],[Data entrega]],"mmmm")),"_",(YEAR(Tabela1[[#This Row],[Data entrega]])))</f>
        <v>agosto_2022</v>
      </c>
      <c r="AJ316" s="77">
        <f>IFERROR(IF(Tabela1[[#This Row],[Programa]]="",Tabela1[[#This Row],[Peso bruto]],VLOOKUP(Tabela1[[#This Row],[Pedido]],'Saldo a Produzir'!$A:$D,4,0)),"")</f>
        <v>253.52</v>
      </c>
      <c r="AM316" s="73">
        <v>484.40600000000001</v>
      </c>
    </row>
    <row r="317" spans="1:39" ht="14.5" x14ac:dyDescent="0.35">
      <c r="A317" s="81">
        <v>15064</v>
      </c>
      <c r="B317" s="81" t="s">
        <v>67</v>
      </c>
      <c r="C317" s="81">
        <v>29397307000150</v>
      </c>
      <c r="D317" s="81" t="s">
        <v>860</v>
      </c>
      <c r="E317" s="81" t="s">
        <v>861</v>
      </c>
      <c r="F317" s="81" t="s">
        <v>44</v>
      </c>
      <c r="G317" s="81">
        <v>26019</v>
      </c>
      <c r="H317" s="81" t="s">
        <v>88</v>
      </c>
      <c r="I317" s="81" t="s">
        <v>32</v>
      </c>
      <c r="J317" s="81" t="s">
        <v>33</v>
      </c>
      <c r="K317" s="81" t="s">
        <v>34</v>
      </c>
      <c r="L317" s="81" t="s">
        <v>862</v>
      </c>
      <c r="M317" s="81">
        <v>46160</v>
      </c>
      <c r="N317" s="90">
        <v>44680</v>
      </c>
      <c r="O317" s="90">
        <v>44778</v>
      </c>
      <c r="P317" s="90">
        <v>44684</v>
      </c>
      <c r="Q317" s="90" t="s">
        <v>35</v>
      </c>
      <c r="R317" s="81">
        <v>0</v>
      </c>
      <c r="S317" s="90" t="s">
        <v>35</v>
      </c>
      <c r="T317" s="81">
        <v>0</v>
      </c>
      <c r="U317" s="81" t="s">
        <v>36</v>
      </c>
      <c r="V317" s="90" t="s">
        <v>35</v>
      </c>
      <c r="W317" s="81" t="s">
        <v>913</v>
      </c>
      <c r="X317" s="90">
        <v>44690</v>
      </c>
      <c r="Y317" s="81" t="s">
        <v>38</v>
      </c>
      <c r="Z317" s="81">
        <v>0</v>
      </c>
      <c r="AA317" s="81"/>
      <c r="AB317" s="81">
        <v>0</v>
      </c>
      <c r="AC317" s="81"/>
      <c r="AD317" s="81">
        <v>0</v>
      </c>
      <c r="AE317" s="81" t="s">
        <v>153</v>
      </c>
      <c r="AF317" s="81" t="s">
        <v>39</v>
      </c>
      <c r="AG317" s="83">
        <v>3625.63</v>
      </c>
      <c r="AH317" s="95">
        <v>139387.5</v>
      </c>
      <c r="AI317" s="82" t="str">
        <f>CONCATENATE((TEXT(Tabela1[[#This Row],[Data entrega]],"mmmm")),"_",(YEAR(Tabela1[[#This Row],[Data entrega]])))</f>
        <v>agosto_2022</v>
      </c>
      <c r="AJ317" s="77">
        <f>IFERROR(IF(Tabela1[[#This Row],[Programa]]="",Tabela1[[#This Row],[Peso bruto]],VLOOKUP(Tabela1[[#This Row],[Pedido]],'Saldo a Produzir'!$A:$D,4,0)),"")</f>
        <v>2486.4500000000003</v>
      </c>
      <c r="AM317" s="73">
        <v>5143.3119999999999</v>
      </c>
    </row>
    <row r="318" spans="1:39" ht="14.5" x14ac:dyDescent="0.35">
      <c r="A318" s="81">
        <v>15059</v>
      </c>
      <c r="B318" s="81" t="s">
        <v>63</v>
      </c>
      <c r="C318" s="81">
        <v>1333984000276</v>
      </c>
      <c r="D318" s="81" t="s">
        <v>163</v>
      </c>
      <c r="E318" s="81" t="s">
        <v>164</v>
      </c>
      <c r="F318" s="81" t="s">
        <v>64</v>
      </c>
      <c r="G318" s="81">
        <v>25336</v>
      </c>
      <c r="H318" s="81" t="s">
        <v>88</v>
      </c>
      <c r="I318" s="81" t="s">
        <v>32</v>
      </c>
      <c r="J318" s="81" t="s">
        <v>33</v>
      </c>
      <c r="K318" s="81" t="s">
        <v>34</v>
      </c>
      <c r="L318" s="81" t="s">
        <v>470</v>
      </c>
      <c r="M318" s="81"/>
      <c r="N318" s="90">
        <v>44586</v>
      </c>
      <c r="O318" s="90">
        <v>44778</v>
      </c>
      <c r="P318" s="90">
        <v>44588</v>
      </c>
      <c r="Q318" s="90" t="s">
        <v>35</v>
      </c>
      <c r="R318" s="81">
        <v>0</v>
      </c>
      <c r="S318" s="90" t="s">
        <v>35</v>
      </c>
      <c r="T318" s="81">
        <v>0</v>
      </c>
      <c r="U318" s="81" t="s">
        <v>36</v>
      </c>
      <c r="V318" s="90" t="s">
        <v>35</v>
      </c>
      <c r="W318" s="81" t="s">
        <v>503</v>
      </c>
      <c r="X318" s="90">
        <v>44608</v>
      </c>
      <c r="Y318" s="81" t="s">
        <v>38</v>
      </c>
      <c r="Z318" s="81">
        <v>2257</v>
      </c>
      <c r="AA318" s="81" t="s">
        <v>155</v>
      </c>
      <c r="AB318" s="81">
        <v>0</v>
      </c>
      <c r="AC318" s="81"/>
      <c r="AD318" s="81">
        <v>0</v>
      </c>
      <c r="AE318" s="81" t="s">
        <v>153</v>
      </c>
      <c r="AF318" s="81" t="s">
        <v>39</v>
      </c>
      <c r="AG318" s="83">
        <v>170.22</v>
      </c>
      <c r="AH318" s="95">
        <v>20945.3</v>
      </c>
      <c r="AI318" s="82" t="str">
        <f>CONCATENATE((TEXT(Tabela1[[#This Row],[Data entrega]],"mmmm")),"_",(YEAR(Tabela1[[#This Row],[Data entrega]])))</f>
        <v>agosto_2022</v>
      </c>
      <c r="AJ318" s="77">
        <f>IFERROR(IF(Tabela1[[#This Row],[Programa]]="",Tabela1[[#This Row],[Peso bruto]],VLOOKUP(Tabela1[[#This Row],[Pedido]],'Saldo a Produzir'!$A:$D,4,0)),"")</f>
        <v>168.81</v>
      </c>
      <c r="AM318" s="73">
        <v>468.041</v>
      </c>
    </row>
    <row r="319" spans="1:39" ht="14.5" x14ac:dyDescent="0.35">
      <c r="A319" s="81">
        <v>15059</v>
      </c>
      <c r="B319" s="81" t="s">
        <v>63</v>
      </c>
      <c r="C319" s="81">
        <v>1333984000276</v>
      </c>
      <c r="D319" s="81" t="s">
        <v>163</v>
      </c>
      <c r="E319" s="81" t="s">
        <v>164</v>
      </c>
      <c r="F319" s="81" t="s">
        <v>64</v>
      </c>
      <c r="G319" s="81">
        <v>25337</v>
      </c>
      <c r="H319" s="81"/>
      <c r="I319" s="81" t="s">
        <v>32</v>
      </c>
      <c r="J319" s="81" t="s">
        <v>33</v>
      </c>
      <c r="K319" s="81" t="s">
        <v>34</v>
      </c>
      <c r="L319" s="81" t="s">
        <v>470</v>
      </c>
      <c r="M319" s="81"/>
      <c r="N319" s="90">
        <v>44586</v>
      </c>
      <c r="O319" s="90">
        <v>44778</v>
      </c>
      <c r="P319" s="90">
        <v>44635</v>
      </c>
      <c r="Q319" s="90" t="s">
        <v>35</v>
      </c>
      <c r="R319" s="81">
        <v>0</v>
      </c>
      <c r="S319" s="90" t="s">
        <v>35</v>
      </c>
      <c r="T319" s="81">
        <v>0</v>
      </c>
      <c r="U319" s="81" t="s">
        <v>36</v>
      </c>
      <c r="V319" s="90" t="s">
        <v>35</v>
      </c>
      <c r="W319" s="81" t="s">
        <v>577</v>
      </c>
      <c r="X319" s="90">
        <v>44610</v>
      </c>
      <c r="Y319" s="81" t="s">
        <v>38</v>
      </c>
      <c r="Z319" s="81">
        <v>2257</v>
      </c>
      <c r="AA319" s="81" t="s">
        <v>155</v>
      </c>
      <c r="AB319" s="81">
        <v>0</v>
      </c>
      <c r="AC319" s="81"/>
      <c r="AD319" s="81">
        <v>0</v>
      </c>
      <c r="AE319" s="81" t="s">
        <v>153</v>
      </c>
      <c r="AF319" s="81" t="s">
        <v>39</v>
      </c>
      <c r="AG319" s="83">
        <v>192.28</v>
      </c>
      <c r="AH319" s="95">
        <v>38166</v>
      </c>
      <c r="AI319" s="82" t="str">
        <f>CONCATENATE((TEXT(Tabela1[[#This Row],[Data entrega]],"mmmm")),"_",(YEAR(Tabela1[[#This Row],[Data entrega]])))</f>
        <v>agosto_2022</v>
      </c>
      <c r="AJ319" s="77">
        <f>IFERROR(IF(Tabela1[[#This Row],[Programa]]="",Tabela1[[#This Row],[Peso bruto]],VLOOKUP(Tabela1[[#This Row],[Pedido]],'Saldo a Produzir'!$A:$D,4,0)),"")</f>
        <v>190.17</v>
      </c>
      <c r="AM319" s="73">
        <v>771.62699999999995</v>
      </c>
    </row>
    <row r="320" spans="1:39" ht="14.5" x14ac:dyDescent="0.35">
      <c r="A320" s="81">
        <v>15080</v>
      </c>
      <c r="B320" s="81" t="s">
        <v>550</v>
      </c>
      <c r="C320" s="81">
        <v>1236358000180</v>
      </c>
      <c r="D320" s="81" t="s">
        <v>1459</v>
      </c>
      <c r="E320" s="81" t="s">
        <v>1460</v>
      </c>
      <c r="F320" s="81" t="s">
        <v>44</v>
      </c>
      <c r="G320" s="81">
        <v>26331</v>
      </c>
      <c r="H320" s="81" t="s">
        <v>88</v>
      </c>
      <c r="I320" s="81" t="s">
        <v>32</v>
      </c>
      <c r="J320" s="81" t="s">
        <v>33</v>
      </c>
      <c r="K320" s="81" t="s">
        <v>34</v>
      </c>
      <c r="L320" s="81" t="s">
        <v>1461</v>
      </c>
      <c r="M320" s="81"/>
      <c r="N320" s="90">
        <v>44720</v>
      </c>
      <c r="O320" s="90">
        <v>44778</v>
      </c>
      <c r="P320" s="90">
        <v>44720</v>
      </c>
      <c r="Q320" s="90" t="s">
        <v>35</v>
      </c>
      <c r="R320" s="81">
        <v>0</v>
      </c>
      <c r="S320" s="90" t="s">
        <v>35</v>
      </c>
      <c r="T320" s="81">
        <v>0</v>
      </c>
      <c r="U320" s="81" t="s">
        <v>36</v>
      </c>
      <c r="V320" s="90" t="s">
        <v>35</v>
      </c>
      <c r="W320" s="81"/>
      <c r="X320" s="90" t="s">
        <v>37</v>
      </c>
      <c r="Y320" s="81" t="s">
        <v>38</v>
      </c>
      <c r="Z320" s="81">
        <v>2257</v>
      </c>
      <c r="AA320" s="81" t="s">
        <v>155</v>
      </c>
      <c r="AB320" s="81">
        <v>0</v>
      </c>
      <c r="AC320" s="81"/>
      <c r="AD320" s="81">
        <v>0</v>
      </c>
      <c r="AE320" s="81" t="s">
        <v>153</v>
      </c>
      <c r="AF320" s="81" t="s">
        <v>39</v>
      </c>
      <c r="AG320" s="83">
        <v>12935</v>
      </c>
      <c r="AH320" s="95">
        <v>207000</v>
      </c>
      <c r="AI320" s="82" t="str">
        <f>CONCATENATE((TEXT(Tabela1[[#This Row],[Data entrega]],"mmmm")),"_",(YEAR(Tabela1[[#This Row],[Data entrega]])))</f>
        <v>agosto_2022</v>
      </c>
      <c r="AJ320" s="77">
        <f>IFERROR(IF(Tabela1[[#This Row],[Programa]]="",Tabela1[[#This Row],[Peso bruto]],VLOOKUP(Tabela1[[#This Row],[Pedido]],'Saldo a Produzir'!$A:$D,4,0)),"")</f>
        <v>12935</v>
      </c>
      <c r="AM320" s="73">
        <v>12935</v>
      </c>
    </row>
    <row r="321" spans="1:39" ht="14.5" x14ac:dyDescent="0.35">
      <c r="A321" s="81">
        <v>15059</v>
      </c>
      <c r="B321" s="81" t="s">
        <v>63</v>
      </c>
      <c r="C321" s="81">
        <v>83259945000150</v>
      </c>
      <c r="D321" s="81" t="s">
        <v>1196</v>
      </c>
      <c r="E321" s="81" t="s">
        <v>1197</v>
      </c>
      <c r="F321" s="81" t="s">
        <v>64</v>
      </c>
      <c r="G321" s="81">
        <v>26257</v>
      </c>
      <c r="H321" s="81" t="s">
        <v>88</v>
      </c>
      <c r="I321" s="81" t="s">
        <v>32</v>
      </c>
      <c r="J321" s="81" t="s">
        <v>33</v>
      </c>
      <c r="K321" s="81" t="s">
        <v>34</v>
      </c>
      <c r="L321" s="81" t="s">
        <v>1198</v>
      </c>
      <c r="M321" s="81"/>
      <c r="N321" s="90">
        <v>44711</v>
      </c>
      <c r="O321" s="90">
        <v>44778</v>
      </c>
      <c r="P321" s="90">
        <v>44721</v>
      </c>
      <c r="Q321" s="90" t="s">
        <v>35</v>
      </c>
      <c r="R321" s="81">
        <v>0</v>
      </c>
      <c r="S321" s="90" t="s">
        <v>35</v>
      </c>
      <c r="T321" s="81">
        <v>0</v>
      </c>
      <c r="U321" s="81" t="s">
        <v>36</v>
      </c>
      <c r="V321" s="90" t="s">
        <v>35</v>
      </c>
      <c r="W321" s="81"/>
      <c r="X321" s="90" t="s">
        <v>37</v>
      </c>
      <c r="Y321" s="81" t="s">
        <v>38</v>
      </c>
      <c r="Z321" s="81">
        <v>2189</v>
      </c>
      <c r="AA321" s="81" t="s">
        <v>1199</v>
      </c>
      <c r="AB321" s="81">
        <v>0</v>
      </c>
      <c r="AC321" s="81"/>
      <c r="AD321" s="81">
        <v>0</v>
      </c>
      <c r="AE321" s="81" t="s">
        <v>153</v>
      </c>
      <c r="AF321" s="81" t="s">
        <v>39</v>
      </c>
      <c r="AG321" s="83">
        <v>452.38299999999998</v>
      </c>
      <c r="AH321" s="95">
        <v>10505.69</v>
      </c>
      <c r="AI321" s="82" t="str">
        <f>CONCATENATE((TEXT(Tabela1[[#This Row],[Data entrega]],"mmmm")),"_",(YEAR(Tabela1[[#This Row],[Data entrega]])))</f>
        <v>agosto_2022</v>
      </c>
      <c r="AJ321" s="77">
        <f>IFERROR(IF(Tabela1[[#This Row],[Programa]]="",Tabela1[[#This Row],[Peso bruto]],VLOOKUP(Tabela1[[#This Row],[Pedido]],'Saldo a Produzir'!$A:$D,4,0)),"")</f>
        <v>452.38299999999998</v>
      </c>
      <c r="AM321" s="73">
        <v>452.38299999999998</v>
      </c>
    </row>
    <row r="322" spans="1:39" ht="14.5" x14ac:dyDescent="0.35">
      <c r="A322" s="81">
        <v>15074</v>
      </c>
      <c r="B322" s="81" t="s">
        <v>161</v>
      </c>
      <c r="C322" s="81">
        <v>1808103000226</v>
      </c>
      <c r="D322" s="81" t="s">
        <v>217</v>
      </c>
      <c r="E322" s="81" t="s">
        <v>1117</v>
      </c>
      <c r="F322" s="81" t="s">
        <v>44</v>
      </c>
      <c r="G322" s="81">
        <v>26285</v>
      </c>
      <c r="H322" s="81" t="s">
        <v>87</v>
      </c>
      <c r="I322" s="81" t="s">
        <v>32</v>
      </c>
      <c r="J322" s="81" t="s">
        <v>33</v>
      </c>
      <c r="K322" s="81" t="s">
        <v>34</v>
      </c>
      <c r="L322" s="81" t="s">
        <v>1200</v>
      </c>
      <c r="M322" s="81">
        <v>4502456012</v>
      </c>
      <c r="N322" s="90">
        <v>44712</v>
      </c>
      <c r="O322" s="90">
        <v>44778</v>
      </c>
      <c r="P322" s="90">
        <v>44713</v>
      </c>
      <c r="Q322" s="90" t="s">
        <v>35</v>
      </c>
      <c r="R322" s="81">
        <v>0</v>
      </c>
      <c r="S322" s="90" t="s">
        <v>35</v>
      </c>
      <c r="T322" s="81">
        <v>0</v>
      </c>
      <c r="U322" s="81" t="s">
        <v>36</v>
      </c>
      <c r="V322" s="90" t="s">
        <v>35</v>
      </c>
      <c r="W322" s="81" t="s">
        <v>1433</v>
      </c>
      <c r="X322" s="90">
        <v>44719</v>
      </c>
      <c r="Y322" s="81" t="s">
        <v>38</v>
      </c>
      <c r="Z322" s="81">
        <v>44</v>
      </c>
      <c r="AA322" s="81" t="s">
        <v>151</v>
      </c>
      <c r="AB322" s="81">
        <v>0</v>
      </c>
      <c r="AC322" s="81"/>
      <c r="AD322" s="81">
        <v>0</v>
      </c>
      <c r="AE322" s="81"/>
      <c r="AF322" s="81" t="s">
        <v>39</v>
      </c>
      <c r="AG322" s="83">
        <v>51.44</v>
      </c>
      <c r="AH322" s="95">
        <v>7743.75</v>
      </c>
      <c r="AI322" s="82" t="str">
        <f>CONCATENATE((TEXT(Tabela1[[#This Row],[Data entrega]],"mmmm")),"_",(YEAR(Tabela1[[#This Row],[Data entrega]])))</f>
        <v>agosto_2022</v>
      </c>
      <c r="AJ322" s="77">
        <f>IFERROR(IF(Tabela1[[#This Row],[Programa]]="",Tabela1[[#This Row],[Peso bruto]],VLOOKUP(Tabela1[[#This Row],[Pedido]],'Saldo a Produzir'!$A:$D,4,0)),"")</f>
        <v>51.44</v>
      </c>
      <c r="AM322" s="73">
        <v>200.68</v>
      </c>
    </row>
    <row r="323" spans="1:39" ht="14.5" x14ac:dyDescent="0.35">
      <c r="A323" s="81">
        <v>15020</v>
      </c>
      <c r="B323" s="81" t="s">
        <v>46</v>
      </c>
      <c r="C323" s="81">
        <v>0</v>
      </c>
      <c r="D323" s="81" t="s">
        <v>1201</v>
      </c>
      <c r="E323" s="81" t="s">
        <v>1202</v>
      </c>
      <c r="F323" s="81" t="s">
        <v>49</v>
      </c>
      <c r="G323" s="81">
        <v>26268</v>
      </c>
      <c r="H323" s="81" t="s">
        <v>88</v>
      </c>
      <c r="I323" s="81" t="s">
        <v>32</v>
      </c>
      <c r="J323" s="81" t="s">
        <v>33</v>
      </c>
      <c r="K323" s="81" t="s">
        <v>34</v>
      </c>
      <c r="L323" s="81" t="s">
        <v>1203</v>
      </c>
      <c r="M323" s="81">
        <v>231926</v>
      </c>
      <c r="N323" s="90">
        <v>44712</v>
      </c>
      <c r="O323" s="90">
        <v>44778</v>
      </c>
      <c r="P323" s="90">
        <v>44713</v>
      </c>
      <c r="Q323" s="90" t="s">
        <v>35</v>
      </c>
      <c r="R323" s="81">
        <v>0</v>
      </c>
      <c r="S323" s="90" t="s">
        <v>35</v>
      </c>
      <c r="T323" s="81">
        <v>0</v>
      </c>
      <c r="U323" s="81" t="s">
        <v>36</v>
      </c>
      <c r="V323" s="90" t="s">
        <v>35</v>
      </c>
      <c r="W323" s="81" t="s">
        <v>1462</v>
      </c>
      <c r="X323" s="90">
        <v>44719</v>
      </c>
      <c r="Y323" s="81" t="s">
        <v>38</v>
      </c>
      <c r="Z323" s="81">
        <v>0</v>
      </c>
      <c r="AA323" s="81"/>
      <c r="AB323" s="81">
        <v>0</v>
      </c>
      <c r="AC323" s="81"/>
      <c r="AD323" s="81">
        <v>0</v>
      </c>
      <c r="AE323" s="81"/>
      <c r="AF323" s="81" t="s">
        <v>62</v>
      </c>
      <c r="AG323" s="83">
        <v>13705.93</v>
      </c>
      <c r="AH323" s="95">
        <v>273137.93</v>
      </c>
      <c r="AI323" s="82" t="str">
        <f>CONCATENATE((TEXT(Tabela1[[#This Row],[Data entrega]],"mmmm")),"_",(YEAR(Tabela1[[#This Row],[Data entrega]])))</f>
        <v>agosto_2022</v>
      </c>
      <c r="AJ323" s="77">
        <f>IFERROR(IF(Tabela1[[#This Row],[Programa]]="",Tabela1[[#This Row],[Peso bruto]],VLOOKUP(Tabela1[[#This Row],[Pedido]],'Saldo a Produzir'!$A:$D,4,0)),"")</f>
        <v>13669.76</v>
      </c>
      <c r="AM323" s="73">
        <v>14042.335999999999</v>
      </c>
    </row>
    <row r="324" spans="1:39" ht="14.5" x14ac:dyDescent="0.35">
      <c r="A324" s="81">
        <v>15073</v>
      </c>
      <c r="B324" s="81" t="s">
        <v>172</v>
      </c>
      <c r="C324" s="81">
        <v>6053214000102</v>
      </c>
      <c r="D324" s="81" t="s">
        <v>557</v>
      </c>
      <c r="E324" s="81" t="s">
        <v>558</v>
      </c>
      <c r="F324" s="81" t="s">
        <v>44</v>
      </c>
      <c r="G324" s="81">
        <v>25949</v>
      </c>
      <c r="H324" s="81" t="s">
        <v>92</v>
      </c>
      <c r="I324" s="81" t="s">
        <v>32</v>
      </c>
      <c r="J324" s="81" t="s">
        <v>33</v>
      </c>
      <c r="K324" s="81" t="s">
        <v>34</v>
      </c>
      <c r="L324" s="81" t="s">
        <v>804</v>
      </c>
      <c r="M324" s="81">
        <v>456204</v>
      </c>
      <c r="N324" s="90">
        <v>44671</v>
      </c>
      <c r="O324" s="90">
        <v>44778</v>
      </c>
      <c r="P324" s="90">
        <v>44671</v>
      </c>
      <c r="Q324" s="90" t="s">
        <v>35</v>
      </c>
      <c r="R324" s="81">
        <v>0</v>
      </c>
      <c r="S324" s="90" t="s">
        <v>35</v>
      </c>
      <c r="T324" s="81">
        <v>0</v>
      </c>
      <c r="U324" s="81" t="s">
        <v>36</v>
      </c>
      <c r="V324" s="90" t="s">
        <v>35</v>
      </c>
      <c r="W324" s="81" t="s">
        <v>913</v>
      </c>
      <c r="X324" s="90">
        <v>44690</v>
      </c>
      <c r="Y324" s="81" t="s">
        <v>38</v>
      </c>
      <c r="Z324" s="81">
        <v>44</v>
      </c>
      <c r="AA324" s="81" t="s">
        <v>151</v>
      </c>
      <c r="AB324" s="81">
        <v>0</v>
      </c>
      <c r="AC324" s="81"/>
      <c r="AD324" s="81">
        <v>0</v>
      </c>
      <c r="AE324" s="81" t="s">
        <v>153</v>
      </c>
      <c r="AF324" s="81" t="s">
        <v>39</v>
      </c>
      <c r="AG324" s="83">
        <v>4071.5099999999998</v>
      </c>
      <c r="AH324" s="95">
        <v>198240</v>
      </c>
      <c r="AI324" s="82" t="str">
        <f>CONCATENATE((TEXT(Tabela1[[#This Row],[Data entrega]],"mmmm")),"_",(YEAR(Tabela1[[#This Row],[Data entrega]])))</f>
        <v>agosto_2022</v>
      </c>
      <c r="AJ324" s="77">
        <f>IFERROR(IF(Tabela1[[#This Row],[Programa]]="",Tabela1[[#This Row],[Peso bruto]],VLOOKUP(Tabela1[[#This Row],[Pedido]],'Saldo a Produzir'!$A:$D,4,0)),"")</f>
        <v>4066.3799999999997</v>
      </c>
      <c r="AM324" s="73">
        <v>5577.4390000000003</v>
      </c>
    </row>
    <row r="325" spans="1:39" ht="14.5" x14ac:dyDescent="0.35">
      <c r="A325" s="81">
        <v>15059</v>
      </c>
      <c r="B325" s="81" t="s">
        <v>63</v>
      </c>
      <c r="C325" s="81">
        <v>10885321000174</v>
      </c>
      <c r="D325" s="81" t="s">
        <v>887</v>
      </c>
      <c r="E325" s="81" t="s">
        <v>141</v>
      </c>
      <c r="F325" s="81" t="s">
        <v>54</v>
      </c>
      <c r="G325" s="81">
        <v>26052</v>
      </c>
      <c r="H325" s="81" t="s">
        <v>87</v>
      </c>
      <c r="I325" s="81" t="s">
        <v>32</v>
      </c>
      <c r="J325" s="81" t="s">
        <v>33</v>
      </c>
      <c r="K325" s="81" t="s">
        <v>34</v>
      </c>
      <c r="L325" s="81" t="s">
        <v>888</v>
      </c>
      <c r="M325" s="81">
        <v>4512804245</v>
      </c>
      <c r="N325" s="90">
        <v>44684</v>
      </c>
      <c r="O325" s="90">
        <v>44778</v>
      </c>
      <c r="P325" s="90">
        <v>44684</v>
      </c>
      <c r="Q325" s="90" t="s">
        <v>35</v>
      </c>
      <c r="R325" s="81">
        <v>0</v>
      </c>
      <c r="S325" s="90" t="s">
        <v>35</v>
      </c>
      <c r="T325" s="81">
        <v>0</v>
      </c>
      <c r="U325" s="81" t="s">
        <v>36</v>
      </c>
      <c r="V325" s="90" t="s">
        <v>35</v>
      </c>
      <c r="W325" s="81" t="s">
        <v>913</v>
      </c>
      <c r="X325" s="90">
        <v>44690</v>
      </c>
      <c r="Y325" s="81" t="s">
        <v>38</v>
      </c>
      <c r="Z325" s="81">
        <v>44</v>
      </c>
      <c r="AA325" s="81" t="s">
        <v>151</v>
      </c>
      <c r="AB325" s="81">
        <v>0</v>
      </c>
      <c r="AC325" s="81"/>
      <c r="AD325" s="81">
        <v>0</v>
      </c>
      <c r="AE325" s="81" t="s">
        <v>153</v>
      </c>
      <c r="AF325" s="81" t="s">
        <v>39</v>
      </c>
      <c r="AG325" s="83">
        <v>60.48</v>
      </c>
      <c r="AH325" s="95">
        <v>1858.5</v>
      </c>
      <c r="AI325" s="82" t="str">
        <f>CONCATENATE((TEXT(Tabela1[[#This Row],[Data entrega]],"mmmm")),"_",(YEAR(Tabela1[[#This Row],[Data entrega]])))</f>
        <v>agosto_2022</v>
      </c>
      <c r="AJ325" s="77">
        <f>IFERROR(IF(Tabela1[[#This Row],[Programa]]="",Tabela1[[#This Row],[Peso bruto]],VLOOKUP(Tabela1[[#This Row],[Pedido]],'Saldo a Produzir'!$A:$D,4,0)),"")</f>
        <v>60.48</v>
      </c>
      <c r="AM325" s="73">
        <v>62.401000000000003</v>
      </c>
    </row>
    <row r="326" spans="1:39" ht="14.5" x14ac:dyDescent="0.35">
      <c r="A326" s="81">
        <v>15910</v>
      </c>
      <c r="B326" s="81" t="s">
        <v>261</v>
      </c>
      <c r="C326" s="81">
        <v>1438784006995</v>
      </c>
      <c r="D326" s="81" t="s">
        <v>327</v>
      </c>
      <c r="E326" s="81" t="s">
        <v>184</v>
      </c>
      <c r="F326" s="81" t="s">
        <v>44</v>
      </c>
      <c r="G326" s="81">
        <v>25063</v>
      </c>
      <c r="H326" s="81" t="s">
        <v>328</v>
      </c>
      <c r="I326" s="81" t="s">
        <v>32</v>
      </c>
      <c r="J326" s="81" t="s">
        <v>156</v>
      </c>
      <c r="K326" s="81" t="s">
        <v>34</v>
      </c>
      <c r="L326" s="81" t="s">
        <v>415</v>
      </c>
      <c r="M326" s="81"/>
      <c r="N326" s="90">
        <v>44461</v>
      </c>
      <c r="O326" s="90">
        <v>44783</v>
      </c>
      <c r="P326" s="90">
        <v>44709</v>
      </c>
      <c r="Q326" s="90">
        <v>44709</v>
      </c>
      <c r="R326" s="81">
        <v>6933</v>
      </c>
      <c r="S326" s="90">
        <v>44709</v>
      </c>
      <c r="T326" s="81">
        <v>6944</v>
      </c>
      <c r="U326" s="81" t="s">
        <v>36</v>
      </c>
      <c r="V326" s="90" t="s">
        <v>35</v>
      </c>
      <c r="W326" s="81" t="s">
        <v>485</v>
      </c>
      <c r="X326" s="90">
        <v>44594</v>
      </c>
      <c r="Y326" s="81" t="s">
        <v>38</v>
      </c>
      <c r="Z326" s="81">
        <v>0</v>
      </c>
      <c r="AA326" s="81"/>
      <c r="AB326" s="81">
        <v>0</v>
      </c>
      <c r="AC326" s="81"/>
      <c r="AD326" s="81">
        <v>0</v>
      </c>
      <c r="AE326" s="81" t="s">
        <v>153</v>
      </c>
      <c r="AF326" s="81" t="s">
        <v>39</v>
      </c>
      <c r="AG326" s="83">
        <v>139910.66999999998</v>
      </c>
      <c r="AH326" s="95">
        <v>3176115.61</v>
      </c>
      <c r="AI326" s="82" t="str">
        <f>CONCATENATE((TEXT(Tabela1[[#This Row],[Data entrega]],"mmmm")),"_",(YEAR(Tabela1[[#This Row],[Data entrega]])))</f>
        <v>agosto_2022</v>
      </c>
      <c r="AJ326" s="77">
        <f>IFERROR(IF(Tabela1[[#This Row],[Programa]]="",Tabela1[[#This Row],[Peso bruto]],VLOOKUP(Tabela1[[#This Row],[Pedido]],'Saldo a Produzir'!$A:$D,4,0)),"")</f>
        <v>139821.50999999998</v>
      </c>
      <c r="AM326" s="73">
        <v>155689.10699999999</v>
      </c>
    </row>
    <row r="327" spans="1:39" ht="14.5" x14ac:dyDescent="0.35">
      <c r="A327" s="81">
        <v>15910</v>
      </c>
      <c r="B327" s="81" t="s">
        <v>261</v>
      </c>
      <c r="C327" s="81">
        <v>1438784006995</v>
      </c>
      <c r="D327" s="81" t="s">
        <v>327</v>
      </c>
      <c r="E327" s="81" t="s">
        <v>184</v>
      </c>
      <c r="F327" s="81" t="s">
        <v>44</v>
      </c>
      <c r="G327" s="81">
        <v>25064</v>
      </c>
      <c r="H327" s="81" t="s">
        <v>328</v>
      </c>
      <c r="I327" s="81" t="s">
        <v>32</v>
      </c>
      <c r="J327" s="81" t="s">
        <v>156</v>
      </c>
      <c r="K327" s="81" t="s">
        <v>34</v>
      </c>
      <c r="L327" s="81" t="s">
        <v>415</v>
      </c>
      <c r="M327" s="81"/>
      <c r="N327" s="90">
        <v>44461</v>
      </c>
      <c r="O327" s="90">
        <v>44783</v>
      </c>
      <c r="P327" s="90">
        <v>44709</v>
      </c>
      <c r="Q327" s="90">
        <v>44709</v>
      </c>
      <c r="R327" s="81">
        <v>6945</v>
      </c>
      <c r="S327" s="90">
        <v>44709</v>
      </c>
      <c r="T327" s="81">
        <v>6945</v>
      </c>
      <c r="U327" s="81" t="s">
        <v>36</v>
      </c>
      <c r="V327" s="90" t="s">
        <v>35</v>
      </c>
      <c r="W327" s="81" t="s">
        <v>486</v>
      </c>
      <c r="X327" s="90">
        <v>44594</v>
      </c>
      <c r="Y327" s="81" t="s">
        <v>38</v>
      </c>
      <c r="Z327" s="81">
        <v>0</v>
      </c>
      <c r="AA327" s="81"/>
      <c r="AB327" s="81">
        <v>0</v>
      </c>
      <c r="AC327" s="81"/>
      <c r="AD327" s="81">
        <v>0</v>
      </c>
      <c r="AE327" s="81" t="s">
        <v>153</v>
      </c>
      <c r="AF327" s="81" t="s">
        <v>39</v>
      </c>
      <c r="AG327" s="83">
        <v>120960.59</v>
      </c>
      <c r="AH327" s="95">
        <v>3167665.97</v>
      </c>
      <c r="AI327" s="82" t="str">
        <f>CONCATENATE((TEXT(Tabela1[[#This Row],[Data entrega]],"mmmm")),"_",(YEAR(Tabela1[[#This Row],[Data entrega]])))</f>
        <v>agosto_2022</v>
      </c>
      <c r="AJ327" s="77">
        <f>IFERROR(IF(Tabela1[[#This Row],[Programa]]="",Tabela1[[#This Row],[Peso bruto]],VLOOKUP(Tabela1[[#This Row],[Pedido]],'Saldo a Produzir'!$A:$D,4,0)),"")</f>
        <v>120960.59</v>
      </c>
      <c r="AM327" s="73">
        <v>133916.997</v>
      </c>
    </row>
    <row r="328" spans="1:39" ht="14.5" x14ac:dyDescent="0.35">
      <c r="A328" s="81">
        <v>15073</v>
      </c>
      <c r="B328" s="81" t="s">
        <v>172</v>
      </c>
      <c r="C328" s="81">
        <v>1998069000119</v>
      </c>
      <c r="D328" s="81" t="s">
        <v>839</v>
      </c>
      <c r="E328" s="81" t="s">
        <v>818</v>
      </c>
      <c r="F328" s="81" t="s">
        <v>44</v>
      </c>
      <c r="G328" s="81">
        <v>26010</v>
      </c>
      <c r="H328" s="81" t="s">
        <v>92</v>
      </c>
      <c r="I328" s="81" t="s">
        <v>32</v>
      </c>
      <c r="J328" s="81" t="s">
        <v>33</v>
      </c>
      <c r="K328" s="81" t="s">
        <v>34</v>
      </c>
      <c r="L328" s="81" t="s">
        <v>840</v>
      </c>
      <c r="M328" s="81"/>
      <c r="N328" s="90">
        <v>44679</v>
      </c>
      <c r="O328" s="90">
        <v>44785</v>
      </c>
      <c r="P328" s="90">
        <v>44683</v>
      </c>
      <c r="Q328" s="90" t="s">
        <v>35</v>
      </c>
      <c r="R328" s="81">
        <v>0</v>
      </c>
      <c r="S328" s="90" t="s">
        <v>35</v>
      </c>
      <c r="T328" s="81">
        <v>0</v>
      </c>
      <c r="U328" s="81" t="s">
        <v>36</v>
      </c>
      <c r="V328" s="90" t="s">
        <v>35</v>
      </c>
      <c r="W328" s="81" t="s">
        <v>913</v>
      </c>
      <c r="X328" s="90">
        <v>44690</v>
      </c>
      <c r="Y328" s="81" t="s">
        <v>38</v>
      </c>
      <c r="Z328" s="81">
        <v>2257</v>
      </c>
      <c r="AA328" s="81" t="s">
        <v>155</v>
      </c>
      <c r="AB328" s="81">
        <v>0</v>
      </c>
      <c r="AC328" s="81"/>
      <c r="AD328" s="81">
        <v>0</v>
      </c>
      <c r="AE328" s="81" t="s">
        <v>153</v>
      </c>
      <c r="AF328" s="81" t="s">
        <v>39</v>
      </c>
      <c r="AG328" s="83">
        <v>1777.4299999999998</v>
      </c>
      <c r="AH328" s="95">
        <v>35621.25</v>
      </c>
      <c r="AI328" s="82" t="str">
        <f>CONCATENATE((TEXT(Tabela1[[#This Row],[Data entrega]],"mmmm")),"_",(YEAR(Tabela1[[#This Row],[Data entrega]])))</f>
        <v>agosto_2022</v>
      </c>
      <c r="AJ328" s="77">
        <f>IFERROR(IF(Tabela1[[#This Row],[Programa]]="",Tabela1[[#This Row],[Peso bruto]],VLOOKUP(Tabela1[[#This Row],[Pedido]],'Saldo a Produzir'!$A:$D,4,0)),"")</f>
        <v>1610.74</v>
      </c>
      <c r="AM328" s="73">
        <v>2373.4839999999999</v>
      </c>
    </row>
    <row r="329" spans="1:39" ht="14.5" x14ac:dyDescent="0.35">
      <c r="A329" s="81">
        <v>15067</v>
      </c>
      <c r="B329" s="81" t="s">
        <v>59</v>
      </c>
      <c r="C329" s="81">
        <v>2873606000167</v>
      </c>
      <c r="D329" s="81" t="s">
        <v>914</v>
      </c>
      <c r="E329" s="81" t="s">
        <v>57</v>
      </c>
      <c r="F329" s="81" t="s">
        <v>58</v>
      </c>
      <c r="G329" s="81">
        <v>26108</v>
      </c>
      <c r="H329" s="81" t="s">
        <v>92</v>
      </c>
      <c r="I329" s="81" t="s">
        <v>32</v>
      </c>
      <c r="J329" s="81" t="s">
        <v>33</v>
      </c>
      <c r="K329" s="81" t="s">
        <v>34</v>
      </c>
      <c r="L329" s="81" t="s">
        <v>915</v>
      </c>
      <c r="M329" s="81"/>
      <c r="N329" s="90">
        <v>44692</v>
      </c>
      <c r="O329" s="90">
        <v>44785</v>
      </c>
      <c r="P329" s="90">
        <v>44692</v>
      </c>
      <c r="Q329" s="90" t="s">
        <v>35</v>
      </c>
      <c r="R329" s="81">
        <v>0</v>
      </c>
      <c r="S329" s="90" t="s">
        <v>35</v>
      </c>
      <c r="T329" s="81">
        <v>0</v>
      </c>
      <c r="U329" s="81" t="s">
        <v>36</v>
      </c>
      <c r="V329" s="90" t="s">
        <v>35</v>
      </c>
      <c r="W329" s="81" t="s">
        <v>1011</v>
      </c>
      <c r="X329" s="90">
        <v>44698</v>
      </c>
      <c r="Y329" s="81" t="s">
        <v>38</v>
      </c>
      <c r="Z329" s="81">
        <v>2001</v>
      </c>
      <c r="AA329" s="81" t="s">
        <v>255</v>
      </c>
      <c r="AB329" s="81">
        <v>0</v>
      </c>
      <c r="AC329" s="81"/>
      <c r="AD329" s="81">
        <v>0</v>
      </c>
      <c r="AE329" s="81" t="s">
        <v>153</v>
      </c>
      <c r="AF329" s="81" t="s">
        <v>39</v>
      </c>
      <c r="AG329" s="83">
        <v>445.75</v>
      </c>
      <c r="AH329" s="95">
        <v>17273.73</v>
      </c>
      <c r="AI329" s="82" t="str">
        <f>CONCATENATE((TEXT(Tabela1[[#This Row],[Data entrega]],"mmmm")),"_",(YEAR(Tabela1[[#This Row],[Data entrega]])))</f>
        <v>agosto_2022</v>
      </c>
      <c r="AJ329" s="77">
        <f>IFERROR(IF(Tabela1[[#This Row],[Programa]]="",Tabela1[[#This Row],[Peso bruto]],VLOOKUP(Tabela1[[#This Row],[Pedido]],'Saldo a Produzir'!$A:$D,4,0)),"")</f>
        <v>17.239999999999998</v>
      </c>
      <c r="AM329" s="73">
        <v>445.75</v>
      </c>
    </row>
    <row r="330" spans="1:39" ht="14.5" x14ac:dyDescent="0.35">
      <c r="A330" s="81">
        <v>15020</v>
      </c>
      <c r="B330" s="81" t="s">
        <v>46</v>
      </c>
      <c r="C330" s="81">
        <v>140</v>
      </c>
      <c r="D330" s="81" t="s">
        <v>290</v>
      </c>
      <c r="E330" s="81" t="s">
        <v>291</v>
      </c>
      <c r="F330" s="81" t="s">
        <v>49</v>
      </c>
      <c r="G330" s="81">
        <v>25379</v>
      </c>
      <c r="H330" s="81" t="s">
        <v>86</v>
      </c>
      <c r="I330" s="81" t="s">
        <v>32</v>
      </c>
      <c r="J330" s="81" t="s">
        <v>33</v>
      </c>
      <c r="K330" s="81" t="s">
        <v>34</v>
      </c>
      <c r="L330" s="81" t="s">
        <v>487</v>
      </c>
      <c r="M330" s="81"/>
      <c r="N330" s="90">
        <v>44592</v>
      </c>
      <c r="O330" s="90">
        <v>44785</v>
      </c>
      <c r="P330" s="90">
        <v>44594</v>
      </c>
      <c r="Q330" s="90" t="s">
        <v>35</v>
      </c>
      <c r="R330" s="81">
        <v>0</v>
      </c>
      <c r="S330" s="90" t="s">
        <v>35</v>
      </c>
      <c r="T330" s="81">
        <v>0</v>
      </c>
      <c r="U330" s="81" t="s">
        <v>36</v>
      </c>
      <c r="V330" s="90" t="s">
        <v>35</v>
      </c>
      <c r="W330" s="81" t="s">
        <v>524</v>
      </c>
      <c r="X330" s="90">
        <v>44610</v>
      </c>
      <c r="Y330" s="81" t="s">
        <v>293</v>
      </c>
      <c r="Z330" s="81">
        <v>0</v>
      </c>
      <c r="AA330" s="81"/>
      <c r="AB330" s="81">
        <v>0</v>
      </c>
      <c r="AC330" s="81"/>
      <c r="AD330" s="81">
        <v>0</v>
      </c>
      <c r="AE330" s="81"/>
      <c r="AF330" s="81" t="s">
        <v>307</v>
      </c>
      <c r="AG330" s="83">
        <v>84.18</v>
      </c>
      <c r="AH330" s="95">
        <v>235389.7</v>
      </c>
      <c r="AI330" s="82" t="str">
        <f>CONCATENATE((TEXT(Tabela1[[#This Row],[Data entrega]],"mmmm")),"_",(YEAR(Tabela1[[#This Row],[Data entrega]])))</f>
        <v>agosto_2022</v>
      </c>
      <c r="AJ330" s="77">
        <f>IFERROR(IF(Tabela1[[#This Row],[Programa]]="",Tabela1[[#This Row],[Peso bruto]],VLOOKUP(Tabela1[[#This Row],[Pedido]],'Saldo a Produzir'!$A:$D,4,0)),"")</f>
        <v>84</v>
      </c>
      <c r="AM330" s="73">
        <v>1884.229</v>
      </c>
    </row>
    <row r="331" spans="1:39" ht="14.5" x14ac:dyDescent="0.35">
      <c r="A331" s="81">
        <v>15057</v>
      </c>
      <c r="B331" s="81" t="s">
        <v>60</v>
      </c>
      <c r="C331" s="81">
        <v>92341312001159</v>
      </c>
      <c r="D331" s="81" t="s">
        <v>946</v>
      </c>
      <c r="E331" s="81" t="s">
        <v>947</v>
      </c>
      <c r="F331" s="81" t="s">
        <v>44</v>
      </c>
      <c r="G331" s="81">
        <v>25971</v>
      </c>
      <c r="H331" s="81" t="s">
        <v>92</v>
      </c>
      <c r="I331" s="81" t="s">
        <v>32</v>
      </c>
      <c r="J331" s="81" t="s">
        <v>33</v>
      </c>
      <c r="K331" s="81" t="s">
        <v>34</v>
      </c>
      <c r="L331" s="81" t="s">
        <v>948</v>
      </c>
      <c r="M331" s="81"/>
      <c r="N331" s="90">
        <v>44676</v>
      </c>
      <c r="O331" s="90">
        <v>44785</v>
      </c>
      <c r="P331" s="90">
        <v>44676</v>
      </c>
      <c r="Q331" s="90" t="s">
        <v>35</v>
      </c>
      <c r="R331" s="81">
        <v>0</v>
      </c>
      <c r="S331" s="90" t="s">
        <v>35</v>
      </c>
      <c r="T331" s="81">
        <v>0</v>
      </c>
      <c r="U331" s="81" t="s">
        <v>36</v>
      </c>
      <c r="V331" s="90" t="s">
        <v>35</v>
      </c>
      <c r="W331" s="81" t="s">
        <v>1048</v>
      </c>
      <c r="X331" s="90">
        <v>44700</v>
      </c>
      <c r="Y331" s="81" t="s">
        <v>949</v>
      </c>
      <c r="Z331" s="81">
        <v>3012</v>
      </c>
      <c r="AA331" s="81" t="s">
        <v>841</v>
      </c>
      <c r="AB331" s="81">
        <v>0</v>
      </c>
      <c r="AC331" s="81"/>
      <c r="AD331" s="81">
        <v>0</v>
      </c>
      <c r="AE331" s="81"/>
      <c r="AF331" s="81" t="s">
        <v>39</v>
      </c>
      <c r="AG331" s="83">
        <v>29636.729999999996</v>
      </c>
      <c r="AH331" s="95">
        <v>945084.42</v>
      </c>
      <c r="AI331" s="82" t="str">
        <f>CONCATENATE((TEXT(Tabela1[[#This Row],[Data entrega]],"mmmm")),"_",(YEAR(Tabela1[[#This Row],[Data entrega]])))</f>
        <v>agosto_2022</v>
      </c>
      <c r="AJ331" s="77">
        <f>IFERROR(IF(Tabela1[[#This Row],[Programa]]="",Tabela1[[#This Row],[Peso bruto]],VLOOKUP(Tabela1[[#This Row],[Pedido]],'Saldo a Produzir'!$A:$D,4,0)),"")</f>
        <v>14738.369999999999</v>
      </c>
      <c r="AM331" s="73">
        <v>44910.254000000001</v>
      </c>
    </row>
    <row r="332" spans="1:39" ht="14.5" x14ac:dyDescent="0.35">
      <c r="A332" s="81">
        <v>15057</v>
      </c>
      <c r="B332" s="81" t="s">
        <v>60</v>
      </c>
      <c r="C332" s="81">
        <v>92341312001159</v>
      </c>
      <c r="D332" s="81" t="s">
        <v>946</v>
      </c>
      <c r="E332" s="81" t="s">
        <v>947</v>
      </c>
      <c r="F332" s="81" t="s">
        <v>44</v>
      </c>
      <c r="G332" s="81">
        <v>25972</v>
      </c>
      <c r="H332" s="81" t="s">
        <v>93</v>
      </c>
      <c r="I332" s="81" t="s">
        <v>32</v>
      </c>
      <c r="J332" s="81" t="s">
        <v>33</v>
      </c>
      <c r="K332" s="81" t="s">
        <v>34</v>
      </c>
      <c r="L332" s="81" t="s">
        <v>948</v>
      </c>
      <c r="M332" s="81"/>
      <c r="N332" s="90">
        <v>44676</v>
      </c>
      <c r="O332" s="90">
        <v>44785</v>
      </c>
      <c r="P332" s="90">
        <v>44676</v>
      </c>
      <c r="Q332" s="90" t="s">
        <v>35</v>
      </c>
      <c r="R332" s="81">
        <v>0</v>
      </c>
      <c r="S332" s="90" t="s">
        <v>35</v>
      </c>
      <c r="T332" s="81">
        <v>0</v>
      </c>
      <c r="U332" s="81" t="s">
        <v>36</v>
      </c>
      <c r="V332" s="90" t="s">
        <v>35</v>
      </c>
      <c r="W332" s="81"/>
      <c r="X332" s="90" t="s">
        <v>37</v>
      </c>
      <c r="Y332" s="81" t="s">
        <v>949</v>
      </c>
      <c r="Z332" s="81">
        <v>3012</v>
      </c>
      <c r="AA332" s="81" t="s">
        <v>841</v>
      </c>
      <c r="AB332" s="81">
        <v>0</v>
      </c>
      <c r="AC332" s="81"/>
      <c r="AD332" s="81">
        <v>0</v>
      </c>
      <c r="AE332" s="81" t="s">
        <v>153</v>
      </c>
      <c r="AF332" s="81" t="s">
        <v>39</v>
      </c>
      <c r="AG332" s="83">
        <v>18539</v>
      </c>
      <c r="AH332" s="95">
        <v>674985</v>
      </c>
      <c r="AI332" s="82" t="str">
        <f>CONCATENATE((TEXT(Tabela1[[#This Row],[Data entrega]],"mmmm")),"_",(YEAR(Tabela1[[#This Row],[Data entrega]])))</f>
        <v>agosto_2022</v>
      </c>
      <c r="AJ332" s="77">
        <f>IFERROR(IF(Tabela1[[#This Row],[Programa]]="",Tabela1[[#This Row],[Peso bruto]],VLOOKUP(Tabela1[[#This Row],[Pedido]],'Saldo a Produzir'!$A:$D,4,0)),"")</f>
        <v>18539</v>
      </c>
      <c r="AM332" s="73">
        <v>18539</v>
      </c>
    </row>
    <row r="333" spans="1:39" ht="14.5" x14ac:dyDescent="0.35">
      <c r="A333" s="81">
        <v>15057</v>
      </c>
      <c r="B333" s="81" t="s">
        <v>60</v>
      </c>
      <c r="C333" s="81">
        <v>92341312001159</v>
      </c>
      <c r="D333" s="81" t="s">
        <v>946</v>
      </c>
      <c r="E333" s="81" t="s">
        <v>947</v>
      </c>
      <c r="F333" s="81" t="s">
        <v>44</v>
      </c>
      <c r="G333" s="81">
        <v>25973</v>
      </c>
      <c r="H333" s="81" t="s">
        <v>116</v>
      </c>
      <c r="I333" s="81" t="s">
        <v>32</v>
      </c>
      <c r="J333" s="81" t="s">
        <v>33</v>
      </c>
      <c r="K333" s="81" t="s">
        <v>34</v>
      </c>
      <c r="L333" s="81" t="s">
        <v>948</v>
      </c>
      <c r="M333" s="81"/>
      <c r="N333" s="90">
        <v>44676</v>
      </c>
      <c r="O333" s="90">
        <v>44785</v>
      </c>
      <c r="P333" s="90">
        <v>44676</v>
      </c>
      <c r="Q333" s="90" t="s">
        <v>35</v>
      </c>
      <c r="R333" s="81">
        <v>0</v>
      </c>
      <c r="S333" s="90" t="s">
        <v>35</v>
      </c>
      <c r="T333" s="81">
        <v>0</v>
      </c>
      <c r="U333" s="81" t="s">
        <v>36</v>
      </c>
      <c r="V333" s="90" t="s">
        <v>35</v>
      </c>
      <c r="W333" s="81"/>
      <c r="X333" s="90" t="s">
        <v>37</v>
      </c>
      <c r="Y333" s="81" t="s">
        <v>949</v>
      </c>
      <c r="Z333" s="81">
        <v>3012</v>
      </c>
      <c r="AA333" s="81" t="s">
        <v>841</v>
      </c>
      <c r="AB333" s="81">
        <v>0</v>
      </c>
      <c r="AC333" s="81"/>
      <c r="AD333" s="81">
        <v>0</v>
      </c>
      <c r="AE333" s="81" t="s">
        <v>153</v>
      </c>
      <c r="AF333" s="81" t="s">
        <v>39</v>
      </c>
      <c r="AG333" s="83">
        <v>9268</v>
      </c>
      <c r="AH333" s="95">
        <v>346906.58</v>
      </c>
      <c r="AI333" s="82" t="str">
        <f>CONCATENATE((TEXT(Tabela1[[#This Row],[Data entrega]],"mmmm")),"_",(YEAR(Tabela1[[#This Row],[Data entrega]])))</f>
        <v>agosto_2022</v>
      </c>
      <c r="AJ333" s="77">
        <f>IFERROR(IF(Tabela1[[#This Row],[Programa]]="",Tabela1[[#This Row],[Peso bruto]],VLOOKUP(Tabela1[[#This Row],[Pedido]],'Saldo a Produzir'!$A:$D,4,0)),"")</f>
        <v>9268</v>
      </c>
      <c r="AM333" s="73">
        <v>9268</v>
      </c>
    </row>
    <row r="334" spans="1:39" ht="14.5" x14ac:dyDescent="0.35">
      <c r="A334" s="81">
        <v>15057</v>
      </c>
      <c r="B334" s="81" t="s">
        <v>60</v>
      </c>
      <c r="C334" s="81">
        <v>92341312001159</v>
      </c>
      <c r="D334" s="81" t="s">
        <v>946</v>
      </c>
      <c r="E334" s="81" t="s">
        <v>947</v>
      </c>
      <c r="F334" s="81" t="s">
        <v>44</v>
      </c>
      <c r="G334" s="81">
        <v>25974</v>
      </c>
      <c r="H334" s="81" t="s">
        <v>134</v>
      </c>
      <c r="I334" s="81" t="s">
        <v>32</v>
      </c>
      <c r="J334" s="81" t="s">
        <v>33</v>
      </c>
      <c r="K334" s="81" t="s">
        <v>34</v>
      </c>
      <c r="L334" s="81" t="s">
        <v>948</v>
      </c>
      <c r="M334" s="81"/>
      <c r="N334" s="90">
        <v>44676</v>
      </c>
      <c r="O334" s="90">
        <v>44785</v>
      </c>
      <c r="P334" s="90">
        <v>44676</v>
      </c>
      <c r="Q334" s="90" t="s">
        <v>35</v>
      </c>
      <c r="R334" s="81">
        <v>0</v>
      </c>
      <c r="S334" s="90" t="s">
        <v>35</v>
      </c>
      <c r="T334" s="81">
        <v>0</v>
      </c>
      <c r="U334" s="81" t="s">
        <v>36</v>
      </c>
      <c r="V334" s="90" t="s">
        <v>35</v>
      </c>
      <c r="W334" s="81"/>
      <c r="X334" s="90" t="s">
        <v>37</v>
      </c>
      <c r="Y334" s="81" t="s">
        <v>949</v>
      </c>
      <c r="Z334" s="81">
        <v>3012</v>
      </c>
      <c r="AA334" s="81" t="s">
        <v>841</v>
      </c>
      <c r="AB334" s="81">
        <v>0</v>
      </c>
      <c r="AC334" s="81"/>
      <c r="AD334" s="81">
        <v>0</v>
      </c>
      <c r="AE334" s="81" t="s">
        <v>153</v>
      </c>
      <c r="AF334" s="81" t="s">
        <v>39</v>
      </c>
      <c r="AG334" s="83">
        <v>3898</v>
      </c>
      <c r="AH334" s="95">
        <v>442624.49</v>
      </c>
      <c r="AI334" s="82" t="str">
        <f>CONCATENATE((TEXT(Tabela1[[#This Row],[Data entrega]],"mmmm")),"_",(YEAR(Tabela1[[#This Row],[Data entrega]])))</f>
        <v>agosto_2022</v>
      </c>
      <c r="AJ334" s="77">
        <f>IFERROR(IF(Tabela1[[#This Row],[Programa]]="",Tabela1[[#This Row],[Peso bruto]],VLOOKUP(Tabela1[[#This Row],[Pedido]],'Saldo a Produzir'!$A:$D,4,0)),"")</f>
        <v>3898</v>
      </c>
      <c r="AM334" s="73">
        <v>3898</v>
      </c>
    </row>
    <row r="335" spans="1:39" ht="14.5" x14ac:dyDescent="0.35">
      <c r="A335" s="81">
        <v>15057</v>
      </c>
      <c r="B335" s="81" t="s">
        <v>60</v>
      </c>
      <c r="C335" s="81">
        <v>92341312001159</v>
      </c>
      <c r="D335" s="81" t="s">
        <v>946</v>
      </c>
      <c r="E335" s="81" t="s">
        <v>947</v>
      </c>
      <c r="F335" s="81" t="s">
        <v>44</v>
      </c>
      <c r="G335" s="81">
        <v>25975</v>
      </c>
      <c r="H335" s="81" t="s">
        <v>842</v>
      </c>
      <c r="I335" s="81" t="s">
        <v>32</v>
      </c>
      <c r="J335" s="81" t="s">
        <v>33</v>
      </c>
      <c r="K335" s="81" t="s">
        <v>34</v>
      </c>
      <c r="L335" s="81" t="s">
        <v>948</v>
      </c>
      <c r="M335" s="81"/>
      <c r="N335" s="90">
        <v>44676</v>
      </c>
      <c r="O335" s="90">
        <v>44785</v>
      </c>
      <c r="P335" s="90">
        <v>44676</v>
      </c>
      <c r="Q335" s="90" t="s">
        <v>35</v>
      </c>
      <c r="R335" s="81">
        <v>0</v>
      </c>
      <c r="S335" s="90" t="s">
        <v>35</v>
      </c>
      <c r="T335" s="81">
        <v>0</v>
      </c>
      <c r="U335" s="81" t="s">
        <v>36</v>
      </c>
      <c r="V335" s="90" t="s">
        <v>35</v>
      </c>
      <c r="W335" s="81" t="s">
        <v>916</v>
      </c>
      <c r="X335" s="90">
        <v>44692</v>
      </c>
      <c r="Y335" s="81" t="s">
        <v>949</v>
      </c>
      <c r="Z335" s="81">
        <v>3012</v>
      </c>
      <c r="AA335" s="81" t="s">
        <v>841</v>
      </c>
      <c r="AB335" s="81">
        <v>0</v>
      </c>
      <c r="AC335" s="81"/>
      <c r="AD335" s="81">
        <v>0</v>
      </c>
      <c r="AE335" s="81" t="s">
        <v>153</v>
      </c>
      <c r="AF335" s="81" t="s">
        <v>39</v>
      </c>
      <c r="AG335" s="83">
        <v>1863.4800000000005</v>
      </c>
      <c r="AH335" s="95">
        <v>715435</v>
      </c>
      <c r="AI335" s="82" t="str">
        <f>CONCATENATE((TEXT(Tabela1[[#This Row],[Data entrega]],"mmmm")),"_",(YEAR(Tabela1[[#This Row],[Data entrega]])))</f>
        <v>agosto_2022</v>
      </c>
      <c r="AJ335" s="77">
        <f>IFERROR(IF(Tabela1[[#This Row],[Programa]]="",Tabela1[[#This Row],[Peso bruto]],VLOOKUP(Tabela1[[#This Row],[Pedido]],'Saldo a Produzir'!$A:$D,4,0)),"")</f>
        <v>2024.6200000000003</v>
      </c>
      <c r="AM335" s="73">
        <v>5063.3580000000002</v>
      </c>
    </row>
    <row r="336" spans="1:39" ht="14.5" x14ac:dyDescent="0.35">
      <c r="A336" s="81">
        <v>15075</v>
      </c>
      <c r="B336" s="81" t="s">
        <v>166</v>
      </c>
      <c r="C336" s="81">
        <v>31546266000753</v>
      </c>
      <c r="D336" s="81" t="s">
        <v>863</v>
      </c>
      <c r="E336" s="81" t="s">
        <v>864</v>
      </c>
      <c r="F336" s="81" t="s">
        <v>58</v>
      </c>
      <c r="G336" s="81">
        <v>26021</v>
      </c>
      <c r="H336" s="81" t="s">
        <v>87</v>
      </c>
      <c r="I336" s="81" t="s">
        <v>32</v>
      </c>
      <c r="J336" s="81" t="s">
        <v>33</v>
      </c>
      <c r="K336" s="81" t="s">
        <v>34</v>
      </c>
      <c r="L336" s="81" t="s">
        <v>865</v>
      </c>
      <c r="M336" s="81"/>
      <c r="N336" s="90">
        <v>44680</v>
      </c>
      <c r="O336" s="90">
        <v>44785</v>
      </c>
      <c r="P336" s="90">
        <v>44683</v>
      </c>
      <c r="Q336" s="90" t="s">
        <v>35</v>
      </c>
      <c r="R336" s="81">
        <v>0</v>
      </c>
      <c r="S336" s="90" t="s">
        <v>35</v>
      </c>
      <c r="T336" s="81">
        <v>0</v>
      </c>
      <c r="U336" s="81" t="s">
        <v>36</v>
      </c>
      <c r="V336" s="90" t="s">
        <v>35</v>
      </c>
      <c r="W336" s="81" t="s">
        <v>913</v>
      </c>
      <c r="X336" s="90">
        <v>44690</v>
      </c>
      <c r="Y336" s="81" t="s">
        <v>38</v>
      </c>
      <c r="Z336" s="81">
        <v>0</v>
      </c>
      <c r="AA336" s="81"/>
      <c r="AB336" s="81">
        <v>0</v>
      </c>
      <c r="AC336" s="81"/>
      <c r="AD336" s="81">
        <v>0</v>
      </c>
      <c r="AE336" s="81" t="s">
        <v>153</v>
      </c>
      <c r="AF336" s="81" t="s">
        <v>39</v>
      </c>
      <c r="AG336" s="83">
        <v>5026.74</v>
      </c>
      <c r="AH336" s="95">
        <v>151777.5</v>
      </c>
      <c r="AI336" s="82" t="str">
        <f>CONCATENATE((TEXT(Tabela1[[#This Row],[Data entrega]],"mmmm")),"_",(YEAR(Tabela1[[#This Row],[Data entrega]])))</f>
        <v>agosto_2022</v>
      </c>
      <c r="AJ336" s="77">
        <f>IFERROR(IF(Tabela1[[#This Row],[Programa]]="",Tabela1[[#This Row],[Peso bruto]],VLOOKUP(Tabela1[[#This Row],[Pedido]],'Saldo a Produzir'!$A:$D,4,0)),"")</f>
        <v>4955.8999999999996</v>
      </c>
      <c r="AM336" s="73">
        <v>7616.25</v>
      </c>
    </row>
    <row r="337" spans="1:39" ht="14.5" x14ac:dyDescent="0.35">
      <c r="A337" s="81">
        <v>15059</v>
      </c>
      <c r="B337" s="81" t="s">
        <v>63</v>
      </c>
      <c r="C337" s="81">
        <v>84709955001699</v>
      </c>
      <c r="D337" s="81" t="s">
        <v>626</v>
      </c>
      <c r="E337" s="81" t="s">
        <v>627</v>
      </c>
      <c r="F337" s="81" t="s">
        <v>64</v>
      </c>
      <c r="G337" s="81">
        <v>25740</v>
      </c>
      <c r="H337" s="81" t="s">
        <v>92</v>
      </c>
      <c r="I337" s="81" t="s">
        <v>32</v>
      </c>
      <c r="J337" s="81" t="s">
        <v>33</v>
      </c>
      <c r="K337" s="81" t="s">
        <v>34</v>
      </c>
      <c r="L337" s="81" t="s">
        <v>628</v>
      </c>
      <c r="M337" s="81"/>
      <c r="N337" s="90">
        <v>44645</v>
      </c>
      <c r="O337" s="90">
        <v>44785</v>
      </c>
      <c r="P337" s="90">
        <v>44697</v>
      </c>
      <c r="Q337" s="90" t="s">
        <v>35</v>
      </c>
      <c r="R337" s="81">
        <v>0</v>
      </c>
      <c r="S337" s="90" t="s">
        <v>35</v>
      </c>
      <c r="T337" s="81">
        <v>0</v>
      </c>
      <c r="U337" s="81" t="s">
        <v>36</v>
      </c>
      <c r="V337" s="90" t="s">
        <v>35</v>
      </c>
      <c r="W337" s="81" t="s">
        <v>776</v>
      </c>
      <c r="X337" s="90">
        <v>44665</v>
      </c>
      <c r="Y337" s="81" t="s">
        <v>38</v>
      </c>
      <c r="Z337" s="81">
        <v>0</v>
      </c>
      <c r="AA337" s="81"/>
      <c r="AB337" s="81">
        <v>0</v>
      </c>
      <c r="AC337" s="81"/>
      <c r="AD337" s="81">
        <v>0</v>
      </c>
      <c r="AE337" s="81" t="s">
        <v>153</v>
      </c>
      <c r="AF337" s="81" t="s">
        <v>39</v>
      </c>
      <c r="AG337" s="83">
        <v>74682.23</v>
      </c>
      <c r="AH337" s="95">
        <v>1863973.49</v>
      </c>
      <c r="AI337" s="82" t="str">
        <f>CONCATENATE((TEXT(Tabela1[[#This Row],[Data entrega]],"mmmm")),"_",(YEAR(Tabela1[[#This Row],[Data entrega]])))</f>
        <v>agosto_2022</v>
      </c>
      <c r="AJ337" s="77">
        <f>IFERROR(IF(Tabela1[[#This Row],[Programa]]="",Tabela1[[#This Row],[Peso bruto]],VLOOKUP(Tabela1[[#This Row],[Pedido]],'Saldo a Produzir'!$A:$D,4,0)),"")</f>
        <v>53511.55000000001</v>
      </c>
      <c r="AM337" s="73">
        <v>126194.064</v>
      </c>
    </row>
    <row r="338" spans="1:39" ht="14.5" x14ac:dyDescent="0.35">
      <c r="A338" s="81">
        <v>15063</v>
      </c>
      <c r="B338" s="81" t="s">
        <v>71</v>
      </c>
      <c r="C338" s="81">
        <v>10923336000180</v>
      </c>
      <c r="D338" s="81" t="s">
        <v>917</v>
      </c>
      <c r="E338" s="81" t="s">
        <v>918</v>
      </c>
      <c r="F338" s="81" t="s">
        <v>54</v>
      </c>
      <c r="G338" s="81">
        <v>26102</v>
      </c>
      <c r="H338" s="81" t="s">
        <v>88</v>
      </c>
      <c r="I338" s="81" t="s">
        <v>32</v>
      </c>
      <c r="J338" s="81" t="s">
        <v>33</v>
      </c>
      <c r="K338" s="81" t="s">
        <v>34</v>
      </c>
      <c r="L338" s="81" t="s">
        <v>950</v>
      </c>
      <c r="M338" s="81"/>
      <c r="N338" s="90">
        <v>44692</v>
      </c>
      <c r="O338" s="90">
        <v>44785</v>
      </c>
      <c r="P338" s="90">
        <v>44699</v>
      </c>
      <c r="Q338" s="90" t="s">
        <v>35</v>
      </c>
      <c r="R338" s="81">
        <v>0</v>
      </c>
      <c r="S338" s="90" t="s">
        <v>35</v>
      </c>
      <c r="T338" s="81">
        <v>0</v>
      </c>
      <c r="U338" s="81" t="s">
        <v>36</v>
      </c>
      <c r="V338" s="90" t="s">
        <v>35</v>
      </c>
      <c r="W338" s="81" t="s">
        <v>1048</v>
      </c>
      <c r="X338" s="90">
        <v>44700</v>
      </c>
      <c r="Y338" s="81" t="s">
        <v>38</v>
      </c>
      <c r="Z338" s="81">
        <v>2257</v>
      </c>
      <c r="AA338" s="81" t="s">
        <v>155</v>
      </c>
      <c r="AB338" s="81">
        <v>0</v>
      </c>
      <c r="AC338" s="81"/>
      <c r="AD338" s="81">
        <v>0</v>
      </c>
      <c r="AE338" s="81" t="s">
        <v>153</v>
      </c>
      <c r="AF338" s="81" t="s">
        <v>39</v>
      </c>
      <c r="AG338" s="83">
        <v>547.04999999999995</v>
      </c>
      <c r="AH338" s="95">
        <v>33040</v>
      </c>
      <c r="AI338" s="82" t="str">
        <f>CONCATENATE((TEXT(Tabela1[[#This Row],[Data entrega]],"mmmm")),"_",(YEAR(Tabela1[[#This Row],[Data entrega]])))</f>
        <v>agosto_2022</v>
      </c>
      <c r="AJ338" s="77">
        <f>IFERROR(IF(Tabela1[[#This Row],[Programa]]="",Tabela1[[#This Row],[Peso bruto]],VLOOKUP(Tabela1[[#This Row],[Pedido]],'Saldo a Produzir'!$A:$D,4,0)),"")</f>
        <v>216.58999999999997</v>
      </c>
      <c r="AM338" s="73">
        <v>1513.329</v>
      </c>
    </row>
    <row r="339" spans="1:39" ht="14.5" x14ac:dyDescent="0.35">
      <c r="A339" s="81">
        <v>15059</v>
      </c>
      <c r="B339" s="81" t="s">
        <v>63</v>
      </c>
      <c r="C339" s="81">
        <v>82900713000176</v>
      </c>
      <c r="D339" s="81" t="s">
        <v>542</v>
      </c>
      <c r="E339" s="81" t="s">
        <v>171</v>
      </c>
      <c r="F339" s="81" t="s">
        <v>64</v>
      </c>
      <c r="G339" s="81">
        <v>26183</v>
      </c>
      <c r="H339" s="81" t="s">
        <v>87</v>
      </c>
      <c r="I339" s="81" t="s">
        <v>32</v>
      </c>
      <c r="J339" s="81" t="s">
        <v>33</v>
      </c>
      <c r="K339" s="81" t="s">
        <v>34</v>
      </c>
      <c r="L339" s="81" t="s">
        <v>1069</v>
      </c>
      <c r="M339" s="81"/>
      <c r="N339" s="90">
        <v>44701</v>
      </c>
      <c r="O339" s="90">
        <v>44785</v>
      </c>
      <c r="P339" s="90">
        <v>44701</v>
      </c>
      <c r="Q339" s="90" t="s">
        <v>35</v>
      </c>
      <c r="R339" s="81">
        <v>0</v>
      </c>
      <c r="S339" s="90" t="s">
        <v>35</v>
      </c>
      <c r="T339" s="81">
        <v>0</v>
      </c>
      <c r="U339" s="81" t="s">
        <v>36</v>
      </c>
      <c r="V339" s="90" t="s">
        <v>35</v>
      </c>
      <c r="W339" s="81" t="s">
        <v>1154</v>
      </c>
      <c r="X339" s="90">
        <v>44708</v>
      </c>
      <c r="Y339" s="81" t="s">
        <v>38</v>
      </c>
      <c r="Z339" s="81">
        <v>119</v>
      </c>
      <c r="AA339" s="81" t="s">
        <v>289</v>
      </c>
      <c r="AB339" s="81">
        <v>0</v>
      </c>
      <c r="AC339" s="81"/>
      <c r="AD339" s="81">
        <v>0</v>
      </c>
      <c r="AE339" s="81" t="s">
        <v>153</v>
      </c>
      <c r="AF339" s="81" t="s">
        <v>39</v>
      </c>
      <c r="AG339" s="83">
        <v>300.88</v>
      </c>
      <c r="AH339" s="95">
        <v>6401.5</v>
      </c>
      <c r="AI339" s="82" t="str">
        <f>CONCATENATE((TEXT(Tabela1[[#This Row],[Data entrega]],"mmmm")),"_",(YEAR(Tabela1[[#This Row],[Data entrega]])))</f>
        <v>agosto_2022</v>
      </c>
      <c r="AJ339" s="77">
        <f>IFERROR(IF(Tabela1[[#This Row],[Programa]]="",Tabela1[[#This Row],[Peso bruto]],VLOOKUP(Tabela1[[#This Row],[Pedido]],'Saldo a Produzir'!$A:$D,4,0)),"")</f>
        <v>300.54000000000002</v>
      </c>
      <c r="AM339" s="73">
        <v>301.04899999999998</v>
      </c>
    </row>
    <row r="340" spans="1:39" ht="14.5" x14ac:dyDescent="0.35">
      <c r="A340" s="81">
        <v>15069</v>
      </c>
      <c r="B340" s="81" t="s">
        <v>297</v>
      </c>
      <c r="C340" s="81">
        <v>97837181003910</v>
      </c>
      <c r="D340" s="81" t="s">
        <v>1070</v>
      </c>
      <c r="E340" s="81" t="s">
        <v>175</v>
      </c>
      <c r="F340" s="81" t="s">
        <v>148</v>
      </c>
      <c r="G340" s="81">
        <v>26177</v>
      </c>
      <c r="H340" s="81" t="s">
        <v>88</v>
      </c>
      <c r="I340" s="81" t="s">
        <v>32</v>
      </c>
      <c r="J340" s="81" t="s">
        <v>33</v>
      </c>
      <c r="K340" s="81" t="s">
        <v>34</v>
      </c>
      <c r="L340" s="81" t="s">
        <v>1071</v>
      </c>
      <c r="M340" s="81">
        <v>4508801296</v>
      </c>
      <c r="N340" s="90">
        <v>44701</v>
      </c>
      <c r="O340" s="90">
        <v>44785</v>
      </c>
      <c r="P340" s="90">
        <v>44701</v>
      </c>
      <c r="Q340" s="90" t="s">
        <v>35</v>
      </c>
      <c r="R340" s="81">
        <v>0</v>
      </c>
      <c r="S340" s="90" t="s">
        <v>35</v>
      </c>
      <c r="T340" s="81">
        <v>0</v>
      </c>
      <c r="U340" s="81" t="s">
        <v>36</v>
      </c>
      <c r="V340" s="90" t="s">
        <v>35</v>
      </c>
      <c r="W340" s="81" t="s">
        <v>1125</v>
      </c>
      <c r="X340" s="90">
        <v>44706</v>
      </c>
      <c r="Y340" s="81" t="s">
        <v>38</v>
      </c>
      <c r="Z340" s="81">
        <v>944</v>
      </c>
      <c r="AA340" s="81" t="s">
        <v>152</v>
      </c>
      <c r="AB340" s="81">
        <v>0</v>
      </c>
      <c r="AC340" s="81"/>
      <c r="AD340" s="81">
        <v>0</v>
      </c>
      <c r="AE340" s="81" t="s">
        <v>153</v>
      </c>
      <c r="AF340" s="81" t="s">
        <v>39</v>
      </c>
      <c r="AG340" s="83">
        <v>1635.5100000000002</v>
      </c>
      <c r="AH340" s="95">
        <v>64015</v>
      </c>
      <c r="AI340" s="82" t="str">
        <f>CONCATENATE((TEXT(Tabela1[[#This Row],[Data entrega]],"mmmm")),"_",(YEAR(Tabela1[[#This Row],[Data entrega]])))</f>
        <v>agosto_2022</v>
      </c>
      <c r="AJ340" s="77">
        <f>IFERROR(IF(Tabela1[[#This Row],[Programa]]="",Tabela1[[#This Row],[Peso bruto]],VLOOKUP(Tabela1[[#This Row],[Pedido]],'Saldo a Produzir'!$A:$D,4,0)),"")</f>
        <v>1544.98</v>
      </c>
      <c r="AM340" s="73">
        <v>5969.1170000000002</v>
      </c>
    </row>
    <row r="341" spans="1:39" ht="14.5" x14ac:dyDescent="0.35">
      <c r="A341" s="81">
        <v>15069</v>
      </c>
      <c r="B341" s="81" t="s">
        <v>297</v>
      </c>
      <c r="C341" s="81">
        <v>97837181003910</v>
      </c>
      <c r="D341" s="81" t="s">
        <v>1070</v>
      </c>
      <c r="E341" s="81" t="s">
        <v>175</v>
      </c>
      <c r="F341" s="81" t="s">
        <v>148</v>
      </c>
      <c r="G341" s="81">
        <v>26178</v>
      </c>
      <c r="H341" s="81" t="s">
        <v>87</v>
      </c>
      <c r="I341" s="81" t="s">
        <v>32</v>
      </c>
      <c r="J341" s="81" t="s">
        <v>33</v>
      </c>
      <c r="K341" s="81" t="s">
        <v>34</v>
      </c>
      <c r="L341" s="81" t="s">
        <v>1072</v>
      </c>
      <c r="M341" s="81">
        <v>4508801296</v>
      </c>
      <c r="N341" s="90">
        <v>44701</v>
      </c>
      <c r="O341" s="90">
        <v>44785</v>
      </c>
      <c r="P341" s="90">
        <v>44701</v>
      </c>
      <c r="Q341" s="90" t="s">
        <v>35</v>
      </c>
      <c r="R341" s="81">
        <v>0</v>
      </c>
      <c r="S341" s="90" t="s">
        <v>35</v>
      </c>
      <c r="T341" s="81">
        <v>0</v>
      </c>
      <c r="U341" s="81" t="s">
        <v>36</v>
      </c>
      <c r="V341" s="90" t="s">
        <v>35</v>
      </c>
      <c r="W341" s="81" t="s">
        <v>1154</v>
      </c>
      <c r="X341" s="90">
        <v>44708</v>
      </c>
      <c r="Y341" s="81" t="s">
        <v>38</v>
      </c>
      <c r="Z341" s="81">
        <v>944</v>
      </c>
      <c r="AA341" s="81" t="s">
        <v>152</v>
      </c>
      <c r="AB341" s="81">
        <v>0</v>
      </c>
      <c r="AC341" s="81"/>
      <c r="AD341" s="81">
        <v>0</v>
      </c>
      <c r="AE341" s="81" t="s">
        <v>153</v>
      </c>
      <c r="AF341" s="81" t="s">
        <v>39</v>
      </c>
      <c r="AG341" s="83">
        <v>606.96</v>
      </c>
      <c r="AH341" s="95">
        <v>28910</v>
      </c>
      <c r="AI341" s="82" t="str">
        <f>CONCATENATE((TEXT(Tabela1[[#This Row],[Data entrega]],"mmmm")),"_",(YEAR(Tabela1[[#This Row],[Data entrega]])))</f>
        <v>agosto_2022</v>
      </c>
      <c r="AJ341" s="77">
        <f>IFERROR(IF(Tabela1[[#This Row],[Programa]]="",Tabela1[[#This Row],[Peso bruto]],VLOOKUP(Tabela1[[#This Row],[Pedido]],'Saldo a Produzir'!$A:$D,4,0)),"")</f>
        <v>258.33000000000004</v>
      </c>
      <c r="AM341" s="73">
        <v>1108.1389999999999</v>
      </c>
    </row>
    <row r="342" spans="1:39" ht="14.5" x14ac:dyDescent="0.35">
      <c r="A342" s="81">
        <v>15081</v>
      </c>
      <c r="B342" s="81" t="s">
        <v>699</v>
      </c>
      <c r="C342" s="81">
        <v>23577851000105</v>
      </c>
      <c r="D342" s="81" t="s">
        <v>919</v>
      </c>
      <c r="E342" s="81" t="s">
        <v>920</v>
      </c>
      <c r="F342" s="81" t="s">
        <v>142</v>
      </c>
      <c r="G342" s="81">
        <v>26105</v>
      </c>
      <c r="H342" s="81" t="s">
        <v>87</v>
      </c>
      <c r="I342" s="81" t="s">
        <v>32</v>
      </c>
      <c r="J342" s="81" t="s">
        <v>33</v>
      </c>
      <c r="K342" s="81" t="s">
        <v>34</v>
      </c>
      <c r="L342" s="81" t="s">
        <v>921</v>
      </c>
      <c r="M342" s="81"/>
      <c r="N342" s="90">
        <v>44692</v>
      </c>
      <c r="O342" s="90">
        <v>44785</v>
      </c>
      <c r="P342" s="90">
        <v>44704</v>
      </c>
      <c r="Q342" s="90" t="s">
        <v>35</v>
      </c>
      <c r="R342" s="81">
        <v>0</v>
      </c>
      <c r="S342" s="90" t="s">
        <v>35</v>
      </c>
      <c r="T342" s="81">
        <v>0</v>
      </c>
      <c r="U342" s="81" t="s">
        <v>36</v>
      </c>
      <c r="V342" s="90" t="s">
        <v>35</v>
      </c>
      <c r="W342" s="81" t="s">
        <v>1094</v>
      </c>
      <c r="X342" s="90">
        <v>44705</v>
      </c>
      <c r="Y342" s="81" t="s">
        <v>38</v>
      </c>
      <c r="Z342" s="81">
        <v>0</v>
      </c>
      <c r="AA342" s="81"/>
      <c r="AB342" s="81">
        <v>0</v>
      </c>
      <c r="AC342" s="81"/>
      <c r="AD342" s="81">
        <v>0</v>
      </c>
      <c r="AE342" s="81" t="s">
        <v>153</v>
      </c>
      <c r="AF342" s="81" t="s">
        <v>39</v>
      </c>
      <c r="AG342" s="83">
        <v>13736.619999999997</v>
      </c>
      <c r="AH342" s="95">
        <v>258125</v>
      </c>
      <c r="AI342" s="82" t="str">
        <f>CONCATENATE((TEXT(Tabela1[[#This Row],[Data entrega]],"mmmm")),"_",(YEAR(Tabela1[[#This Row],[Data entrega]])))</f>
        <v>agosto_2022</v>
      </c>
      <c r="AJ342" s="77">
        <f>IFERROR(IF(Tabela1[[#This Row],[Programa]]="",Tabela1[[#This Row],[Peso bruto]],VLOOKUP(Tabela1[[#This Row],[Pedido]],'Saldo a Produzir'!$A:$D,4,0)),"")</f>
        <v>13726.969999999998</v>
      </c>
      <c r="AM342" s="73">
        <v>13858.839</v>
      </c>
    </row>
    <row r="343" spans="1:39" ht="14.5" x14ac:dyDescent="0.35">
      <c r="A343" s="81">
        <v>15057</v>
      </c>
      <c r="B343" s="81" t="s">
        <v>60</v>
      </c>
      <c r="C343" s="81">
        <v>87546636000111</v>
      </c>
      <c r="D343" s="81" t="s">
        <v>494</v>
      </c>
      <c r="E343" s="81" t="s">
        <v>77</v>
      </c>
      <c r="F343" s="81" t="s">
        <v>58</v>
      </c>
      <c r="G343" s="81">
        <v>26227</v>
      </c>
      <c r="H343" s="81" t="s">
        <v>88</v>
      </c>
      <c r="I343" s="81" t="s">
        <v>32</v>
      </c>
      <c r="J343" s="81" t="s">
        <v>33</v>
      </c>
      <c r="K343" s="81" t="s">
        <v>34</v>
      </c>
      <c r="L343" s="81" t="s">
        <v>1129</v>
      </c>
      <c r="M343" s="81">
        <v>4147</v>
      </c>
      <c r="N343" s="90">
        <v>44707</v>
      </c>
      <c r="O343" s="90">
        <v>44785</v>
      </c>
      <c r="P343" s="90">
        <v>44709</v>
      </c>
      <c r="Q343" s="90" t="s">
        <v>35</v>
      </c>
      <c r="R343" s="81">
        <v>0</v>
      </c>
      <c r="S343" s="90" t="s">
        <v>35</v>
      </c>
      <c r="T343" s="81">
        <v>0</v>
      </c>
      <c r="U343" s="81" t="s">
        <v>36</v>
      </c>
      <c r="V343" s="90" t="s">
        <v>35</v>
      </c>
      <c r="W343" s="81" t="s">
        <v>1433</v>
      </c>
      <c r="X343" s="90">
        <v>44719</v>
      </c>
      <c r="Y343" s="81" t="s">
        <v>38</v>
      </c>
      <c r="Z343" s="81">
        <v>2257</v>
      </c>
      <c r="AA343" s="81" t="s">
        <v>155</v>
      </c>
      <c r="AB343" s="81">
        <v>0</v>
      </c>
      <c r="AC343" s="81"/>
      <c r="AD343" s="81">
        <v>0</v>
      </c>
      <c r="AE343" s="81" t="s">
        <v>153</v>
      </c>
      <c r="AF343" s="81" t="s">
        <v>39</v>
      </c>
      <c r="AG343" s="83">
        <v>0.49</v>
      </c>
      <c r="AH343" s="95">
        <v>9092.2000000000007</v>
      </c>
      <c r="AI343" s="82" t="str">
        <f>CONCATENATE((TEXT(Tabela1[[#This Row],[Data entrega]],"mmmm")),"_",(YEAR(Tabela1[[#This Row],[Data entrega]])))</f>
        <v>agosto_2022</v>
      </c>
      <c r="AJ343" s="77">
        <f>IFERROR(IF(Tabela1[[#This Row],[Programa]]="",Tabela1[[#This Row],[Peso bruto]],VLOOKUP(Tabela1[[#This Row],[Pedido]],'Saldo a Produzir'!$A:$D,4,0)),"")</f>
        <v>0.43</v>
      </c>
      <c r="AM343" s="73">
        <v>356.52499999999998</v>
      </c>
    </row>
    <row r="344" spans="1:39" ht="14.5" x14ac:dyDescent="0.35">
      <c r="A344" s="81">
        <v>15059</v>
      </c>
      <c r="B344" s="81" t="s">
        <v>63</v>
      </c>
      <c r="C344" s="81">
        <v>9072082000235</v>
      </c>
      <c r="D344" s="81" t="s">
        <v>922</v>
      </c>
      <c r="E344" s="81" t="s">
        <v>923</v>
      </c>
      <c r="F344" s="81" t="s">
        <v>64</v>
      </c>
      <c r="G344" s="81">
        <v>26103</v>
      </c>
      <c r="H344" s="81" t="s">
        <v>125</v>
      </c>
      <c r="I344" s="81" t="s">
        <v>32</v>
      </c>
      <c r="J344" s="81" t="s">
        <v>33</v>
      </c>
      <c r="K344" s="81" t="s">
        <v>34</v>
      </c>
      <c r="L344" s="81" t="s">
        <v>924</v>
      </c>
      <c r="M344" s="81">
        <v>97058</v>
      </c>
      <c r="N344" s="90">
        <v>44692</v>
      </c>
      <c r="O344" s="90">
        <v>44785</v>
      </c>
      <c r="P344" s="90">
        <v>44697</v>
      </c>
      <c r="Q344" s="90" t="s">
        <v>35</v>
      </c>
      <c r="R344" s="81">
        <v>0</v>
      </c>
      <c r="S344" s="90" t="s">
        <v>35</v>
      </c>
      <c r="T344" s="81">
        <v>0</v>
      </c>
      <c r="U344" s="81" t="s">
        <v>36</v>
      </c>
      <c r="V344" s="90" t="s">
        <v>35</v>
      </c>
      <c r="W344" s="81"/>
      <c r="X344" s="90" t="s">
        <v>37</v>
      </c>
      <c r="Y344" s="81" t="s">
        <v>38</v>
      </c>
      <c r="Z344" s="81">
        <v>2257</v>
      </c>
      <c r="AA344" s="81" t="s">
        <v>155</v>
      </c>
      <c r="AB344" s="81">
        <v>0</v>
      </c>
      <c r="AC344" s="81"/>
      <c r="AD344" s="81">
        <v>0</v>
      </c>
      <c r="AE344" s="81"/>
      <c r="AF344" s="81" t="s">
        <v>39</v>
      </c>
      <c r="AG344" s="83">
        <v>0</v>
      </c>
      <c r="AH344" s="95">
        <v>3920</v>
      </c>
      <c r="AI344" s="82" t="str">
        <f>CONCATENATE((TEXT(Tabela1[[#This Row],[Data entrega]],"mmmm")),"_",(YEAR(Tabela1[[#This Row],[Data entrega]])))</f>
        <v>agosto_2022</v>
      </c>
      <c r="AJ344" s="77">
        <f>IFERROR(IF(Tabela1[[#This Row],[Programa]]="",Tabela1[[#This Row],[Peso bruto]],VLOOKUP(Tabela1[[#This Row],[Pedido]],'Saldo a Produzir'!$A:$D,4,0)),"")</f>
        <v>0</v>
      </c>
      <c r="AM344" s="73">
        <v>0</v>
      </c>
    </row>
    <row r="345" spans="1:39" ht="14.5" x14ac:dyDescent="0.35">
      <c r="A345" s="81">
        <v>15059</v>
      </c>
      <c r="B345" s="81" t="s">
        <v>63</v>
      </c>
      <c r="C345" s="81">
        <v>9072082000235</v>
      </c>
      <c r="D345" s="81" t="s">
        <v>922</v>
      </c>
      <c r="E345" s="81" t="s">
        <v>923</v>
      </c>
      <c r="F345" s="81" t="s">
        <v>64</v>
      </c>
      <c r="G345" s="81">
        <v>26104</v>
      </c>
      <c r="H345" s="81" t="s">
        <v>88</v>
      </c>
      <c r="I345" s="81" t="s">
        <v>32</v>
      </c>
      <c r="J345" s="81" t="s">
        <v>33</v>
      </c>
      <c r="K345" s="81" t="s">
        <v>34</v>
      </c>
      <c r="L345" s="81" t="s">
        <v>924</v>
      </c>
      <c r="M345" s="81">
        <v>97056</v>
      </c>
      <c r="N345" s="90">
        <v>44692</v>
      </c>
      <c r="O345" s="90">
        <v>44785</v>
      </c>
      <c r="P345" s="90">
        <v>44697</v>
      </c>
      <c r="Q345" s="90" t="s">
        <v>35</v>
      </c>
      <c r="R345" s="81">
        <v>0</v>
      </c>
      <c r="S345" s="90" t="s">
        <v>35</v>
      </c>
      <c r="T345" s="81">
        <v>0</v>
      </c>
      <c r="U345" s="81" t="s">
        <v>36</v>
      </c>
      <c r="V345" s="90" t="s">
        <v>35</v>
      </c>
      <c r="W345" s="81" t="s">
        <v>1011</v>
      </c>
      <c r="X345" s="90">
        <v>44698</v>
      </c>
      <c r="Y345" s="81" t="s">
        <v>38</v>
      </c>
      <c r="Z345" s="81">
        <v>2257</v>
      </c>
      <c r="AA345" s="81" t="s">
        <v>155</v>
      </c>
      <c r="AB345" s="81">
        <v>0</v>
      </c>
      <c r="AC345" s="81"/>
      <c r="AD345" s="81">
        <v>0</v>
      </c>
      <c r="AE345" s="81" t="s">
        <v>153</v>
      </c>
      <c r="AF345" s="81" t="s">
        <v>39</v>
      </c>
      <c r="AG345" s="83">
        <v>168.02</v>
      </c>
      <c r="AH345" s="95">
        <v>5100.55</v>
      </c>
      <c r="AI345" s="82" t="str">
        <f>CONCATENATE((TEXT(Tabela1[[#This Row],[Data entrega]],"mmmm")),"_",(YEAR(Tabela1[[#This Row],[Data entrega]])))</f>
        <v>agosto_2022</v>
      </c>
      <c r="AJ345" s="77">
        <f>IFERROR(IF(Tabela1[[#This Row],[Programa]]="",Tabela1[[#This Row],[Peso bruto]],VLOOKUP(Tabela1[[#This Row],[Pedido]],'Saldo a Produzir'!$A:$D,4,0)),"")</f>
        <v>164.29000000000002</v>
      </c>
      <c r="AM345" s="73">
        <v>342.04199999999997</v>
      </c>
    </row>
    <row r="346" spans="1:39" ht="14.5" x14ac:dyDescent="0.35">
      <c r="A346" s="81">
        <v>15074</v>
      </c>
      <c r="B346" s="81" t="s">
        <v>161</v>
      </c>
      <c r="C346" s="81">
        <v>3157268000120</v>
      </c>
      <c r="D346" s="81" t="s">
        <v>1073</v>
      </c>
      <c r="E346" s="81" t="s">
        <v>654</v>
      </c>
      <c r="F346" s="81" t="s">
        <v>44</v>
      </c>
      <c r="G346" s="81">
        <v>26175</v>
      </c>
      <c r="H346" s="81" t="s">
        <v>88</v>
      </c>
      <c r="I346" s="81" t="s">
        <v>32</v>
      </c>
      <c r="J346" s="81" t="s">
        <v>33</v>
      </c>
      <c r="K346" s="81" t="s">
        <v>34</v>
      </c>
      <c r="L346" s="81" t="s">
        <v>1074</v>
      </c>
      <c r="M346" s="81"/>
      <c r="N346" s="90">
        <v>44701</v>
      </c>
      <c r="O346" s="90">
        <v>44785</v>
      </c>
      <c r="P346" s="90">
        <v>44701</v>
      </c>
      <c r="Q346" s="90" t="s">
        <v>35</v>
      </c>
      <c r="R346" s="81">
        <v>0</v>
      </c>
      <c r="S346" s="90" t="s">
        <v>35</v>
      </c>
      <c r="T346" s="81">
        <v>0</v>
      </c>
      <c r="U346" s="81" t="s">
        <v>36</v>
      </c>
      <c r="V346" s="90" t="s">
        <v>35</v>
      </c>
      <c r="W346" s="81" t="s">
        <v>1125</v>
      </c>
      <c r="X346" s="90">
        <v>44706</v>
      </c>
      <c r="Y346" s="81" t="s">
        <v>38</v>
      </c>
      <c r="Z346" s="81">
        <v>0</v>
      </c>
      <c r="AA346" s="81"/>
      <c r="AB346" s="81">
        <v>0</v>
      </c>
      <c r="AC346" s="81"/>
      <c r="AD346" s="81">
        <v>0</v>
      </c>
      <c r="AE346" s="81" t="s">
        <v>153</v>
      </c>
      <c r="AF346" s="81" t="s">
        <v>39</v>
      </c>
      <c r="AG346" s="83">
        <v>6184.98</v>
      </c>
      <c r="AH346" s="95">
        <v>134225.01</v>
      </c>
      <c r="AI346" s="82" t="str">
        <f>CONCATENATE((TEXT(Tabela1[[#This Row],[Data entrega]],"mmmm")),"_",(YEAR(Tabela1[[#This Row],[Data entrega]])))</f>
        <v>agosto_2022</v>
      </c>
      <c r="AJ346" s="77">
        <f>IFERROR(IF(Tabela1[[#This Row],[Programa]]="",Tabela1[[#This Row],[Peso bruto]],VLOOKUP(Tabela1[[#This Row],[Pedido]],'Saldo a Produzir'!$A:$D,4,0)),"")</f>
        <v>1766.68</v>
      </c>
      <c r="AM346" s="73">
        <v>6350.1379999999999</v>
      </c>
    </row>
    <row r="347" spans="1:39" ht="14.5" x14ac:dyDescent="0.35">
      <c r="A347" s="81">
        <v>15067</v>
      </c>
      <c r="B347" s="81" t="s">
        <v>59</v>
      </c>
      <c r="C347" s="81">
        <v>92080035000104</v>
      </c>
      <c r="D347" s="81" t="s">
        <v>1463</v>
      </c>
      <c r="E347" s="81" t="s">
        <v>1464</v>
      </c>
      <c r="F347" s="81" t="s">
        <v>58</v>
      </c>
      <c r="G347" s="81">
        <v>26339</v>
      </c>
      <c r="H347" s="81" t="s">
        <v>88</v>
      </c>
      <c r="I347" s="81" t="s">
        <v>32</v>
      </c>
      <c r="J347" s="81" t="s">
        <v>33</v>
      </c>
      <c r="K347" s="81" t="s">
        <v>34</v>
      </c>
      <c r="L347" s="81" t="s">
        <v>1465</v>
      </c>
      <c r="M347" s="81">
        <v>214827</v>
      </c>
      <c r="N347" s="90">
        <v>44721</v>
      </c>
      <c r="O347" s="90">
        <v>44785</v>
      </c>
      <c r="P347" s="90">
        <v>44721</v>
      </c>
      <c r="Q347" s="90" t="s">
        <v>35</v>
      </c>
      <c r="R347" s="81">
        <v>0</v>
      </c>
      <c r="S347" s="90" t="s">
        <v>35</v>
      </c>
      <c r="T347" s="81">
        <v>0</v>
      </c>
      <c r="U347" s="81" t="s">
        <v>36</v>
      </c>
      <c r="V347" s="90" t="s">
        <v>35</v>
      </c>
      <c r="W347" s="81"/>
      <c r="X347" s="90" t="s">
        <v>37</v>
      </c>
      <c r="Y347" s="81" t="s">
        <v>38</v>
      </c>
      <c r="Z347" s="81">
        <v>2257</v>
      </c>
      <c r="AA347" s="81" t="s">
        <v>155</v>
      </c>
      <c r="AB347" s="81">
        <v>0</v>
      </c>
      <c r="AC347" s="81"/>
      <c r="AD347" s="81">
        <v>0</v>
      </c>
      <c r="AE347" s="81" t="s">
        <v>153</v>
      </c>
      <c r="AF347" s="81" t="s">
        <v>39</v>
      </c>
      <c r="AG347" s="83">
        <v>744</v>
      </c>
      <c r="AH347" s="95">
        <v>8337.44</v>
      </c>
      <c r="AI347" s="82" t="str">
        <f>CONCATENATE((TEXT(Tabela1[[#This Row],[Data entrega]],"mmmm")),"_",(YEAR(Tabela1[[#This Row],[Data entrega]])))</f>
        <v>agosto_2022</v>
      </c>
      <c r="AJ347" s="77">
        <f>IFERROR(IF(Tabela1[[#This Row],[Programa]]="",Tabela1[[#This Row],[Peso bruto]],VLOOKUP(Tabela1[[#This Row],[Pedido]],'Saldo a Produzir'!$A:$D,4,0)),"")</f>
        <v>744</v>
      </c>
      <c r="AM347" s="73">
        <v>744</v>
      </c>
    </row>
    <row r="348" spans="1:39" ht="14.5" x14ac:dyDescent="0.35">
      <c r="A348" s="81">
        <v>15067</v>
      </c>
      <c r="B348" s="81" t="s">
        <v>59</v>
      </c>
      <c r="C348" s="81">
        <v>87727277000107</v>
      </c>
      <c r="D348" s="81" t="s">
        <v>942</v>
      </c>
      <c r="E348" s="81" t="s">
        <v>57</v>
      </c>
      <c r="F348" s="81" t="s">
        <v>58</v>
      </c>
      <c r="G348" s="81">
        <v>26113</v>
      </c>
      <c r="H348" s="81" t="s">
        <v>88</v>
      </c>
      <c r="I348" s="81" t="s">
        <v>32</v>
      </c>
      <c r="J348" s="81" t="s">
        <v>33</v>
      </c>
      <c r="K348" s="81" t="s">
        <v>34</v>
      </c>
      <c r="L348" s="81" t="s">
        <v>943</v>
      </c>
      <c r="M348" s="81">
        <v>19152</v>
      </c>
      <c r="N348" s="90">
        <v>44693</v>
      </c>
      <c r="O348" s="90">
        <v>44785</v>
      </c>
      <c r="P348" s="90">
        <v>44697</v>
      </c>
      <c r="Q348" s="90" t="s">
        <v>35</v>
      </c>
      <c r="R348" s="81">
        <v>0</v>
      </c>
      <c r="S348" s="90" t="s">
        <v>35</v>
      </c>
      <c r="T348" s="81">
        <v>0</v>
      </c>
      <c r="U348" s="81" t="s">
        <v>36</v>
      </c>
      <c r="V348" s="90" t="s">
        <v>35</v>
      </c>
      <c r="W348" s="81" t="s">
        <v>1011</v>
      </c>
      <c r="X348" s="90">
        <v>44698</v>
      </c>
      <c r="Y348" s="81" t="s">
        <v>38</v>
      </c>
      <c r="Z348" s="81">
        <v>0</v>
      </c>
      <c r="AA348" s="81"/>
      <c r="AB348" s="81">
        <v>0</v>
      </c>
      <c r="AC348" s="81"/>
      <c r="AD348" s="81">
        <v>0</v>
      </c>
      <c r="AE348" s="81" t="s">
        <v>153</v>
      </c>
      <c r="AF348" s="81" t="s">
        <v>39</v>
      </c>
      <c r="AG348" s="83">
        <v>967.65000000000009</v>
      </c>
      <c r="AH348" s="95">
        <v>31520.16</v>
      </c>
      <c r="AI348" s="82" t="str">
        <f>CONCATENATE((TEXT(Tabela1[[#This Row],[Data entrega]],"mmmm")),"_",(YEAR(Tabela1[[#This Row],[Data entrega]])))</f>
        <v>agosto_2022</v>
      </c>
      <c r="AJ348" s="77">
        <f>IFERROR(IF(Tabela1[[#This Row],[Programa]]="",Tabela1[[#This Row],[Peso bruto]],VLOOKUP(Tabela1[[#This Row],[Pedido]],'Saldo a Produzir'!$A:$D,4,0)),"")</f>
        <v>591.78000000000009</v>
      </c>
      <c r="AM348" s="73">
        <v>1498.7260000000001</v>
      </c>
    </row>
    <row r="349" spans="1:39" ht="14.5" x14ac:dyDescent="0.35">
      <c r="A349" s="81">
        <v>15057</v>
      </c>
      <c r="B349" s="81" t="s">
        <v>60</v>
      </c>
      <c r="C349" s="81">
        <v>1639071000100</v>
      </c>
      <c r="D349" s="81" t="s">
        <v>1130</v>
      </c>
      <c r="E349" s="81" t="s">
        <v>1055</v>
      </c>
      <c r="F349" s="81" t="s">
        <v>64</v>
      </c>
      <c r="G349" s="81">
        <v>26228</v>
      </c>
      <c r="H349" s="81" t="s">
        <v>88</v>
      </c>
      <c r="I349" s="81" t="s">
        <v>32</v>
      </c>
      <c r="J349" s="81" t="s">
        <v>33</v>
      </c>
      <c r="K349" s="81" t="s">
        <v>34</v>
      </c>
      <c r="L349" s="81" t="s">
        <v>1131</v>
      </c>
      <c r="M349" s="81"/>
      <c r="N349" s="90">
        <v>44707</v>
      </c>
      <c r="O349" s="90">
        <v>44785</v>
      </c>
      <c r="P349" s="90">
        <v>44708</v>
      </c>
      <c r="Q349" s="90" t="s">
        <v>35</v>
      </c>
      <c r="R349" s="81">
        <v>0</v>
      </c>
      <c r="S349" s="90" t="s">
        <v>35</v>
      </c>
      <c r="T349" s="81">
        <v>0</v>
      </c>
      <c r="U349" s="81" t="s">
        <v>36</v>
      </c>
      <c r="V349" s="90" t="s">
        <v>35</v>
      </c>
      <c r="W349" s="81" t="s">
        <v>1433</v>
      </c>
      <c r="X349" s="90">
        <v>44719</v>
      </c>
      <c r="Y349" s="81" t="s">
        <v>38</v>
      </c>
      <c r="Z349" s="81">
        <v>2235</v>
      </c>
      <c r="AA349" s="81" t="s">
        <v>144</v>
      </c>
      <c r="AB349" s="81">
        <v>0</v>
      </c>
      <c r="AC349" s="81"/>
      <c r="AD349" s="81">
        <v>0</v>
      </c>
      <c r="AE349" s="81" t="s">
        <v>153</v>
      </c>
      <c r="AF349" s="81" t="s">
        <v>39</v>
      </c>
      <c r="AG349" s="83">
        <v>90.429999999999993</v>
      </c>
      <c r="AH349" s="95">
        <v>20826.04</v>
      </c>
      <c r="AI349" s="82" t="str">
        <f>CONCATENATE((TEXT(Tabela1[[#This Row],[Data entrega]],"mmmm")),"_",(YEAR(Tabela1[[#This Row],[Data entrega]])))</f>
        <v>agosto_2022</v>
      </c>
      <c r="AJ349" s="77">
        <f>IFERROR(IF(Tabela1[[#This Row],[Programa]]="",Tabela1[[#This Row],[Peso bruto]],VLOOKUP(Tabela1[[#This Row],[Pedido]],'Saldo a Produzir'!$A:$D,4,0)),"")</f>
        <v>89.28</v>
      </c>
      <c r="AM349" s="73">
        <v>827.10400000000004</v>
      </c>
    </row>
    <row r="350" spans="1:39" ht="14.5" x14ac:dyDescent="0.35">
      <c r="A350" s="81">
        <v>15059</v>
      </c>
      <c r="B350" s="81" t="s">
        <v>63</v>
      </c>
      <c r="C350" s="81">
        <v>86375912000163</v>
      </c>
      <c r="D350" s="81" t="s">
        <v>951</v>
      </c>
      <c r="E350" s="81" t="s">
        <v>952</v>
      </c>
      <c r="F350" s="81" t="s">
        <v>64</v>
      </c>
      <c r="G350" s="81">
        <v>26118</v>
      </c>
      <c r="H350" s="81" t="s">
        <v>92</v>
      </c>
      <c r="I350" s="81" t="s">
        <v>32</v>
      </c>
      <c r="J350" s="81" t="s">
        <v>33</v>
      </c>
      <c r="K350" s="81" t="s">
        <v>34</v>
      </c>
      <c r="L350" s="81" t="s">
        <v>953</v>
      </c>
      <c r="M350" s="81">
        <v>4500034278</v>
      </c>
      <c r="N350" s="90">
        <v>44693</v>
      </c>
      <c r="O350" s="90">
        <v>44785</v>
      </c>
      <c r="P350" s="90">
        <v>44715</v>
      </c>
      <c r="Q350" s="90" t="s">
        <v>35</v>
      </c>
      <c r="R350" s="81">
        <v>0</v>
      </c>
      <c r="S350" s="90" t="s">
        <v>35</v>
      </c>
      <c r="T350" s="81">
        <v>0</v>
      </c>
      <c r="U350" s="81" t="s">
        <v>36</v>
      </c>
      <c r="V350" s="90" t="s">
        <v>35</v>
      </c>
      <c r="W350" s="81" t="s">
        <v>1094</v>
      </c>
      <c r="X350" s="90">
        <v>44705</v>
      </c>
      <c r="Y350" s="81" t="s">
        <v>38</v>
      </c>
      <c r="Z350" s="81">
        <v>0</v>
      </c>
      <c r="AA350" s="81"/>
      <c r="AB350" s="81">
        <v>0</v>
      </c>
      <c r="AC350" s="81"/>
      <c r="AD350" s="81">
        <v>0</v>
      </c>
      <c r="AE350" s="81" t="s">
        <v>153</v>
      </c>
      <c r="AF350" s="81" t="s">
        <v>39</v>
      </c>
      <c r="AG350" s="83">
        <v>1860.0700000000002</v>
      </c>
      <c r="AH350" s="95">
        <v>62703.73</v>
      </c>
      <c r="AI350" s="82" t="str">
        <f>CONCATENATE((TEXT(Tabela1[[#This Row],[Data entrega]],"mmmm")),"_",(YEAR(Tabela1[[#This Row],[Data entrega]])))</f>
        <v>agosto_2022</v>
      </c>
      <c r="AJ350" s="77">
        <f>IFERROR(IF(Tabela1[[#This Row],[Programa]]="",Tabela1[[#This Row],[Peso bruto]],VLOOKUP(Tabela1[[#This Row],[Pedido]],'Saldo a Produzir'!$A:$D,4,0)),"")</f>
        <v>607.31999999999994</v>
      </c>
      <c r="AM350" s="73">
        <v>5116.5910000000003</v>
      </c>
    </row>
    <row r="351" spans="1:39" ht="14.5" x14ac:dyDescent="0.35">
      <c r="A351" s="81">
        <v>15057</v>
      </c>
      <c r="B351" s="81" t="s">
        <v>60</v>
      </c>
      <c r="C351" s="81">
        <v>8683268000187</v>
      </c>
      <c r="D351" s="81" t="s">
        <v>424</v>
      </c>
      <c r="E351" s="81" t="s">
        <v>170</v>
      </c>
      <c r="F351" s="81" t="s">
        <v>58</v>
      </c>
      <c r="G351" s="81">
        <v>25140</v>
      </c>
      <c r="H351" s="81" t="s">
        <v>90</v>
      </c>
      <c r="I351" s="81" t="s">
        <v>32</v>
      </c>
      <c r="J351" s="81" t="s">
        <v>33</v>
      </c>
      <c r="K351" s="81" t="s">
        <v>34</v>
      </c>
      <c r="L351" s="81" t="s">
        <v>425</v>
      </c>
      <c r="M351" s="81"/>
      <c r="N351" s="90">
        <v>44545</v>
      </c>
      <c r="O351" s="90">
        <v>44785</v>
      </c>
      <c r="P351" s="90">
        <v>44685</v>
      </c>
      <c r="Q351" s="90" t="s">
        <v>35</v>
      </c>
      <c r="R351" s="81">
        <v>0</v>
      </c>
      <c r="S351" s="90" t="s">
        <v>35</v>
      </c>
      <c r="T351" s="81">
        <v>0</v>
      </c>
      <c r="U351" s="81" t="s">
        <v>36</v>
      </c>
      <c r="V351" s="90" t="s">
        <v>35</v>
      </c>
      <c r="W351" s="81" t="s">
        <v>511</v>
      </c>
      <c r="X351" s="90">
        <v>44603</v>
      </c>
      <c r="Y351" s="81" t="s">
        <v>38</v>
      </c>
      <c r="Z351" s="81">
        <v>0</v>
      </c>
      <c r="AA351" s="81"/>
      <c r="AB351" s="81">
        <v>0</v>
      </c>
      <c r="AC351" s="81"/>
      <c r="AD351" s="81">
        <v>0</v>
      </c>
      <c r="AE351" s="81" t="s">
        <v>153</v>
      </c>
      <c r="AF351" s="81" t="s">
        <v>39</v>
      </c>
      <c r="AG351" s="83">
        <v>2952.78</v>
      </c>
      <c r="AH351" s="95">
        <v>1425833.33</v>
      </c>
      <c r="AI351" s="82" t="str">
        <f>CONCATENATE((TEXT(Tabela1[[#This Row],[Data entrega]],"mmmm")),"_",(YEAR(Tabela1[[#This Row],[Data entrega]])))</f>
        <v>agosto_2022</v>
      </c>
      <c r="AJ351" s="77">
        <f>IFERROR(IF(Tabela1[[#This Row],[Programa]]="",Tabela1[[#This Row],[Peso bruto]],VLOOKUP(Tabela1[[#This Row],[Pedido]],'Saldo a Produzir'!$A:$D,4,0)),"")</f>
        <v>1857.75</v>
      </c>
      <c r="AM351" s="73">
        <v>54962.504000000001</v>
      </c>
    </row>
    <row r="352" spans="1:39" ht="14.5" x14ac:dyDescent="0.35">
      <c r="A352" s="81">
        <v>15075</v>
      </c>
      <c r="B352" s="81" t="s">
        <v>166</v>
      </c>
      <c r="C352" s="81">
        <v>89188973000100</v>
      </c>
      <c r="D352" s="81" t="s">
        <v>954</v>
      </c>
      <c r="E352" s="81" t="s">
        <v>955</v>
      </c>
      <c r="F352" s="81" t="s">
        <v>58</v>
      </c>
      <c r="G352" s="81">
        <v>26121</v>
      </c>
      <c r="H352" s="81" t="s">
        <v>92</v>
      </c>
      <c r="I352" s="81" t="s">
        <v>32</v>
      </c>
      <c r="J352" s="81" t="s">
        <v>33</v>
      </c>
      <c r="K352" s="81" t="s">
        <v>34</v>
      </c>
      <c r="L352" s="81" t="s">
        <v>956</v>
      </c>
      <c r="M352" s="81">
        <v>28880</v>
      </c>
      <c r="N352" s="90">
        <v>44693</v>
      </c>
      <c r="O352" s="90">
        <v>44785</v>
      </c>
      <c r="P352" s="90">
        <v>44697</v>
      </c>
      <c r="Q352" s="90" t="s">
        <v>35</v>
      </c>
      <c r="R352" s="81">
        <v>0</v>
      </c>
      <c r="S352" s="90" t="s">
        <v>35</v>
      </c>
      <c r="T352" s="81">
        <v>0</v>
      </c>
      <c r="U352" s="81" t="s">
        <v>36</v>
      </c>
      <c r="V352" s="90" t="s">
        <v>35</v>
      </c>
      <c r="W352" s="81" t="s">
        <v>1048</v>
      </c>
      <c r="X352" s="90">
        <v>44700</v>
      </c>
      <c r="Y352" s="81" t="s">
        <v>38</v>
      </c>
      <c r="Z352" s="81">
        <v>2257</v>
      </c>
      <c r="AA352" s="81" t="s">
        <v>155</v>
      </c>
      <c r="AB352" s="81">
        <v>0</v>
      </c>
      <c r="AC352" s="81"/>
      <c r="AD352" s="81">
        <v>0</v>
      </c>
      <c r="AE352" s="81" t="s">
        <v>153</v>
      </c>
      <c r="AF352" s="81" t="s">
        <v>39</v>
      </c>
      <c r="AG352" s="83">
        <v>249.73</v>
      </c>
      <c r="AH352" s="95">
        <v>7791.25</v>
      </c>
      <c r="AI352" s="82" t="str">
        <f>CONCATENATE((TEXT(Tabela1[[#This Row],[Data entrega]],"mmmm")),"_",(YEAR(Tabela1[[#This Row],[Data entrega]])))</f>
        <v>agosto_2022</v>
      </c>
      <c r="AJ352" s="77">
        <f>IFERROR(IF(Tabela1[[#This Row],[Programa]]="",Tabela1[[#This Row],[Peso bruto]],VLOOKUP(Tabela1[[#This Row],[Pedido]],'Saldo a Produzir'!$A:$D,4,0)),"")</f>
        <v>150.67000000000002</v>
      </c>
      <c r="AM352" s="73">
        <v>247.452</v>
      </c>
    </row>
    <row r="353" spans="1:39" ht="14.5" x14ac:dyDescent="0.35">
      <c r="A353" s="81">
        <v>15070</v>
      </c>
      <c r="B353" s="81" t="s">
        <v>140</v>
      </c>
      <c r="C353" s="81">
        <v>19471981000183</v>
      </c>
      <c r="D353" s="81" t="s">
        <v>843</v>
      </c>
      <c r="E353" s="81" t="s">
        <v>52</v>
      </c>
      <c r="F353" s="81" t="s">
        <v>42</v>
      </c>
      <c r="G353" s="81">
        <v>26008</v>
      </c>
      <c r="H353" s="81" t="s">
        <v>88</v>
      </c>
      <c r="I353" s="81" t="s">
        <v>32</v>
      </c>
      <c r="J353" s="81" t="s">
        <v>33</v>
      </c>
      <c r="K353" s="81" t="s">
        <v>34</v>
      </c>
      <c r="L353" s="81" t="s">
        <v>844</v>
      </c>
      <c r="M353" s="81"/>
      <c r="N353" s="90">
        <v>44679</v>
      </c>
      <c r="O353" s="90">
        <v>44785</v>
      </c>
      <c r="P353" s="90">
        <v>44683</v>
      </c>
      <c r="Q353" s="90" t="s">
        <v>35</v>
      </c>
      <c r="R353" s="81">
        <v>0</v>
      </c>
      <c r="S353" s="90" t="s">
        <v>35</v>
      </c>
      <c r="T353" s="81">
        <v>0</v>
      </c>
      <c r="U353" s="81" t="s">
        <v>36</v>
      </c>
      <c r="V353" s="90" t="s">
        <v>35</v>
      </c>
      <c r="W353" s="81" t="s">
        <v>913</v>
      </c>
      <c r="X353" s="90">
        <v>44690</v>
      </c>
      <c r="Y353" s="81" t="s">
        <v>38</v>
      </c>
      <c r="Z353" s="81">
        <v>0</v>
      </c>
      <c r="AA353" s="81"/>
      <c r="AB353" s="81">
        <v>0</v>
      </c>
      <c r="AC353" s="81"/>
      <c r="AD353" s="81">
        <v>0</v>
      </c>
      <c r="AE353" s="81" t="s">
        <v>153</v>
      </c>
      <c r="AF353" s="81" t="s">
        <v>39</v>
      </c>
      <c r="AG353" s="83">
        <v>20270.78</v>
      </c>
      <c r="AH353" s="95">
        <v>709327.5</v>
      </c>
      <c r="AI353" s="82" t="str">
        <f>CONCATENATE((TEXT(Tabela1[[#This Row],[Data entrega]],"mmmm")),"_",(YEAR(Tabela1[[#This Row],[Data entrega]])))</f>
        <v>agosto_2022</v>
      </c>
      <c r="AJ353" s="77">
        <f>IFERROR(IF(Tabela1[[#This Row],[Programa]]="",Tabela1[[#This Row],[Peso bruto]],VLOOKUP(Tabela1[[#This Row],[Pedido]],'Saldo a Produzir'!$A:$D,4,0)),"")</f>
        <v>19977.449999999997</v>
      </c>
      <c r="AM353" s="73">
        <v>41330.860999999997</v>
      </c>
    </row>
    <row r="354" spans="1:39" ht="14.5" x14ac:dyDescent="0.35">
      <c r="A354" s="81">
        <v>15909</v>
      </c>
      <c r="B354" s="81" t="s">
        <v>223</v>
      </c>
      <c r="C354" s="81">
        <v>61585865288660</v>
      </c>
      <c r="D354" s="81" t="s">
        <v>845</v>
      </c>
      <c r="E354" s="81" t="s">
        <v>803</v>
      </c>
      <c r="F354" s="81" t="s">
        <v>103</v>
      </c>
      <c r="G354" s="81">
        <v>25992</v>
      </c>
      <c r="H354" s="81" t="s">
        <v>92</v>
      </c>
      <c r="I354" s="81" t="s">
        <v>32</v>
      </c>
      <c r="J354" s="81" t="s">
        <v>33</v>
      </c>
      <c r="K354" s="81" t="s">
        <v>34</v>
      </c>
      <c r="L354" s="81" t="s">
        <v>846</v>
      </c>
      <c r="M354" s="81">
        <v>4504521519</v>
      </c>
      <c r="N354" s="90">
        <v>44678</v>
      </c>
      <c r="O354" s="90">
        <v>44785</v>
      </c>
      <c r="P354" s="90">
        <v>44678</v>
      </c>
      <c r="Q354" s="90" t="s">
        <v>35</v>
      </c>
      <c r="R354" s="81">
        <v>0</v>
      </c>
      <c r="S354" s="90" t="s">
        <v>35</v>
      </c>
      <c r="T354" s="81">
        <v>0</v>
      </c>
      <c r="U354" s="81" t="s">
        <v>36</v>
      </c>
      <c r="V354" s="90" t="s">
        <v>35</v>
      </c>
      <c r="W354" s="81" t="s">
        <v>1052</v>
      </c>
      <c r="X354" s="90">
        <v>44699</v>
      </c>
      <c r="Y354" s="81" t="s">
        <v>38</v>
      </c>
      <c r="Z354" s="81">
        <v>13</v>
      </c>
      <c r="AA354" s="81" t="s">
        <v>149</v>
      </c>
      <c r="AB354" s="81">
        <v>0</v>
      </c>
      <c r="AC354" s="81"/>
      <c r="AD354" s="81">
        <v>0</v>
      </c>
      <c r="AE354" s="81" t="s">
        <v>153</v>
      </c>
      <c r="AF354" s="81" t="s">
        <v>39</v>
      </c>
      <c r="AG354" s="83">
        <v>172341.33000000002</v>
      </c>
      <c r="AH354" s="95">
        <v>3059399.28</v>
      </c>
      <c r="AI354" s="82" t="str">
        <f>CONCATENATE((TEXT(Tabela1[[#This Row],[Data entrega]],"mmmm")),"_",(YEAR(Tabela1[[#This Row],[Data entrega]])))</f>
        <v>agosto_2022</v>
      </c>
      <c r="AJ354" s="77">
        <f>IFERROR(IF(Tabela1[[#This Row],[Programa]]="",Tabela1[[#This Row],[Peso bruto]],VLOOKUP(Tabela1[[#This Row],[Pedido]],'Saldo a Produzir'!$A:$D,4,0)),"")</f>
        <v>157984.33000000002</v>
      </c>
      <c r="AM354" s="73">
        <v>177859.193</v>
      </c>
    </row>
    <row r="355" spans="1:39" ht="14.5" x14ac:dyDescent="0.35">
      <c r="A355" s="81">
        <v>15909</v>
      </c>
      <c r="B355" s="81" t="s">
        <v>223</v>
      </c>
      <c r="C355" s="81">
        <v>61585865288660</v>
      </c>
      <c r="D355" s="81" t="s">
        <v>845</v>
      </c>
      <c r="E355" s="81" t="s">
        <v>803</v>
      </c>
      <c r="F355" s="81" t="s">
        <v>103</v>
      </c>
      <c r="G355" s="81">
        <v>25993</v>
      </c>
      <c r="H355" s="81" t="s">
        <v>92</v>
      </c>
      <c r="I355" s="81" t="s">
        <v>32</v>
      </c>
      <c r="J355" s="81" t="s">
        <v>33</v>
      </c>
      <c r="K355" s="81" t="s">
        <v>34</v>
      </c>
      <c r="L355" s="81" t="s">
        <v>846</v>
      </c>
      <c r="M355" s="81">
        <v>4504521519</v>
      </c>
      <c r="N355" s="90">
        <v>44678</v>
      </c>
      <c r="O355" s="90">
        <v>44785</v>
      </c>
      <c r="P355" s="90">
        <v>44678</v>
      </c>
      <c r="Q355" s="90" t="s">
        <v>35</v>
      </c>
      <c r="R355" s="81">
        <v>0</v>
      </c>
      <c r="S355" s="90" t="s">
        <v>35</v>
      </c>
      <c r="T355" s="81">
        <v>0</v>
      </c>
      <c r="U355" s="81" t="s">
        <v>36</v>
      </c>
      <c r="V355" s="90" t="s">
        <v>35</v>
      </c>
      <c r="W355" s="81" t="s">
        <v>1053</v>
      </c>
      <c r="X355" s="90">
        <v>44699</v>
      </c>
      <c r="Y355" s="81" t="s">
        <v>38</v>
      </c>
      <c r="Z355" s="81">
        <v>13</v>
      </c>
      <c r="AA355" s="81" t="s">
        <v>149</v>
      </c>
      <c r="AB355" s="81">
        <v>0</v>
      </c>
      <c r="AC355" s="81"/>
      <c r="AD355" s="81">
        <v>0</v>
      </c>
      <c r="AE355" s="81" t="s">
        <v>153</v>
      </c>
      <c r="AF355" s="81" t="s">
        <v>39</v>
      </c>
      <c r="AG355" s="83">
        <v>96595.249999999985</v>
      </c>
      <c r="AH355" s="95">
        <v>1790867.87</v>
      </c>
      <c r="AI355" s="82" t="str">
        <f>CONCATENATE((TEXT(Tabela1[[#This Row],[Data entrega]],"mmmm")),"_",(YEAR(Tabela1[[#This Row],[Data entrega]])))</f>
        <v>agosto_2022</v>
      </c>
      <c r="AJ355" s="77">
        <f>IFERROR(IF(Tabela1[[#This Row],[Programa]]="",Tabela1[[#This Row],[Peso bruto]],VLOOKUP(Tabela1[[#This Row],[Pedido]],'Saldo a Produzir'!$A:$D,4,0)),"")</f>
        <v>82961.039999999994</v>
      </c>
      <c r="AM355" s="73">
        <v>97546.126000000004</v>
      </c>
    </row>
    <row r="356" spans="1:39" ht="14.5" x14ac:dyDescent="0.35">
      <c r="A356" s="81">
        <v>15909</v>
      </c>
      <c r="B356" s="81" t="s">
        <v>223</v>
      </c>
      <c r="C356" s="81">
        <v>61585865288660</v>
      </c>
      <c r="D356" s="81" t="s">
        <v>845</v>
      </c>
      <c r="E356" s="81" t="s">
        <v>803</v>
      </c>
      <c r="F356" s="81" t="s">
        <v>103</v>
      </c>
      <c r="G356" s="81">
        <v>25994</v>
      </c>
      <c r="H356" s="81" t="s">
        <v>92</v>
      </c>
      <c r="I356" s="81" t="s">
        <v>32</v>
      </c>
      <c r="J356" s="81" t="s">
        <v>33</v>
      </c>
      <c r="K356" s="81" t="s">
        <v>34</v>
      </c>
      <c r="L356" s="81" t="s">
        <v>846</v>
      </c>
      <c r="M356" s="81">
        <v>4504521519</v>
      </c>
      <c r="N356" s="90">
        <v>44678</v>
      </c>
      <c r="O356" s="90">
        <v>44785</v>
      </c>
      <c r="P356" s="90">
        <v>44678</v>
      </c>
      <c r="Q356" s="90" t="s">
        <v>35</v>
      </c>
      <c r="R356" s="81">
        <v>0</v>
      </c>
      <c r="S356" s="90" t="s">
        <v>35</v>
      </c>
      <c r="T356" s="81">
        <v>0</v>
      </c>
      <c r="U356" s="81" t="s">
        <v>36</v>
      </c>
      <c r="V356" s="90" t="s">
        <v>35</v>
      </c>
      <c r="W356" s="81" t="s">
        <v>1054</v>
      </c>
      <c r="X356" s="90">
        <v>44700</v>
      </c>
      <c r="Y356" s="81" t="s">
        <v>38</v>
      </c>
      <c r="Z356" s="81">
        <v>13</v>
      </c>
      <c r="AA356" s="81" t="s">
        <v>149</v>
      </c>
      <c r="AB356" s="81">
        <v>0</v>
      </c>
      <c r="AC356" s="81"/>
      <c r="AD356" s="81">
        <v>0</v>
      </c>
      <c r="AE356" s="81" t="s">
        <v>153</v>
      </c>
      <c r="AF356" s="81" t="s">
        <v>39</v>
      </c>
      <c r="AG356" s="83">
        <v>114622.73000000001</v>
      </c>
      <c r="AH356" s="95">
        <v>2163965.35</v>
      </c>
      <c r="AI356" s="82" t="str">
        <f>CONCATENATE((TEXT(Tabela1[[#This Row],[Data entrega]],"mmmm")),"_",(YEAR(Tabela1[[#This Row],[Data entrega]])))</f>
        <v>agosto_2022</v>
      </c>
      <c r="AJ356" s="77">
        <f>IFERROR(IF(Tabela1[[#This Row],[Programa]]="",Tabela1[[#This Row],[Peso bruto]],VLOOKUP(Tabela1[[#This Row],[Pedido]],'Saldo a Produzir'!$A:$D,4,0)),"")</f>
        <v>111144.63000000002</v>
      </c>
      <c r="AM356" s="73">
        <v>115242.489</v>
      </c>
    </row>
    <row r="357" spans="1:39" ht="14.5" x14ac:dyDescent="0.35">
      <c r="A357" s="81">
        <v>15909</v>
      </c>
      <c r="B357" s="81" t="s">
        <v>223</v>
      </c>
      <c r="C357" s="81">
        <v>61585865288660</v>
      </c>
      <c r="D357" s="81" t="s">
        <v>845</v>
      </c>
      <c r="E357" s="81" t="s">
        <v>803</v>
      </c>
      <c r="F357" s="81" t="s">
        <v>103</v>
      </c>
      <c r="G357" s="81">
        <v>25995</v>
      </c>
      <c r="H357" s="81" t="s">
        <v>92</v>
      </c>
      <c r="I357" s="81" t="s">
        <v>32</v>
      </c>
      <c r="J357" s="81" t="s">
        <v>33</v>
      </c>
      <c r="K357" s="81" t="s">
        <v>34</v>
      </c>
      <c r="L357" s="81" t="s">
        <v>846</v>
      </c>
      <c r="M357" s="81">
        <v>4504521519</v>
      </c>
      <c r="N357" s="90">
        <v>44678</v>
      </c>
      <c r="O357" s="90">
        <v>44785</v>
      </c>
      <c r="P357" s="90">
        <v>44678</v>
      </c>
      <c r="Q357" s="90" t="s">
        <v>35</v>
      </c>
      <c r="R357" s="81">
        <v>0</v>
      </c>
      <c r="S357" s="90" t="s">
        <v>35</v>
      </c>
      <c r="T357" s="81">
        <v>0</v>
      </c>
      <c r="U357" s="81" t="s">
        <v>36</v>
      </c>
      <c r="V357" s="90" t="s">
        <v>35</v>
      </c>
      <c r="W357" s="81" t="s">
        <v>1097</v>
      </c>
      <c r="X357" s="90">
        <v>44704</v>
      </c>
      <c r="Y357" s="81" t="s">
        <v>38</v>
      </c>
      <c r="Z357" s="81">
        <v>13</v>
      </c>
      <c r="AA357" s="81" t="s">
        <v>149</v>
      </c>
      <c r="AB357" s="81">
        <v>0</v>
      </c>
      <c r="AC357" s="81"/>
      <c r="AD357" s="81">
        <v>0</v>
      </c>
      <c r="AE357" s="81" t="s">
        <v>153</v>
      </c>
      <c r="AF357" s="81" t="s">
        <v>39</v>
      </c>
      <c r="AG357" s="83">
        <v>88755.550000000017</v>
      </c>
      <c r="AH357" s="95">
        <v>1790867.87</v>
      </c>
      <c r="AI357" s="82" t="str">
        <f>CONCATENATE((TEXT(Tabela1[[#This Row],[Data entrega]],"mmmm")),"_",(YEAR(Tabela1[[#This Row],[Data entrega]])))</f>
        <v>agosto_2022</v>
      </c>
      <c r="AJ357" s="77">
        <f>IFERROR(IF(Tabela1[[#This Row],[Programa]]="",Tabela1[[#This Row],[Peso bruto]],VLOOKUP(Tabela1[[#This Row],[Pedido]],'Saldo a Produzir'!$A:$D,4,0)),"")</f>
        <v>83544.639999999999</v>
      </c>
      <c r="AM357" s="73">
        <v>94701.739000000001</v>
      </c>
    </row>
    <row r="358" spans="1:39" ht="14.5" x14ac:dyDescent="0.35">
      <c r="A358" s="81">
        <v>15909</v>
      </c>
      <c r="B358" s="81" t="s">
        <v>223</v>
      </c>
      <c r="C358" s="81">
        <v>61585865288660</v>
      </c>
      <c r="D358" s="81" t="s">
        <v>845</v>
      </c>
      <c r="E358" s="81" t="s">
        <v>803</v>
      </c>
      <c r="F358" s="81" t="s">
        <v>103</v>
      </c>
      <c r="G358" s="81">
        <v>25996</v>
      </c>
      <c r="H358" s="81" t="s">
        <v>93</v>
      </c>
      <c r="I358" s="81" t="s">
        <v>32</v>
      </c>
      <c r="J358" s="81" t="s">
        <v>33</v>
      </c>
      <c r="K358" s="81" t="s">
        <v>34</v>
      </c>
      <c r="L358" s="81" t="s">
        <v>846</v>
      </c>
      <c r="M358" s="81">
        <v>4504521519</v>
      </c>
      <c r="N358" s="90">
        <v>44678</v>
      </c>
      <c r="O358" s="90">
        <v>44785</v>
      </c>
      <c r="P358" s="90">
        <v>44678</v>
      </c>
      <c r="Q358" s="90" t="s">
        <v>35</v>
      </c>
      <c r="R358" s="81">
        <v>0</v>
      </c>
      <c r="S358" s="90" t="s">
        <v>35</v>
      </c>
      <c r="T358" s="81">
        <v>0</v>
      </c>
      <c r="U358" s="81" t="s">
        <v>36</v>
      </c>
      <c r="V358" s="90" t="s">
        <v>35</v>
      </c>
      <c r="W358" s="81"/>
      <c r="X358" s="90" t="s">
        <v>37</v>
      </c>
      <c r="Y358" s="81" t="s">
        <v>38</v>
      </c>
      <c r="Z358" s="81">
        <v>13</v>
      </c>
      <c r="AA358" s="81" t="s">
        <v>149</v>
      </c>
      <c r="AB358" s="81">
        <v>0</v>
      </c>
      <c r="AC358" s="81"/>
      <c r="AD358" s="81">
        <v>0</v>
      </c>
      <c r="AE358" s="81" t="s">
        <v>153</v>
      </c>
      <c r="AF358" s="81" t="s">
        <v>39</v>
      </c>
      <c r="AG358" s="83">
        <v>24319</v>
      </c>
      <c r="AH358" s="95">
        <v>2211510</v>
      </c>
      <c r="AI358" s="82" t="str">
        <f>CONCATENATE((TEXT(Tabela1[[#This Row],[Data entrega]],"mmmm")),"_",(YEAR(Tabela1[[#This Row],[Data entrega]])))</f>
        <v>agosto_2022</v>
      </c>
      <c r="AJ358" s="77">
        <f>IFERROR(IF(Tabela1[[#This Row],[Programa]]="",Tabela1[[#This Row],[Peso bruto]],VLOOKUP(Tabela1[[#This Row],[Pedido]],'Saldo a Produzir'!$A:$D,4,0)),"")</f>
        <v>24319</v>
      </c>
      <c r="AM358" s="73">
        <v>24319</v>
      </c>
    </row>
    <row r="359" spans="1:39" ht="14.5" x14ac:dyDescent="0.35">
      <c r="A359" s="81">
        <v>15074</v>
      </c>
      <c r="B359" s="81" t="s">
        <v>161</v>
      </c>
      <c r="C359" s="81">
        <v>1631626000169</v>
      </c>
      <c r="D359" s="81" t="s">
        <v>957</v>
      </c>
      <c r="E359" s="81" t="s">
        <v>128</v>
      </c>
      <c r="F359" s="81" t="s">
        <v>44</v>
      </c>
      <c r="G359" s="81">
        <v>26122</v>
      </c>
      <c r="H359" s="81" t="s">
        <v>92</v>
      </c>
      <c r="I359" s="81" t="s">
        <v>32</v>
      </c>
      <c r="J359" s="81" t="s">
        <v>33</v>
      </c>
      <c r="K359" s="81" t="s">
        <v>34</v>
      </c>
      <c r="L359" s="81" t="s">
        <v>958</v>
      </c>
      <c r="M359" s="81"/>
      <c r="N359" s="90">
        <v>44694</v>
      </c>
      <c r="O359" s="90">
        <v>44785</v>
      </c>
      <c r="P359" s="90">
        <v>44708</v>
      </c>
      <c r="Q359" s="90" t="s">
        <v>35</v>
      </c>
      <c r="R359" s="81">
        <v>0</v>
      </c>
      <c r="S359" s="90" t="s">
        <v>35</v>
      </c>
      <c r="T359" s="81">
        <v>0</v>
      </c>
      <c r="U359" s="81" t="s">
        <v>36</v>
      </c>
      <c r="V359" s="90" t="s">
        <v>35</v>
      </c>
      <c r="W359" s="81" t="s">
        <v>1204</v>
      </c>
      <c r="X359" s="90">
        <v>44711</v>
      </c>
      <c r="Y359" s="81" t="s">
        <v>38</v>
      </c>
      <c r="Z359" s="81">
        <v>2051</v>
      </c>
      <c r="AA359" s="81" t="s">
        <v>719</v>
      </c>
      <c r="AB359" s="81">
        <v>0</v>
      </c>
      <c r="AC359" s="81"/>
      <c r="AD359" s="81">
        <v>0</v>
      </c>
      <c r="AE359" s="81" t="s">
        <v>153</v>
      </c>
      <c r="AF359" s="81" t="s">
        <v>39</v>
      </c>
      <c r="AG359" s="83">
        <v>127.2</v>
      </c>
      <c r="AH359" s="95">
        <v>6195</v>
      </c>
      <c r="AI359" s="82" t="str">
        <f>CONCATENATE((TEXT(Tabela1[[#This Row],[Data entrega]],"mmmm")),"_",(YEAR(Tabela1[[#This Row],[Data entrega]])))</f>
        <v>agosto_2022</v>
      </c>
      <c r="AJ359" s="77">
        <f>IFERROR(IF(Tabela1[[#This Row],[Programa]]="",Tabela1[[#This Row],[Peso bruto]],VLOOKUP(Tabela1[[#This Row],[Pedido]],'Saldo a Produzir'!$A:$D,4,0)),"")</f>
        <v>127.2</v>
      </c>
      <c r="AM359" s="73">
        <v>127.203</v>
      </c>
    </row>
    <row r="360" spans="1:39" ht="14.5" x14ac:dyDescent="0.35">
      <c r="A360" s="81">
        <v>15077</v>
      </c>
      <c r="B360" s="81" t="s">
        <v>298</v>
      </c>
      <c r="C360" s="81">
        <v>72801954000104</v>
      </c>
      <c r="D360" s="81" t="s">
        <v>959</v>
      </c>
      <c r="E360" s="81" t="s">
        <v>79</v>
      </c>
      <c r="F360" s="81" t="s">
        <v>44</v>
      </c>
      <c r="G360" s="81">
        <v>26120</v>
      </c>
      <c r="H360" s="81" t="s">
        <v>88</v>
      </c>
      <c r="I360" s="81" t="s">
        <v>32</v>
      </c>
      <c r="J360" s="81" t="s">
        <v>33</v>
      </c>
      <c r="K360" s="81" t="s">
        <v>34</v>
      </c>
      <c r="L360" s="81" t="s">
        <v>960</v>
      </c>
      <c r="M360" s="81" t="s">
        <v>961</v>
      </c>
      <c r="N360" s="90">
        <v>44693</v>
      </c>
      <c r="O360" s="90">
        <v>44785</v>
      </c>
      <c r="P360" s="90">
        <v>44698</v>
      </c>
      <c r="Q360" s="90" t="s">
        <v>35</v>
      </c>
      <c r="R360" s="81">
        <v>0</v>
      </c>
      <c r="S360" s="90" t="s">
        <v>35</v>
      </c>
      <c r="T360" s="81">
        <v>0</v>
      </c>
      <c r="U360" s="81" t="s">
        <v>36</v>
      </c>
      <c r="V360" s="90" t="s">
        <v>35</v>
      </c>
      <c r="W360" s="81" t="s">
        <v>1048</v>
      </c>
      <c r="X360" s="90">
        <v>44700</v>
      </c>
      <c r="Y360" s="81" t="s">
        <v>38</v>
      </c>
      <c r="Z360" s="81">
        <v>2257</v>
      </c>
      <c r="AA360" s="81" t="s">
        <v>155</v>
      </c>
      <c r="AB360" s="81">
        <v>0</v>
      </c>
      <c r="AC360" s="81"/>
      <c r="AD360" s="81">
        <v>0</v>
      </c>
      <c r="AE360" s="81" t="s">
        <v>153</v>
      </c>
      <c r="AF360" s="81" t="s">
        <v>39</v>
      </c>
      <c r="AG360" s="83">
        <v>711.65</v>
      </c>
      <c r="AH360" s="95">
        <v>20650</v>
      </c>
      <c r="AI360" s="82" t="str">
        <f>CONCATENATE((TEXT(Tabela1[[#This Row],[Data entrega]],"mmmm")),"_",(YEAR(Tabela1[[#This Row],[Data entrega]])))</f>
        <v>agosto_2022</v>
      </c>
      <c r="AJ360" s="77">
        <f>IFERROR(IF(Tabela1[[#This Row],[Programa]]="",Tabela1[[#This Row],[Peso bruto]],VLOOKUP(Tabela1[[#This Row],[Pedido]],'Saldo a Produzir'!$A:$D,4,0)),"")</f>
        <v>124.57000000000001</v>
      </c>
      <c r="AM360" s="73">
        <v>739.19600000000003</v>
      </c>
    </row>
    <row r="361" spans="1:39" ht="14.5" x14ac:dyDescent="0.35">
      <c r="A361" s="81">
        <v>15907</v>
      </c>
      <c r="B361" s="81" t="s">
        <v>272</v>
      </c>
      <c r="C361" s="81">
        <v>15205628000109</v>
      </c>
      <c r="D361" s="81" t="s">
        <v>962</v>
      </c>
      <c r="E361" s="81" t="s">
        <v>340</v>
      </c>
      <c r="F361" s="81" t="s">
        <v>53</v>
      </c>
      <c r="G361" s="81">
        <v>26119</v>
      </c>
      <c r="H361" s="81" t="s">
        <v>92</v>
      </c>
      <c r="I361" s="81" t="s">
        <v>32</v>
      </c>
      <c r="J361" s="81" t="s">
        <v>33</v>
      </c>
      <c r="K361" s="81" t="s">
        <v>34</v>
      </c>
      <c r="L361" s="81" t="s">
        <v>963</v>
      </c>
      <c r="M361" s="81">
        <v>1347</v>
      </c>
      <c r="N361" s="90">
        <v>44693</v>
      </c>
      <c r="O361" s="90">
        <v>44785</v>
      </c>
      <c r="P361" s="90">
        <v>44697</v>
      </c>
      <c r="Q361" s="90" t="s">
        <v>35</v>
      </c>
      <c r="R361" s="81">
        <v>0</v>
      </c>
      <c r="S361" s="90" t="s">
        <v>35</v>
      </c>
      <c r="T361" s="81">
        <v>0</v>
      </c>
      <c r="U361" s="81" t="s">
        <v>36</v>
      </c>
      <c r="V361" s="90" t="s">
        <v>35</v>
      </c>
      <c r="W361" s="81" t="s">
        <v>1011</v>
      </c>
      <c r="X361" s="90">
        <v>44698</v>
      </c>
      <c r="Y361" s="81" t="s">
        <v>38</v>
      </c>
      <c r="Z361" s="81">
        <v>2257</v>
      </c>
      <c r="AA361" s="81" t="s">
        <v>155</v>
      </c>
      <c r="AB361" s="81">
        <v>0</v>
      </c>
      <c r="AC361" s="81"/>
      <c r="AD361" s="81">
        <v>0</v>
      </c>
      <c r="AE361" s="81" t="s">
        <v>153</v>
      </c>
      <c r="AF361" s="81" t="s">
        <v>39</v>
      </c>
      <c r="AG361" s="83">
        <v>2690.87</v>
      </c>
      <c r="AH361" s="95">
        <v>76363.7</v>
      </c>
      <c r="AI361" s="82" t="str">
        <f>CONCATENATE((TEXT(Tabela1[[#This Row],[Data entrega]],"mmmm")),"_",(YEAR(Tabela1[[#This Row],[Data entrega]])))</f>
        <v>agosto_2022</v>
      </c>
      <c r="AJ361" s="77">
        <f>IFERROR(IF(Tabela1[[#This Row],[Programa]]="",Tabela1[[#This Row],[Peso bruto]],VLOOKUP(Tabela1[[#This Row],[Pedido]],'Saldo a Produzir'!$A:$D,4,0)),"")</f>
        <v>998.88</v>
      </c>
      <c r="AM361" s="73">
        <v>2863.931</v>
      </c>
    </row>
    <row r="362" spans="1:39" ht="14.5" x14ac:dyDescent="0.35">
      <c r="A362" s="81">
        <v>15067</v>
      </c>
      <c r="B362" s="81" t="s">
        <v>59</v>
      </c>
      <c r="C362" s="81">
        <v>2899104000105</v>
      </c>
      <c r="D362" s="81" t="s">
        <v>1075</v>
      </c>
      <c r="E362" s="81" t="s">
        <v>254</v>
      </c>
      <c r="F362" s="81" t="s">
        <v>58</v>
      </c>
      <c r="G362" s="81">
        <v>26181</v>
      </c>
      <c r="H362" s="81" t="s">
        <v>88</v>
      </c>
      <c r="I362" s="81" t="s">
        <v>32</v>
      </c>
      <c r="J362" s="81" t="s">
        <v>33</v>
      </c>
      <c r="K362" s="81" t="s">
        <v>34</v>
      </c>
      <c r="L362" s="81" t="s">
        <v>1076</v>
      </c>
      <c r="M362" s="81">
        <v>4500447358</v>
      </c>
      <c r="N362" s="90">
        <v>44701</v>
      </c>
      <c r="O362" s="90">
        <v>44785</v>
      </c>
      <c r="P362" s="90">
        <v>44704</v>
      </c>
      <c r="Q362" s="90" t="s">
        <v>35</v>
      </c>
      <c r="R362" s="81">
        <v>0</v>
      </c>
      <c r="S362" s="90" t="s">
        <v>35</v>
      </c>
      <c r="T362" s="81">
        <v>0</v>
      </c>
      <c r="U362" s="81" t="s">
        <v>36</v>
      </c>
      <c r="V362" s="90" t="s">
        <v>35</v>
      </c>
      <c r="W362" s="81" t="s">
        <v>1154</v>
      </c>
      <c r="X362" s="90">
        <v>44708</v>
      </c>
      <c r="Y362" s="81" t="s">
        <v>38</v>
      </c>
      <c r="Z362" s="81">
        <v>2257</v>
      </c>
      <c r="AA362" s="81" t="s">
        <v>155</v>
      </c>
      <c r="AB362" s="81">
        <v>0</v>
      </c>
      <c r="AC362" s="81"/>
      <c r="AD362" s="81">
        <v>0</v>
      </c>
      <c r="AE362" s="81" t="s">
        <v>153</v>
      </c>
      <c r="AF362" s="81" t="s">
        <v>39</v>
      </c>
      <c r="AG362" s="83">
        <v>116.54</v>
      </c>
      <c r="AH362" s="95">
        <v>8776.25</v>
      </c>
      <c r="AI362" s="82" t="str">
        <f>CONCATENATE((TEXT(Tabela1[[#This Row],[Data entrega]],"mmmm")),"_",(YEAR(Tabela1[[#This Row],[Data entrega]])))</f>
        <v>agosto_2022</v>
      </c>
      <c r="AJ362" s="77">
        <f>IFERROR(IF(Tabela1[[#This Row],[Programa]]="",Tabela1[[#This Row],[Peso bruto]],VLOOKUP(Tabela1[[#This Row],[Pedido]],'Saldo a Produzir'!$A:$D,4,0)),"")</f>
        <v>5.7700000000000005</v>
      </c>
      <c r="AM362" s="73">
        <v>126.68899999999999</v>
      </c>
    </row>
    <row r="363" spans="1:39" ht="14.5" x14ac:dyDescent="0.35">
      <c r="A363" s="81">
        <v>15075</v>
      </c>
      <c r="B363" s="81" t="s">
        <v>166</v>
      </c>
      <c r="C363" s="81">
        <v>33971859000105</v>
      </c>
      <c r="D363" s="81" t="s">
        <v>1098</v>
      </c>
      <c r="E363" s="81" t="s">
        <v>1099</v>
      </c>
      <c r="F363" s="81" t="s">
        <v>58</v>
      </c>
      <c r="G363" s="81">
        <v>26205</v>
      </c>
      <c r="H363" s="81" t="s">
        <v>87</v>
      </c>
      <c r="I363" s="81" t="s">
        <v>32</v>
      </c>
      <c r="J363" s="81" t="s">
        <v>33</v>
      </c>
      <c r="K363" s="81" t="s">
        <v>34</v>
      </c>
      <c r="L363" s="81" t="s">
        <v>1100</v>
      </c>
      <c r="M363" s="81"/>
      <c r="N363" s="90">
        <v>44705</v>
      </c>
      <c r="O363" s="90">
        <v>44792</v>
      </c>
      <c r="P363" s="90">
        <v>44708</v>
      </c>
      <c r="Q363" s="90" t="s">
        <v>35</v>
      </c>
      <c r="R363" s="81">
        <v>0</v>
      </c>
      <c r="S363" s="90" t="s">
        <v>35</v>
      </c>
      <c r="T363" s="81">
        <v>0</v>
      </c>
      <c r="U363" s="81" t="s">
        <v>36</v>
      </c>
      <c r="V363" s="90" t="s">
        <v>35</v>
      </c>
      <c r="W363" s="81" t="s">
        <v>1204</v>
      </c>
      <c r="X363" s="90">
        <v>44711</v>
      </c>
      <c r="Y363" s="81" t="s">
        <v>38</v>
      </c>
      <c r="Z363" s="81">
        <v>0</v>
      </c>
      <c r="AA363" s="81"/>
      <c r="AB363" s="81">
        <v>0</v>
      </c>
      <c r="AC363" s="81"/>
      <c r="AD363" s="81">
        <v>0</v>
      </c>
      <c r="AE363" s="81" t="s">
        <v>153</v>
      </c>
      <c r="AF363" s="81" t="s">
        <v>39</v>
      </c>
      <c r="AG363" s="83">
        <v>99.72999999999999</v>
      </c>
      <c r="AH363" s="95">
        <v>7227.5</v>
      </c>
      <c r="AI363" s="82" t="str">
        <f>CONCATENATE((TEXT(Tabela1[[#This Row],[Data entrega]],"mmmm")),"_",(YEAR(Tabela1[[#This Row],[Data entrega]])))</f>
        <v>agosto_2022</v>
      </c>
      <c r="AJ363" s="77">
        <f>IFERROR(IF(Tabela1[[#This Row],[Programa]]="",Tabela1[[#This Row],[Peso bruto]],VLOOKUP(Tabela1[[#This Row],[Pedido]],'Saldo a Produzir'!$A:$D,4,0)),"")</f>
        <v>13.120000000000001</v>
      </c>
      <c r="AM363" s="73">
        <v>281.11900000000003</v>
      </c>
    </row>
    <row r="364" spans="1:39" ht="14.5" x14ac:dyDescent="0.35">
      <c r="A364" s="81">
        <v>15069</v>
      </c>
      <c r="B364" s="81" t="s">
        <v>297</v>
      </c>
      <c r="C364" s="81">
        <v>1838723034617</v>
      </c>
      <c r="D364" s="81" t="s">
        <v>41</v>
      </c>
      <c r="E364" s="81" t="s">
        <v>438</v>
      </c>
      <c r="F364" s="81" t="s">
        <v>33</v>
      </c>
      <c r="G364" s="81">
        <v>25421</v>
      </c>
      <c r="H364" s="81" t="s">
        <v>90</v>
      </c>
      <c r="I364" s="81" t="s">
        <v>32</v>
      </c>
      <c r="J364" s="81" t="s">
        <v>33</v>
      </c>
      <c r="K364" s="81" t="s">
        <v>34</v>
      </c>
      <c r="L364" s="81" t="s">
        <v>497</v>
      </c>
      <c r="M364" s="81">
        <v>104678065</v>
      </c>
      <c r="N364" s="90">
        <v>44601</v>
      </c>
      <c r="O364" s="90">
        <v>44792</v>
      </c>
      <c r="P364" s="90">
        <v>44601</v>
      </c>
      <c r="Q364" s="90" t="s">
        <v>35</v>
      </c>
      <c r="R364" s="81">
        <v>0</v>
      </c>
      <c r="S364" s="90" t="s">
        <v>35</v>
      </c>
      <c r="T364" s="81">
        <v>0</v>
      </c>
      <c r="U364" s="81" t="s">
        <v>36</v>
      </c>
      <c r="V364" s="90" t="s">
        <v>35</v>
      </c>
      <c r="W364" s="81" t="s">
        <v>534</v>
      </c>
      <c r="X364" s="90">
        <v>44621</v>
      </c>
      <c r="Y364" s="81" t="s">
        <v>38</v>
      </c>
      <c r="Z364" s="81">
        <v>482</v>
      </c>
      <c r="AA364" s="81" t="s">
        <v>200</v>
      </c>
      <c r="AB364" s="81">
        <v>0</v>
      </c>
      <c r="AC364" s="81"/>
      <c r="AD364" s="81">
        <v>0</v>
      </c>
      <c r="AE364" s="81" t="s">
        <v>153</v>
      </c>
      <c r="AF364" s="81" t="s">
        <v>39</v>
      </c>
      <c r="AG364" s="83">
        <v>2225.19</v>
      </c>
      <c r="AH364" s="95">
        <v>406913.54</v>
      </c>
      <c r="AI364" s="82" t="str">
        <f>CONCATENATE((TEXT(Tabela1[[#This Row],[Data entrega]],"mmmm")),"_",(YEAR(Tabela1[[#This Row],[Data entrega]])))</f>
        <v>agosto_2022</v>
      </c>
      <c r="AJ364" s="77">
        <f>IFERROR(IF(Tabela1[[#This Row],[Programa]]="",Tabela1[[#This Row],[Peso bruto]],VLOOKUP(Tabela1[[#This Row],[Pedido]],'Saldo a Produzir'!$A:$D,4,0)),"")</f>
        <v>2225.19</v>
      </c>
      <c r="AM364" s="73">
        <v>17379.923999999999</v>
      </c>
    </row>
    <row r="365" spans="1:39" ht="14.5" x14ac:dyDescent="0.35">
      <c r="A365" s="81">
        <v>15069</v>
      </c>
      <c r="B365" s="81" t="s">
        <v>297</v>
      </c>
      <c r="C365" s="81">
        <v>1838723034617</v>
      </c>
      <c r="D365" s="81" t="s">
        <v>41</v>
      </c>
      <c r="E365" s="81" t="s">
        <v>438</v>
      </c>
      <c r="F365" s="81" t="s">
        <v>33</v>
      </c>
      <c r="G365" s="81">
        <v>25422</v>
      </c>
      <c r="H365" s="81" t="s">
        <v>125</v>
      </c>
      <c r="I365" s="81" t="s">
        <v>32</v>
      </c>
      <c r="J365" s="81" t="s">
        <v>33</v>
      </c>
      <c r="K365" s="81" t="s">
        <v>34</v>
      </c>
      <c r="L365" s="81" t="s">
        <v>497</v>
      </c>
      <c r="M365" s="81">
        <v>104678065</v>
      </c>
      <c r="N365" s="90">
        <v>44601</v>
      </c>
      <c r="O365" s="90">
        <v>44792</v>
      </c>
      <c r="P365" s="90">
        <v>44601</v>
      </c>
      <c r="Q365" s="90" t="s">
        <v>35</v>
      </c>
      <c r="R365" s="81">
        <v>0</v>
      </c>
      <c r="S365" s="90" t="s">
        <v>35</v>
      </c>
      <c r="T365" s="81">
        <v>0</v>
      </c>
      <c r="U365" s="81" t="s">
        <v>36</v>
      </c>
      <c r="V365" s="90" t="s">
        <v>35</v>
      </c>
      <c r="W365" s="81"/>
      <c r="X365" s="90" t="s">
        <v>37</v>
      </c>
      <c r="Y365" s="81" t="s">
        <v>38</v>
      </c>
      <c r="Z365" s="81">
        <v>482</v>
      </c>
      <c r="AA365" s="81" t="s">
        <v>200</v>
      </c>
      <c r="AB365" s="81">
        <v>0</v>
      </c>
      <c r="AC365" s="81"/>
      <c r="AD365" s="81">
        <v>0</v>
      </c>
      <c r="AE365" s="81"/>
      <c r="AF365" s="81" t="s">
        <v>39</v>
      </c>
      <c r="AG365" s="83">
        <v>0</v>
      </c>
      <c r="AH365" s="95">
        <v>29000</v>
      </c>
      <c r="AI365" s="82" t="str">
        <f>CONCATENATE((TEXT(Tabela1[[#This Row],[Data entrega]],"mmmm")),"_",(YEAR(Tabela1[[#This Row],[Data entrega]])))</f>
        <v>agosto_2022</v>
      </c>
      <c r="AJ365" s="77">
        <f>IFERROR(IF(Tabela1[[#This Row],[Programa]]="",Tabela1[[#This Row],[Peso bruto]],VLOOKUP(Tabela1[[#This Row],[Pedido]],'Saldo a Produzir'!$A:$D,4,0)),"")</f>
        <v>0</v>
      </c>
      <c r="AM365" s="73">
        <v>0</v>
      </c>
    </row>
    <row r="366" spans="1:39" ht="14.5" x14ac:dyDescent="0.35">
      <c r="A366" s="81">
        <v>15057</v>
      </c>
      <c r="B366" s="81" t="s">
        <v>60</v>
      </c>
      <c r="C366" s="81">
        <v>1838723033998</v>
      </c>
      <c r="D366" s="81" t="s">
        <v>41</v>
      </c>
      <c r="E366" s="81" t="s">
        <v>1055</v>
      </c>
      <c r="F366" s="81" t="s">
        <v>64</v>
      </c>
      <c r="G366" s="81">
        <v>26164</v>
      </c>
      <c r="H366" s="81" t="s">
        <v>87</v>
      </c>
      <c r="I366" s="81" t="s">
        <v>32</v>
      </c>
      <c r="J366" s="81" t="s">
        <v>33</v>
      </c>
      <c r="K366" s="81" t="s">
        <v>34</v>
      </c>
      <c r="L366" s="81" t="s">
        <v>1056</v>
      </c>
      <c r="M366" s="81">
        <v>105534970</v>
      </c>
      <c r="N366" s="90">
        <v>44700</v>
      </c>
      <c r="O366" s="90">
        <v>44792</v>
      </c>
      <c r="P366" s="90">
        <v>44700</v>
      </c>
      <c r="Q366" s="90" t="s">
        <v>35</v>
      </c>
      <c r="R366" s="81">
        <v>0</v>
      </c>
      <c r="S366" s="90" t="s">
        <v>35</v>
      </c>
      <c r="T366" s="81">
        <v>0</v>
      </c>
      <c r="U366" s="81" t="s">
        <v>36</v>
      </c>
      <c r="V366" s="90" t="s">
        <v>35</v>
      </c>
      <c r="W366" s="81" t="s">
        <v>1433</v>
      </c>
      <c r="X366" s="90">
        <v>44719</v>
      </c>
      <c r="Y366" s="81" t="s">
        <v>38</v>
      </c>
      <c r="Z366" s="81">
        <v>575</v>
      </c>
      <c r="AA366" s="81" t="s">
        <v>127</v>
      </c>
      <c r="AB366" s="81">
        <v>0</v>
      </c>
      <c r="AC366" s="81"/>
      <c r="AD366" s="81">
        <v>0</v>
      </c>
      <c r="AE366" s="81" t="s">
        <v>153</v>
      </c>
      <c r="AF366" s="81" t="s">
        <v>39</v>
      </c>
      <c r="AG366" s="83">
        <v>0</v>
      </c>
      <c r="AH366" s="95">
        <v>44600</v>
      </c>
      <c r="AI366" s="82" t="str">
        <f>CONCATENATE((TEXT(Tabela1[[#This Row],[Data entrega]],"mmmm")),"_",(YEAR(Tabela1[[#This Row],[Data entrega]])))</f>
        <v>agosto_2022</v>
      </c>
      <c r="AJ366" s="77">
        <f>IFERROR(IF(Tabela1[[#This Row],[Programa]]="",Tabela1[[#This Row],[Peso bruto]],VLOOKUP(Tabela1[[#This Row],[Pedido]],'Saldo a Produzir'!$A:$D,4,0)),"")</f>
        <v>0</v>
      </c>
      <c r="AM366" s="73">
        <v>1291.623</v>
      </c>
    </row>
    <row r="367" spans="1:39" ht="14.5" x14ac:dyDescent="0.35">
      <c r="A367" s="81">
        <v>15063</v>
      </c>
      <c r="B367" s="81" t="s">
        <v>71</v>
      </c>
      <c r="C367" s="81">
        <v>45135215000158</v>
      </c>
      <c r="D367" s="81" t="s">
        <v>647</v>
      </c>
      <c r="E367" s="81" t="s">
        <v>219</v>
      </c>
      <c r="F367" s="81" t="s">
        <v>54</v>
      </c>
      <c r="G367" s="81">
        <v>25767</v>
      </c>
      <c r="H367" s="81" t="s">
        <v>87</v>
      </c>
      <c r="I367" s="81" t="s">
        <v>32</v>
      </c>
      <c r="J367" s="81" t="s">
        <v>33</v>
      </c>
      <c r="K367" s="81" t="s">
        <v>34</v>
      </c>
      <c r="L367" s="81" t="s">
        <v>648</v>
      </c>
      <c r="M367" s="81"/>
      <c r="N367" s="90">
        <v>44649</v>
      </c>
      <c r="O367" s="90">
        <v>44792</v>
      </c>
      <c r="P367" s="90">
        <v>44670</v>
      </c>
      <c r="Q367" s="90" t="s">
        <v>35</v>
      </c>
      <c r="R367" s="81">
        <v>0</v>
      </c>
      <c r="S367" s="90" t="s">
        <v>35</v>
      </c>
      <c r="T367" s="81">
        <v>0</v>
      </c>
      <c r="U367" s="81" t="s">
        <v>36</v>
      </c>
      <c r="V367" s="90" t="s">
        <v>35</v>
      </c>
      <c r="W367" s="81" t="s">
        <v>926</v>
      </c>
      <c r="X367" s="90">
        <v>44690</v>
      </c>
      <c r="Y367" s="81" t="s">
        <v>38</v>
      </c>
      <c r="Z367" s="81">
        <v>0</v>
      </c>
      <c r="AA367" s="81"/>
      <c r="AB367" s="81">
        <v>0</v>
      </c>
      <c r="AC367" s="81"/>
      <c r="AD367" s="81">
        <v>0</v>
      </c>
      <c r="AE367" s="81" t="s">
        <v>153</v>
      </c>
      <c r="AF367" s="81" t="s">
        <v>39</v>
      </c>
      <c r="AG367" s="83">
        <v>144488.44</v>
      </c>
      <c r="AH367" s="95">
        <v>2234349.41</v>
      </c>
      <c r="AI367" s="82" t="str">
        <f>CONCATENATE((TEXT(Tabela1[[#This Row],[Data entrega]],"mmmm")),"_",(YEAR(Tabela1[[#This Row],[Data entrega]])))</f>
        <v>agosto_2022</v>
      </c>
      <c r="AJ367" s="77">
        <f>IFERROR(IF(Tabela1[[#This Row],[Programa]]="",Tabela1[[#This Row],[Peso bruto]],VLOOKUP(Tabela1[[#This Row],[Pedido]],'Saldo a Produzir'!$A:$D,4,0)),"")</f>
        <v>143606.01</v>
      </c>
      <c r="AM367" s="73">
        <v>148024.84299999999</v>
      </c>
    </row>
    <row r="368" spans="1:39" ht="14.5" x14ac:dyDescent="0.35">
      <c r="A368" s="81">
        <v>15063</v>
      </c>
      <c r="B368" s="81" t="s">
        <v>71</v>
      </c>
      <c r="C368" s="81">
        <v>45135215000158</v>
      </c>
      <c r="D368" s="81" t="s">
        <v>647</v>
      </c>
      <c r="E368" s="81" t="s">
        <v>219</v>
      </c>
      <c r="F368" s="81" t="s">
        <v>54</v>
      </c>
      <c r="G368" s="81">
        <v>25768</v>
      </c>
      <c r="H368" s="81" t="s">
        <v>87</v>
      </c>
      <c r="I368" s="81" t="s">
        <v>32</v>
      </c>
      <c r="J368" s="81" t="s">
        <v>33</v>
      </c>
      <c r="K368" s="81" t="s">
        <v>34</v>
      </c>
      <c r="L368" s="81" t="s">
        <v>648</v>
      </c>
      <c r="M368" s="81"/>
      <c r="N368" s="90">
        <v>44649</v>
      </c>
      <c r="O368" s="90">
        <v>44792</v>
      </c>
      <c r="P368" s="90">
        <v>44670</v>
      </c>
      <c r="Q368" s="90" t="s">
        <v>35</v>
      </c>
      <c r="R368" s="81">
        <v>0</v>
      </c>
      <c r="S368" s="90" t="s">
        <v>35</v>
      </c>
      <c r="T368" s="81">
        <v>0</v>
      </c>
      <c r="U368" s="81" t="s">
        <v>36</v>
      </c>
      <c r="V368" s="90" t="s">
        <v>35</v>
      </c>
      <c r="W368" s="81" t="s">
        <v>927</v>
      </c>
      <c r="X368" s="90">
        <v>44690</v>
      </c>
      <c r="Y368" s="81" t="s">
        <v>38</v>
      </c>
      <c r="Z368" s="81">
        <v>0</v>
      </c>
      <c r="AA368" s="81"/>
      <c r="AB368" s="81">
        <v>0</v>
      </c>
      <c r="AC368" s="81"/>
      <c r="AD368" s="81">
        <v>0</v>
      </c>
      <c r="AE368" s="81" t="s">
        <v>153</v>
      </c>
      <c r="AF368" s="81" t="s">
        <v>39</v>
      </c>
      <c r="AG368" s="83">
        <v>152542.54</v>
      </c>
      <c r="AH368" s="95">
        <v>2234349.41</v>
      </c>
      <c r="AI368" s="82" t="str">
        <f>CONCATENATE((TEXT(Tabela1[[#This Row],[Data entrega]],"mmmm")),"_",(YEAR(Tabela1[[#This Row],[Data entrega]])))</f>
        <v>agosto_2022</v>
      </c>
      <c r="AJ368" s="77">
        <f>IFERROR(IF(Tabela1[[#This Row],[Programa]]="",Tabela1[[#This Row],[Peso bruto]],VLOOKUP(Tabela1[[#This Row],[Pedido]],'Saldo a Produzir'!$A:$D,4,0)),"")</f>
        <v>151552.59000000003</v>
      </c>
      <c r="AM368" s="73">
        <v>155235.04199999999</v>
      </c>
    </row>
    <row r="369" spans="1:39" ht="14.5" x14ac:dyDescent="0.35">
      <c r="A369" s="81">
        <v>15057</v>
      </c>
      <c r="B369" s="81" t="s">
        <v>60</v>
      </c>
      <c r="C369" s="81">
        <v>17606425000141</v>
      </c>
      <c r="D369" s="81" t="s">
        <v>1205</v>
      </c>
      <c r="E369" s="81" t="s">
        <v>1206</v>
      </c>
      <c r="F369" s="81" t="s">
        <v>58</v>
      </c>
      <c r="G369" s="81">
        <v>26277</v>
      </c>
      <c r="H369" s="81" t="s">
        <v>92</v>
      </c>
      <c r="I369" s="81" t="s">
        <v>32</v>
      </c>
      <c r="J369" s="81" t="s">
        <v>33</v>
      </c>
      <c r="K369" s="81" t="s">
        <v>34</v>
      </c>
      <c r="L369" s="81" t="s">
        <v>1207</v>
      </c>
      <c r="M369" s="81"/>
      <c r="N369" s="90">
        <v>44712</v>
      </c>
      <c r="O369" s="90">
        <v>44792</v>
      </c>
      <c r="P369" s="90">
        <v>44714</v>
      </c>
      <c r="Q369" s="90" t="s">
        <v>35</v>
      </c>
      <c r="R369" s="81">
        <v>0</v>
      </c>
      <c r="S369" s="90" t="s">
        <v>35</v>
      </c>
      <c r="T369" s="81">
        <v>0</v>
      </c>
      <c r="U369" s="81" t="s">
        <v>36</v>
      </c>
      <c r="V369" s="90" t="s">
        <v>35</v>
      </c>
      <c r="W369" s="81"/>
      <c r="X369" s="90" t="s">
        <v>37</v>
      </c>
      <c r="Y369" s="81" t="s">
        <v>38</v>
      </c>
      <c r="Z369" s="81">
        <v>2257</v>
      </c>
      <c r="AA369" s="81" t="s">
        <v>155</v>
      </c>
      <c r="AB369" s="81">
        <v>0</v>
      </c>
      <c r="AC369" s="81"/>
      <c r="AD369" s="81">
        <v>0</v>
      </c>
      <c r="AE369" s="81" t="s">
        <v>153</v>
      </c>
      <c r="AF369" s="81" t="s">
        <v>39</v>
      </c>
      <c r="AG369" s="83">
        <v>125</v>
      </c>
      <c r="AH369" s="95">
        <v>3817.15</v>
      </c>
      <c r="AI369" s="82" t="str">
        <f>CONCATENATE((TEXT(Tabela1[[#This Row],[Data entrega]],"mmmm")),"_",(YEAR(Tabela1[[#This Row],[Data entrega]])))</f>
        <v>agosto_2022</v>
      </c>
      <c r="AJ369" s="77">
        <f>IFERROR(IF(Tabela1[[#This Row],[Programa]]="",Tabela1[[#This Row],[Peso bruto]],VLOOKUP(Tabela1[[#This Row],[Pedido]],'Saldo a Produzir'!$A:$D,4,0)),"")</f>
        <v>125</v>
      </c>
      <c r="AM369" s="73">
        <v>125</v>
      </c>
    </row>
    <row r="370" spans="1:39" ht="14.5" x14ac:dyDescent="0.35">
      <c r="A370" s="81">
        <v>15051</v>
      </c>
      <c r="B370" s="81" t="s">
        <v>40</v>
      </c>
      <c r="C370" s="81">
        <v>1287588000411</v>
      </c>
      <c r="D370" s="81" t="s">
        <v>1466</v>
      </c>
      <c r="E370" s="81" t="s">
        <v>482</v>
      </c>
      <c r="F370" s="81" t="s">
        <v>53</v>
      </c>
      <c r="G370" s="81">
        <v>26311</v>
      </c>
      <c r="H370" s="81" t="s">
        <v>88</v>
      </c>
      <c r="I370" s="81" t="s">
        <v>32</v>
      </c>
      <c r="J370" s="81" t="s">
        <v>33</v>
      </c>
      <c r="K370" s="81" t="s">
        <v>34</v>
      </c>
      <c r="L370" s="81" t="s">
        <v>1467</v>
      </c>
      <c r="M370" s="81">
        <v>10184920</v>
      </c>
      <c r="N370" s="90">
        <v>44715</v>
      </c>
      <c r="O370" s="90">
        <v>44792</v>
      </c>
      <c r="P370" s="90">
        <v>44715</v>
      </c>
      <c r="Q370" s="90" t="s">
        <v>35</v>
      </c>
      <c r="R370" s="81">
        <v>0</v>
      </c>
      <c r="S370" s="90" t="s">
        <v>35</v>
      </c>
      <c r="T370" s="81">
        <v>0</v>
      </c>
      <c r="U370" s="81" t="s">
        <v>36</v>
      </c>
      <c r="V370" s="90" t="s">
        <v>35</v>
      </c>
      <c r="W370" s="81"/>
      <c r="X370" s="90" t="s">
        <v>37</v>
      </c>
      <c r="Y370" s="81" t="s">
        <v>38</v>
      </c>
      <c r="Z370" s="81">
        <v>2003</v>
      </c>
      <c r="AA370" s="81" t="s">
        <v>1468</v>
      </c>
      <c r="AB370" s="81">
        <v>0</v>
      </c>
      <c r="AC370" s="81"/>
      <c r="AD370" s="81">
        <v>0</v>
      </c>
      <c r="AE370" s="81"/>
      <c r="AF370" s="81" t="s">
        <v>62</v>
      </c>
      <c r="AG370" s="83">
        <v>1496</v>
      </c>
      <c r="AH370" s="95">
        <v>27877.5</v>
      </c>
      <c r="AI370" s="82" t="str">
        <f>CONCATENATE((TEXT(Tabela1[[#This Row],[Data entrega]],"mmmm")),"_",(YEAR(Tabela1[[#This Row],[Data entrega]])))</f>
        <v>agosto_2022</v>
      </c>
      <c r="AJ370" s="77">
        <f>IFERROR(IF(Tabela1[[#This Row],[Programa]]="",Tabela1[[#This Row],[Peso bruto]],VLOOKUP(Tabela1[[#This Row],[Pedido]],'Saldo a Produzir'!$A:$D,4,0)),"")</f>
        <v>1496</v>
      </c>
      <c r="AM370" s="73">
        <v>1496</v>
      </c>
    </row>
    <row r="371" spans="1:39" ht="14.5" x14ac:dyDescent="0.35">
      <c r="A371" s="81">
        <v>15076</v>
      </c>
      <c r="B371" s="81" t="s">
        <v>196</v>
      </c>
      <c r="C371" s="81">
        <v>878013000168</v>
      </c>
      <c r="D371" s="81" t="s">
        <v>889</v>
      </c>
      <c r="E371" s="81" t="s">
        <v>74</v>
      </c>
      <c r="F371" s="81" t="s">
        <v>75</v>
      </c>
      <c r="G371" s="81">
        <v>26070</v>
      </c>
      <c r="H371" s="81" t="s">
        <v>92</v>
      </c>
      <c r="I371" s="81" t="s">
        <v>32</v>
      </c>
      <c r="J371" s="81" t="s">
        <v>33</v>
      </c>
      <c r="K371" s="81" t="s">
        <v>34</v>
      </c>
      <c r="L371" s="81" t="s">
        <v>890</v>
      </c>
      <c r="M371" s="81"/>
      <c r="N371" s="90">
        <v>44686</v>
      </c>
      <c r="O371" s="90">
        <v>44792</v>
      </c>
      <c r="P371" s="90">
        <v>44697</v>
      </c>
      <c r="Q371" s="90" t="s">
        <v>35</v>
      </c>
      <c r="R371" s="81">
        <v>0</v>
      </c>
      <c r="S371" s="90" t="s">
        <v>35</v>
      </c>
      <c r="T371" s="81">
        <v>0</v>
      </c>
      <c r="U371" s="81" t="s">
        <v>36</v>
      </c>
      <c r="V371" s="90" t="s">
        <v>35</v>
      </c>
      <c r="W371" s="81" t="s">
        <v>1094</v>
      </c>
      <c r="X371" s="90">
        <v>44705</v>
      </c>
      <c r="Y371" s="81" t="s">
        <v>38</v>
      </c>
      <c r="Z371" s="81">
        <v>0</v>
      </c>
      <c r="AA371" s="81"/>
      <c r="AB371" s="81">
        <v>0</v>
      </c>
      <c r="AC371" s="81"/>
      <c r="AD371" s="81">
        <v>0</v>
      </c>
      <c r="AE371" s="81" t="s">
        <v>153</v>
      </c>
      <c r="AF371" s="81" t="s">
        <v>39</v>
      </c>
      <c r="AG371" s="83">
        <v>3155.61</v>
      </c>
      <c r="AH371" s="95">
        <v>73507.5</v>
      </c>
      <c r="AI371" s="82" t="str">
        <f>CONCATENATE((TEXT(Tabela1[[#This Row],[Data entrega]],"mmmm")),"_",(YEAR(Tabela1[[#This Row],[Data entrega]])))</f>
        <v>agosto_2022</v>
      </c>
      <c r="AJ371" s="77">
        <f>IFERROR(IF(Tabela1[[#This Row],[Programa]]="",Tabela1[[#This Row],[Peso bruto]],VLOOKUP(Tabela1[[#This Row],[Pedido]],'Saldo a Produzir'!$A:$D,4,0)),"")</f>
        <v>3122.52</v>
      </c>
      <c r="AM371" s="73">
        <v>3969.6030000000001</v>
      </c>
    </row>
    <row r="372" spans="1:39" ht="14.5" x14ac:dyDescent="0.35">
      <c r="A372" s="81">
        <v>15074</v>
      </c>
      <c r="B372" s="81" t="s">
        <v>161</v>
      </c>
      <c r="C372" s="81">
        <v>61156113000175</v>
      </c>
      <c r="D372" s="81" t="s">
        <v>653</v>
      </c>
      <c r="E372" s="81" t="s">
        <v>654</v>
      </c>
      <c r="F372" s="81" t="s">
        <v>44</v>
      </c>
      <c r="G372" s="81">
        <v>26074</v>
      </c>
      <c r="H372" s="81" t="s">
        <v>891</v>
      </c>
      <c r="I372" s="81" t="s">
        <v>32</v>
      </c>
      <c r="J372" s="81" t="s">
        <v>33</v>
      </c>
      <c r="K372" s="81" t="s">
        <v>34</v>
      </c>
      <c r="L372" s="81" t="s">
        <v>892</v>
      </c>
      <c r="M372" s="81">
        <v>4500132982</v>
      </c>
      <c r="N372" s="90">
        <v>44686</v>
      </c>
      <c r="O372" s="90">
        <v>44792</v>
      </c>
      <c r="P372" s="90">
        <v>44700</v>
      </c>
      <c r="Q372" s="90" t="s">
        <v>35</v>
      </c>
      <c r="R372" s="81">
        <v>0</v>
      </c>
      <c r="S372" s="90" t="s">
        <v>35</v>
      </c>
      <c r="T372" s="81">
        <v>0</v>
      </c>
      <c r="U372" s="81" t="s">
        <v>36</v>
      </c>
      <c r="V372" s="90" t="s">
        <v>35</v>
      </c>
      <c r="W372" s="81"/>
      <c r="X372" s="90" t="s">
        <v>37</v>
      </c>
      <c r="Y372" s="81" t="s">
        <v>38</v>
      </c>
      <c r="Z372" s="81">
        <v>0</v>
      </c>
      <c r="AA372" s="81"/>
      <c r="AB372" s="81">
        <v>0</v>
      </c>
      <c r="AC372" s="81"/>
      <c r="AD372" s="81">
        <v>0</v>
      </c>
      <c r="AE372" s="81" t="s">
        <v>153</v>
      </c>
      <c r="AF372" s="81" t="s">
        <v>39</v>
      </c>
      <c r="AG372" s="83">
        <v>448</v>
      </c>
      <c r="AH372" s="95">
        <v>19583</v>
      </c>
      <c r="AI372" s="82" t="str">
        <f>CONCATENATE((TEXT(Tabela1[[#This Row],[Data entrega]],"mmmm")),"_",(YEAR(Tabela1[[#This Row],[Data entrega]])))</f>
        <v>agosto_2022</v>
      </c>
      <c r="AJ372" s="77">
        <f>IFERROR(IF(Tabela1[[#This Row],[Programa]]="",Tabela1[[#This Row],[Peso bruto]],VLOOKUP(Tabela1[[#This Row],[Pedido]],'Saldo a Produzir'!$A:$D,4,0)),"")</f>
        <v>448</v>
      </c>
      <c r="AM372" s="73">
        <v>448</v>
      </c>
    </row>
    <row r="373" spans="1:39" ht="14.5" x14ac:dyDescent="0.35">
      <c r="A373" s="81">
        <v>15052</v>
      </c>
      <c r="B373" s="81" t="s">
        <v>43</v>
      </c>
      <c r="C373" s="81">
        <v>2916265036512</v>
      </c>
      <c r="D373" s="81" t="s">
        <v>137</v>
      </c>
      <c r="E373" s="81" t="s">
        <v>866</v>
      </c>
      <c r="F373" s="81" t="s">
        <v>44</v>
      </c>
      <c r="G373" s="81">
        <v>26038</v>
      </c>
      <c r="H373" s="81" t="s">
        <v>92</v>
      </c>
      <c r="I373" s="81" t="s">
        <v>32</v>
      </c>
      <c r="J373" s="81" t="s">
        <v>33</v>
      </c>
      <c r="K373" s="81" t="s">
        <v>34</v>
      </c>
      <c r="L373" s="81" t="s">
        <v>867</v>
      </c>
      <c r="M373" s="81" t="s">
        <v>868</v>
      </c>
      <c r="N373" s="90">
        <v>44680</v>
      </c>
      <c r="O373" s="90">
        <v>44792</v>
      </c>
      <c r="P373" s="90">
        <v>44683</v>
      </c>
      <c r="Q373" s="90" t="s">
        <v>35</v>
      </c>
      <c r="R373" s="81">
        <v>0</v>
      </c>
      <c r="S373" s="90" t="s">
        <v>35</v>
      </c>
      <c r="T373" s="81">
        <v>0</v>
      </c>
      <c r="U373" s="81" t="s">
        <v>36</v>
      </c>
      <c r="V373" s="90" t="s">
        <v>35</v>
      </c>
      <c r="W373" s="81" t="s">
        <v>925</v>
      </c>
      <c r="X373" s="90">
        <v>44692</v>
      </c>
      <c r="Y373" s="81" t="s">
        <v>38</v>
      </c>
      <c r="Z373" s="81">
        <v>575</v>
      </c>
      <c r="AA373" s="81" t="s">
        <v>127</v>
      </c>
      <c r="AB373" s="81">
        <v>0</v>
      </c>
      <c r="AC373" s="81"/>
      <c r="AD373" s="81">
        <v>0</v>
      </c>
      <c r="AE373" s="81"/>
      <c r="AF373" s="81" t="s">
        <v>39</v>
      </c>
      <c r="AG373" s="83">
        <v>1114.7499999999998</v>
      </c>
      <c r="AH373" s="95">
        <v>99016.75</v>
      </c>
      <c r="AI373" s="82" t="str">
        <f>CONCATENATE((TEXT(Tabela1[[#This Row],[Data entrega]],"mmmm")),"_",(YEAR(Tabela1[[#This Row],[Data entrega]])))</f>
        <v>agosto_2022</v>
      </c>
      <c r="AJ373" s="77">
        <f>IFERROR(IF(Tabela1[[#This Row],[Programa]]="",Tabela1[[#This Row],[Peso bruto]],VLOOKUP(Tabela1[[#This Row],[Pedido]],'Saldo a Produzir'!$A:$D,4,0)),"")</f>
        <v>520.59</v>
      </c>
      <c r="AM373" s="73">
        <v>1966.6849999999999</v>
      </c>
    </row>
    <row r="374" spans="1:39" ht="14.5" x14ac:dyDescent="0.35">
      <c r="A374" s="81">
        <v>15907</v>
      </c>
      <c r="B374" s="81" t="s">
        <v>272</v>
      </c>
      <c r="C374" s="81">
        <v>11907140000164</v>
      </c>
      <c r="D374" s="81" t="s">
        <v>869</v>
      </c>
      <c r="E374" s="81" t="s">
        <v>870</v>
      </c>
      <c r="F374" s="81" t="s">
        <v>596</v>
      </c>
      <c r="G374" s="81">
        <v>26034</v>
      </c>
      <c r="H374" s="81" t="s">
        <v>92</v>
      </c>
      <c r="I374" s="81" t="s">
        <v>32</v>
      </c>
      <c r="J374" s="81" t="s">
        <v>33</v>
      </c>
      <c r="K374" s="81" t="s">
        <v>34</v>
      </c>
      <c r="L374" s="81" t="s">
        <v>893</v>
      </c>
      <c r="M374" s="81">
        <v>48061</v>
      </c>
      <c r="N374" s="90">
        <v>44680</v>
      </c>
      <c r="O374" s="90">
        <v>44792</v>
      </c>
      <c r="P374" s="90">
        <v>44691</v>
      </c>
      <c r="Q374" s="90" t="s">
        <v>35</v>
      </c>
      <c r="R374" s="81">
        <v>0</v>
      </c>
      <c r="S374" s="90" t="s">
        <v>35</v>
      </c>
      <c r="T374" s="81">
        <v>0</v>
      </c>
      <c r="U374" s="81" t="s">
        <v>36</v>
      </c>
      <c r="V374" s="90" t="s">
        <v>35</v>
      </c>
      <c r="W374" s="81" t="s">
        <v>912</v>
      </c>
      <c r="X374" s="90">
        <v>44691</v>
      </c>
      <c r="Y374" s="81" t="s">
        <v>38</v>
      </c>
      <c r="Z374" s="81">
        <v>2257</v>
      </c>
      <c r="AA374" s="81" t="s">
        <v>155</v>
      </c>
      <c r="AB374" s="81">
        <v>0</v>
      </c>
      <c r="AC374" s="81"/>
      <c r="AD374" s="81">
        <v>0</v>
      </c>
      <c r="AE374" s="81" t="s">
        <v>153</v>
      </c>
      <c r="AF374" s="81" t="s">
        <v>39</v>
      </c>
      <c r="AG374" s="83">
        <v>3276.9500000000003</v>
      </c>
      <c r="AH374" s="95">
        <v>149144.63</v>
      </c>
      <c r="AI374" s="82" t="str">
        <f>CONCATENATE((TEXT(Tabela1[[#This Row],[Data entrega]],"mmmm")),"_",(YEAR(Tabela1[[#This Row],[Data entrega]])))</f>
        <v>agosto_2022</v>
      </c>
      <c r="AJ374" s="77">
        <f>IFERROR(IF(Tabela1[[#This Row],[Programa]]="",Tabela1[[#This Row],[Peso bruto]],VLOOKUP(Tabela1[[#This Row],[Pedido]],'Saldo a Produzir'!$A:$D,4,0)),"")</f>
        <v>2844.63</v>
      </c>
      <c r="AM374" s="73">
        <v>8450.6810000000005</v>
      </c>
    </row>
    <row r="375" spans="1:39" ht="14.5" x14ac:dyDescent="0.35">
      <c r="A375" s="81">
        <v>15907</v>
      </c>
      <c r="B375" s="81" t="s">
        <v>272</v>
      </c>
      <c r="C375" s="81">
        <v>11907140000164</v>
      </c>
      <c r="D375" s="81" t="s">
        <v>869</v>
      </c>
      <c r="E375" s="81" t="s">
        <v>870</v>
      </c>
      <c r="F375" s="81" t="s">
        <v>596</v>
      </c>
      <c r="G375" s="81">
        <v>26035</v>
      </c>
      <c r="H375" s="81" t="s">
        <v>116</v>
      </c>
      <c r="I375" s="81" t="s">
        <v>32</v>
      </c>
      <c r="J375" s="81" t="s">
        <v>33</v>
      </c>
      <c r="K375" s="81" t="s">
        <v>34</v>
      </c>
      <c r="L375" s="81" t="s">
        <v>893</v>
      </c>
      <c r="M375" s="81">
        <v>48061</v>
      </c>
      <c r="N375" s="90">
        <v>44680</v>
      </c>
      <c r="O375" s="90">
        <v>44792</v>
      </c>
      <c r="P375" s="90">
        <v>44691</v>
      </c>
      <c r="Q375" s="90" t="s">
        <v>35</v>
      </c>
      <c r="R375" s="81">
        <v>0</v>
      </c>
      <c r="S375" s="90" t="s">
        <v>35</v>
      </c>
      <c r="T375" s="81">
        <v>0</v>
      </c>
      <c r="U375" s="81" t="s">
        <v>36</v>
      </c>
      <c r="V375" s="90" t="s">
        <v>35</v>
      </c>
      <c r="W375" s="81" t="s">
        <v>1101</v>
      </c>
      <c r="X375" s="90">
        <v>44704</v>
      </c>
      <c r="Y375" s="81" t="s">
        <v>38</v>
      </c>
      <c r="Z375" s="81">
        <v>0</v>
      </c>
      <c r="AA375" s="81"/>
      <c r="AB375" s="81">
        <v>0</v>
      </c>
      <c r="AC375" s="81"/>
      <c r="AD375" s="81">
        <v>0</v>
      </c>
      <c r="AE375" s="81"/>
      <c r="AF375" s="81" t="s">
        <v>39</v>
      </c>
      <c r="AG375" s="83">
        <v>1177.2099999999998</v>
      </c>
      <c r="AH375" s="95">
        <v>41537.480000000003</v>
      </c>
      <c r="AI375" s="82" t="str">
        <f>CONCATENATE((TEXT(Tabela1[[#This Row],[Data entrega]],"mmmm")),"_",(YEAR(Tabela1[[#This Row],[Data entrega]])))</f>
        <v>agosto_2022</v>
      </c>
      <c r="AJ375" s="77">
        <f>IFERROR(IF(Tabela1[[#This Row],[Programa]]="",Tabela1[[#This Row],[Peso bruto]],VLOOKUP(Tabela1[[#This Row],[Pedido]],'Saldo a Produzir'!$A:$D,4,0)),"")</f>
        <v>562.82000000000005</v>
      </c>
      <c r="AM375" s="73">
        <v>1274.4369999999999</v>
      </c>
    </row>
    <row r="376" spans="1:39" ht="14.5" x14ac:dyDescent="0.35">
      <c r="A376" s="81">
        <v>15910</v>
      </c>
      <c r="B376" s="81" t="s">
        <v>261</v>
      </c>
      <c r="C376" s="81">
        <v>33069212000184</v>
      </c>
      <c r="D376" s="81" t="s">
        <v>1057</v>
      </c>
      <c r="E376" s="81" t="s">
        <v>73</v>
      </c>
      <c r="F376" s="81" t="s">
        <v>51</v>
      </c>
      <c r="G376" s="81">
        <v>26167</v>
      </c>
      <c r="H376" s="81" t="s">
        <v>87</v>
      </c>
      <c r="I376" s="81" t="s">
        <v>32</v>
      </c>
      <c r="J376" s="81" t="s">
        <v>33</v>
      </c>
      <c r="K376" s="81" t="s">
        <v>34</v>
      </c>
      <c r="L376" s="81" t="s">
        <v>1058</v>
      </c>
      <c r="M376" s="81">
        <v>5010011798</v>
      </c>
      <c r="N376" s="90">
        <v>44700</v>
      </c>
      <c r="O376" s="90">
        <v>44792</v>
      </c>
      <c r="P376" s="90">
        <v>44700</v>
      </c>
      <c r="Q376" s="90" t="s">
        <v>35</v>
      </c>
      <c r="R376" s="81">
        <v>0</v>
      </c>
      <c r="S376" s="90" t="s">
        <v>35</v>
      </c>
      <c r="T376" s="81">
        <v>0</v>
      </c>
      <c r="U376" s="81" t="s">
        <v>36</v>
      </c>
      <c r="V376" s="90" t="s">
        <v>35</v>
      </c>
      <c r="W376" s="81" t="s">
        <v>1094</v>
      </c>
      <c r="X376" s="90">
        <v>44705</v>
      </c>
      <c r="Y376" s="81" t="s">
        <v>38</v>
      </c>
      <c r="Z376" s="81">
        <v>879</v>
      </c>
      <c r="AA376" s="81" t="s">
        <v>45</v>
      </c>
      <c r="AB376" s="81">
        <v>0</v>
      </c>
      <c r="AC376" s="81"/>
      <c r="AD376" s="81">
        <v>0</v>
      </c>
      <c r="AE376" s="81" t="s">
        <v>153</v>
      </c>
      <c r="AF376" s="81" t="s">
        <v>39</v>
      </c>
      <c r="AG376" s="83">
        <v>127.21000000000001</v>
      </c>
      <c r="AH376" s="95">
        <v>14568.58</v>
      </c>
      <c r="AI376" s="82" t="str">
        <f>CONCATENATE((TEXT(Tabela1[[#This Row],[Data entrega]],"mmmm")),"_",(YEAR(Tabela1[[#This Row],[Data entrega]])))</f>
        <v>agosto_2022</v>
      </c>
      <c r="AJ376" s="77">
        <f>IFERROR(IF(Tabela1[[#This Row],[Programa]]="",Tabela1[[#This Row],[Peso bruto]],VLOOKUP(Tabela1[[#This Row],[Pedido]],'Saldo a Produzir'!$A:$D,4,0)),"")</f>
        <v>127.19</v>
      </c>
      <c r="AM376" s="73">
        <v>128.76300000000001</v>
      </c>
    </row>
    <row r="377" spans="1:39" ht="14.5" x14ac:dyDescent="0.35">
      <c r="A377" s="81">
        <v>15066</v>
      </c>
      <c r="B377" s="81" t="s">
        <v>72</v>
      </c>
      <c r="C377" s="81">
        <v>60409075004905</v>
      </c>
      <c r="D377" s="81" t="s">
        <v>811</v>
      </c>
      <c r="E377" s="81" t="s">
        <v>894</v>
      </c>
      <c r="F377" s="81" t="s">
        <v>56</v>
      </c>
      <c r="G377" s="81">
        <v>26059</v>
      </c>
      <c r="H377" s="81" t="s">
        <v>88</v>
      </c>
      <c r="I377" s="81" t="s">
        <v>32</v>
      </c>
      <c r="J377" s="81" t="s">
        <v>33</v>
      </c>
      <c r="K377" s="81" t="s">
        <v>34</v>
      </c>
      <c r="L377" s="81" t="s">
        <v>895</v>
      </c>
      <c r="M377" s="81">
        <v>4569435584</v>
      </c>
      <c r="N377" s="90">
        <v>44685</v>
      </c>
      <c r="O377" s="90">
        <v>44792</v>
      </c>
      <c r="P377" s="90">
        <v>44685</v>
      </c>
      <c r="Q377" s="90" t="s">
        <v>35</v>
      </c>
      <c r="R377" s="81">
        <v>0</v>
      </c>
      <c r="S377" s="90" t="s">
        <v>35</v>
      </c>
      <c r="T377" s="81">
        <v>0</v>
      </c>
      <c r="U377" s="81" t="s">
        <v>36</v>
      </c>
      <c r="V377" s="90" t="s">
        <v>35</v>
      </c>
      <c r="W377" s="81" t="s">
        <v>912</v>
      </c>
      <c r="X377" s="90">
        <v>44691</v>
      </c>
      <c r="Y377" s="81" t="s">
        <v>38</v>
      </c>
      <c r="Z377" s="81">
        <v>944</v>
      </c>
      <c r="AA377" s="81" t="s">
        <v>152</v>
      </c>
      <c r="AB377" s="81">
        <v>0</v>
      </c>
      <c r="AC377" s="81"/>
      <c r="AD377" s="81">
        <v>0</v>
      </c>
      <c r="AE377" s="81" t="s">
        <v>153</v>
      </c>
      <c r="AF377" s="81" t="s">
        <v>39</v>
      </c>
      <c r="AG377" s="83">
        <v>1253.6299999999999</v>
      </c>
      <c r="AH377" s="95">
        <v>47180.09</v>
      </c>
      <c r="AI377" s="82" t="str">
        <f>CONCATENATE((TEXT(Tabela1[[#This Row],[Data entrega]],"mmmm")),"_",(YEAR(Tabela1[[#This Row],[Data entrega]])))</f>
        <v>agosto_2022</v>
      </c>
      <c r="AJ377" s="77">
        <f>IFERROR(IF(Tabela1[[#This Row],[Programa]]="",Tabela1[[#This Row],[Peso bruto]],VLOOKUP(Tabela1[[#This Row],[Pedido]],'Saldo a Produzir'!$A:$D,4,0)),"")</f>
        <v>1136.72</v>
      </c>
      <c r="AM377" s="73">
        <v>1787.8630000000001</v>
      </c>
    </row>
    <row r="378" spans="1:39" ht="14.5" x14ac:dyDescent="0.35">
      <c r="A378" s="81">
        <v>15066</v>
      </c>
      <c r="B378" s="81" t="s">
        <v>72</v>
      </c>
      <c r="C378" s="81">
        <v>60409075004905</v>
      </c>
      <c r="D378" s="81" t="s">
        <v>811</v>
      </c>
      <c r="E378" s="81" t="s">
        <v>894</v>
      </c>
      <c r="F378" s="81" t="s">
        <v>56</v>
      </c>
      <c r="G378" s="81">
        <v>26060</v>
      </c>
      <c r="H378" s="81" t="s">
        <v>131</v>
      </c>
      <c r="I378" s="81" t="s">
        <v>32</v>
      </c>
      <c r="J378" s="81" t="s">
        <v>33</v>
      </c>
      <c r="K378" s="81" t="s">
        <v>34</v>
      </c>
      <c r="L378" s="81" t="s">
        <v>895</v>
      </c>
      <c r="M378" s="81">
        <v>4569435584</v>
      </c>
      <c r="N378" s="90">
        <v>44685</v>
      </c>
      <c r="O378" s="90">
        <v>44792</v>
      </c>
      <c r="P378" s="90">
        <v>44685</v>
      </c>
      <c r="Q378" s="90" t="s">
        <v>35</v>
      </c>
      <c r="R378" s="81">
        <v>0</v>
      </c>
      <c r="S378" s="90" t="s">
        <v>35</v>
      </c>
      <c r="T378" s="81">
        <v>0</v>
      </c>
      <c r="U378" s="81" t="s">
        <v>36</v>
      </c>
      <c r="V378" s="90" t="s">
        <v>35</v>
      </c>
      <c r="W378" s="81" t="s">
        <v>1132</v>
      </c>
      <c r="X378" s="90">
        <v>44707</v>
      </c>
      <c r="Y378" s="81" t="s">
        <v>38</v>
      </c>
      <c r="Z378" s="81">
        <v>944</v>
      </c>
      <c r="AA378" s="81" t="s">
        <v>152</v>
      </c>
      <c r="AB378" s="81">
        <v>0</v>
      </c>
      <c r="AC378" s="81"/>
      <c r="AD378" s="81">
        <v>0</v>
      </c>
      <c r="AE378" s="81" t="s">
        <v>153</v>
      </c>
      <c r="AF378" s="81" t="s">
        <v>39</v>
      </c>
      <c r="AG378" s="83">
        <v>34576.300000000003</v>
      </c>
      <c r="AH378" s="95">
        <v>788938</v>
      </c>
      <c r="AI378" s="82" t="str">
        <f>CONCATENATE((TEXT(Tabela1[[#This Row],[Data entrega]],"mmmm")),"_",(YEAR(Tabela1[[#This Row],[Data entrega]])))</f>
        <v>agosto_2022</v>
      </c>
      <c r="AJ378" s="77">
        <f>IFERROR(IF(Tabela1[[#This Row],[Programa]]="",Tabela1[[#This Row],[Peso bruto]],VLOOKUP(Tabela1[[#This Row],[Pedido]],'Saldo a Produzir'!$A:$D,4,0)),"")</f>
        <v>34045.69</v>
      </c>
      <c r="AM378" s="73">
        <v>36973.726000000002</v>
      </c>
    </row>
    <row r="379" spans="1:39" ht="14.5" x14ac:dyDescent="0.35">
      <c r="A379" s="81">
        <v>15076</v>
      </c>
      <c r="B379" s="81" t="s">
        <v>196</v>
      </c>
      <c r="C379" s="81">
        <v>74557471000301</v>
      </c>
      <c r="D379" s="81" t="s">
        <v>1059</v>
      </c>
      <c r="E379" s="81" t="s">
        <v>74</v>
      </c>
      <c r="F379" s="81" t="s">
        <v>75</v>
      </c>
      <c r="G379" s="81">
        <v>26165</v>
      </c>
      <c r="H379" s="81" t="s">
        <v>87</v>
      </c>
      <c r="I379" s="81" t="s">
        <v>32</v>
      </c>
      <c r="J379" s="81" t="s">
        <v>33</v>
      </c>
      <c r="K379" s="81" t="s">
        <v>34</v>
      </c>
      <c r="L379" s="81" t="s">
        <v>1060</v>
      </c>
      <c r="M379" s="81"/>
      <c r="N379" s="90">
        <v>44700</v>
      </c>
      <c r="O379" s="90">
        <v>44792</v>
      </c>
      <c r="P379" s="90">
        <v>44700</v>
      </c>
      <c r="Q379" s="90" t="s">
        <v>35</v>
      </c>
      <c r="R379" s="81">
        <v>0</v>
      </c>
      <c r="S379" s="90" t="s">
        <v>35</v>
      </c>
      <c r="T379" s="81">
        <v>0</v>
      </c>
      <c r="U379" s="81" t="s">
        <v>36</v>
      </c>
      <c r="V379" s="90" t="s">
        <v>35</v>
      </c>
      <c r="W379" s="81" t="s">
        <v>1094</v>
      </c>
      <c r="X379" s="90">
        <v>44705</v>
      </c>
      <c r="Y379" s="81" t="s">
        <v>38</v>
      </c>
      <c r="Z379" s="81">
        <v>2257</v>
      </c>
      <c r="AA379" s="81" t="s">
        <v>155</v>
      </c>
      <c r="AB379" s="81">
        <v>0</v>
      </c>
      <c r="AC379" s="81"/>
      <c r="AD379" s="81">
        <v>0</v>
      </c>
      <c r="AE379" s="81" t="s">
        <v>153</v>
      </c>
      <c r="AF379" s="81" t="s">
        <v>39</v>
      </c>
      <c r="AG379" s="83">
        <v>278.45</v>
      </c>
      <c r="AH379" s="95">
        <v>7370.83</v>
      </c>
      <c r="AI379" s="82" t="str">
        <f>CONCATENATE((TEXT(Tabela1[[#This Row],[Data entrega]],"mmmm")),"_",(YEAR(Tabela1[[#This Row],[Data entrega]])))</f>
        <v>agosto_2022</v>
      </c>
      <c r="AJ379" s="77" t="str">
        <f>IFERROR(IF(Tabela1[[#This Row],[Programa]]="",Tabela1[[#This Row],[Peso bruto]],VLOOKUP(Tabela1[[#This Row],[Pedido]],'Saldo a Produzir'!$A:$D,4,0)),"")</f>
        <v/>
      </c>
      <c r="AM379" s="73">
        <v>278.45499999999998</v>
      </c>
    </row>
    <row r="380" spans="1:39" ht="14.5" x14ac:dyDescent="0.35">
      <c r="A380" s="81">
        <v>15063</v>
      </c>
      <c r="B380" s="81" t="s">
        <v>71</v>
      </c>
      <c r="C380" s="81">
        <v>27485069000109</v>
      </c>
      <c r="D380" s="81" t="s">
        <v>964</v>
      </c>
      <c r="E380" s="81" t="s">
        <v>233</v>
      </c>
      <c r="F380" s="81" t="s">
        <v>54</v>
      </c>
      <c r="G380" s="81">
        <v>26124</v>
      </c>
      <c r="H380" s="81" t="s">
        <v>92</v>
      </c>
      <c r="I380" s="81" t="s">
        <v>32</v>
      </c>
      <c r="J380" s="81" t="s">
        <v>33</v>
      </c>
      <c r="K380" s="81" t="s">
        <v>34</v>
      </c>
      <c r="L380" s="81" t="s">
        <v>965</v>
      </c>
      <c r="M380" s="81" t="s">
        <v>1102</v>
      </c>
      <c r="N380" s="90">
        <v>44694</v>
      </c>
      <c r="O380" s="90">
        <v>44792</v>
      </c>
      <c r="P380" s="90">
        <v>44707</v>
      </c>
      <c r="Q380" s="90" t="s">
        <v>35</v>
      </c>
      <c r="R380" s="81">
        <v>0</v>
      </c>
      <c r="S380" s="90" t="s">
        <v>35</v>
      </c>
      <c r="T380" s="81">
        <v>0</v>
      </c>
      <c r="U380" s="81" t="s">
        <v>36</v>
      </c>
      <c r="V380" s="90" t="s">
        <v>35</v>
      </c>
      <c r="W380" s="81" t="s">
        <v>1204</v>
      </c>
      <c r="X380" s="90">
        <v>44711</v>
      </c>
      <c r="Y380" s="81" t="s">
        <v>38</v>
      </c>
      <c r="Z380" s="81">
        <v>2257</v>
      </c>
      <c r="AA380" s="81" t="s">
        <v>155</v>
      </c>
      <c r="AB380" s="81">
        <v>0</v>
      </c>
      <c r="AC380" s="81"/>
      <c r="AD380" s="81">
        <v>0</v>
      </c>
      <c r="AE380" s="81" t="s">
        <v>153</v>
      </c>
      <c r="AF380" s="81" t="s">
        <v>39</v>
      </c>
      <c r="AG380" s="83">
        <v>3203.35</v>
      </c>
      <c r="AH380" s="95">
        <v>95506.25</v>
      </c>
      <c r="AI380" s="82" t="str">
        <f>CONCATENATE((TEXT(Tabela1[[#This Row],[Data entrega]],"mmmm")),"_",(YEAR(Tabela1[[#This Row],[Data entrega]])))</f>
        <v>agosto_2022</v>
      </c>
      <c r="AJ380" s="77">
        <f>IFERROR(IF(Tabela1[[#This Row],[Programa]]="",Tabela1[[#This Row],[Peso bruto]],VLOOKUP(Tabela1[[#This Row],[Pedido]],'Saldo a Produzir'!$A:$D,4,0)),"")</f>
        <v>3152.62</v>
      </c>
      <c r="AM380" s="73">
        <v>6366.9549999999999</v>
      </c>
    </row>
    <row r="381" spans="1:39" ht="14.5" x14ac:dyDescent="0.35">
      <c r="A381" s="81">
        <v>15057</v>
      </c>
      <c r="B381" s="81" t="s">
        <v>60</v>
      </c>
      <c r="C381" s="81">
        <v>90049792000181</v>
      </c>
      <c r="D381" s="81" t="s">
        <v>667</v>
      </c>
      <c r="E381" s="81" t="s">
        <v>668</v>
      </c>
      <c r="F381" s="81" t="s">
        <v>58</v>
      </c>
      <c r="G381" s="81">
        <v>26126</v>
      </c>
      <c r="H381" s="81" t="s">
        <v>87</v>
      </c>
      <c r="I381" s="81" t="s">
        <v>32</v>
      </c>
      <c r="J381" s="81" t="s">
        <v>33</v>
      </c>
      <c r="K381" s="81" t="s">
        <v>34</v>
      </c>
      <c r="L381" s="81" t="s">
        <v>966</v>
      </c>
      <c r="M381" s="81">
        <v>211414</v>
      </c>
      <c r="N381" s="90">
        <v>44694</v>
      </c>
      <c r="O381" s="90">
        <v>44792</v>
      </c>
      <c r="P381" s="90">
        <v>44697</v>
      </c>
      <c r="Q381" s="90" t="s">
        <v>35</v>
      </c>
      <c r="R381" s="81">
        <v>0</v>
      </c>
      <c r="S381" s="90" t="s">
        <v>35</v>
      </c>
      <c r="T381" s="81">
        <v>0</v>
      </c>
      <c r="U381" s="81" t="s">
        <v>36</v>
      </c>
      <c r="V381" s="90" t="s">
        <v>35</v>
      </c>
      <c r="W381" s="81" t="s">
        <v>1094</v>
      </c>
      <c r="X381" s="90">
        <v>44705</v>
      </c>
      <c r="Y381" s="81" t="s">
        <v>38</v>
      </c>
      <c r="Z381" s="81">
        <v>2000</v>
      </c>
      <c r="AA381" s="81" t="s">
        <v>154</v>
      </c>
      <c r="AB381" s="81">
        <v>0</v>
      </c>
      <c r="AC381" s="81"/>
      <c r="AD381" s="81">
        <v>0</v>
      </c>
      <c r="AE381" s="81" t="s">
        <v>153</v>
      </c>
      <c r="AF381" s="81" t="s">
        <v>39</v>
      </c>
      <c r="AG381" s="83">
        <v>411.31000000000006</v>
      </c>
      <c r="AH381" s="95">
        <v>8920.7999999999993</v>
      </c>
      <c r="AI381" s="82" t="str">
        <f>CONCATENATE((TEXT(Tabela1[[#This Row],[Data entrega]],"mmmm")),"_",(YEAR(Tabela1[[#This Row],[Data entrega]])))</f>
        <v>agosto_2022</v>
      </c>
      <c r="AJ381" s="77">
        <f>IFERROR(IF(Tabela1[[#This Row],[Programa]]="",Tabela1[[#This Row],[Peso bruto]],VLOOKUP(Tabela1[[#This Row],[Pedido]],'Saldo a Produzir'!$A:$D,4,0)),"")</f>
        <v>410.66999999999996</v>
      </c>
      <c r="AM381" s="73">
        <v>419.267</v>
      </c>
    </row>
    <row r="382" spans="1:39" ht="14.5" x14ac:dyDescent="0.35">
      <c r="A382" s="81">
        <v>15064</v>
      </c>
      <c r="B382" s="81" t="s">
        <v>67</v>
      </c>
      <c r="C382" s="81">
        <v>18928807000154</v>
      </c>
      <c r="D382" s="81" t="s">
        <v>1095</v>
      </c>
      <c r="E382" s="81" t="s">
        <v>226</v>
      </c>
      <c r="F382" s="81" t="s">
        <v>56</v>
      </c>
      <c r="G382" s="81">
        <v>26237</v>
      </c>
      <c r="H382" s="81" t="s">
        <v>87</v>
      </c>
      <c r="I382" s="81" t="s">
        <v>32</v>
      </c>
      <c r="J382" s="81" t="s">
        <v>33</v>
      </c>
      <c r="K382" s="81" t="s">
        <v>34</v>
      </c>
      <c r="L382" s="81" t="s">
        <v>1160</v>
      </c>
      <c r="M382" s="81"/>
      <c r="N382" s="90">
        <v>44708</v>
      </c>
      <c r="O382" s="90">
        <v>44792</v>
      </c>
      <c r="P382" s="90">
        <v>44713</v>
      </c>
      <c r="Q382" s="90" t="s">
        <v>35</v>
      </c>
      <c r="R382" s="81">
        <v>0</v>
      </c>
      <c r="S382" s="90" t="s">
        <v>35</v>
      </c>
      <c r="T382" s="81">
        <v>0</v>
      </c>
      <c r="U382" s="81" t="s">
        <v>36</v>
      </c>
      <c r="V382" s="90" t="s">
        <v>35</v>
      </c>
      <c r="W382" s="81" t="s">
        <v>1433</v>
      </c>
      <c r="X382" s="90">
        <v>44719</v>
      </c>
      <c r="Y382" s="81" t="s">
        <v>38</v>
      </c>
      <c r="Z382" s="81">
        <v>2257</v>
      </c>
      <c r="AA382" s="81" t="s">
        <v>155</v>
      </c>
      <c r="AB382" s="81">
        <v>0</v>
      </c>
      <c r="AC382" s="81"/>
      <c r="AD382" s="81">
        <v>0</v>
      </c>
      <c r="AE382" s="81" t="s">
        <v>153</v>
      </c>
      <c r="AF382" s="81" t="s">
        <v>39</v>
      </c>
      <c r="AG382" s="83">
        <v>3341.25</v>
      </c>
      <c r="AH382" s="95">
        <v>103250</v>
      </c>
      <c r="AI382" s="82" t="str">
        <f>CONCATENATE((TEXT(Tabela1[[#This Row],[Data entrega]],"mmmm")),"_",(YEAR(Tabela1[[#This Row],[Data entrega]])))</f>
        <v>agosto_2022</v>
      </c>
      <c r="AJ382" s="77">
        <f>IFERROR(IF(Tabela1[[#This Row],[Programa]]="",Tabela1[[#This Row],[Peso bruto]],VLOOKUP(Tabela1[[#This Row],[Pedido]],'Saldo a Produzir'!$A:$D,4,0)),"")</f>
        <v>3300.92</v>
      </c>
      <c r="AM382" s="73">
        <v>5748.3280000000004</v>
      </c>
    </row>
    <row r="383" spans="1:39" ht="14.5" x14ac:dyDescent="0.35">
      <c r="A383" s="81">
        <v>15054</v>
      </c>
      <c r="B383" s="81" t="s">
        <v>70</v>
      </c>
      <c r="C383" s="81">
        <v>24544420000105</v>
      </c>
      <c r="D383" s="81" t="s">
        <v>928</v>
      </c>
      <c r="E383" s="81" t="s">
        <v>564</v>
      </c>
      <c r="F383" s="81" t="s">
        <v>132</v>
      </c>
      <c r="G383" s="81">
        <v>26085</v>
      </c>
      <c r="H383" s="81" t="s">
        <v>92</v>
      </c>
      <c r="I383" s="81" t="s">
        <v>32</v>
      </c>
      <c r="J383" s="81" t="s">
        <v>33</v>
      </c>
      <c r="K383" s="81" t="s">
        <v>34</v>
      </c>
      <c r="L383" s="81" t="s">
        <v>929</v>
      </c>
      <c r="M383" s="81"/>
      <c r="N383" s="90">
        <v>44690</v>
      </c>
      <c r="O383" s="90">
        <v>44799</v>
      </c>
      <c r="P383" s="90">
        <v>44692</v>
      </c>
      <c r="Q383" s="90" t="s">
        <v>35</v>
      </c>
      <c r="R383" s="81">
        <v>0</v>
      </c>
      <c r="S383" s="90" t="s">
        <v>35</v>
      </c>
      <c r="T383" s="81">
        <v>0</v>
      </c>
      <c r="U383" s="81" t="s">
        <v>36</v>
      </c>
      <c r="V383" s="90" t="s">
        <v>35</v>
      </c>
      <c r="W383" s="81" t="s">
        <v>925</v>
      </c>
      <c r="X383" s="90">
        <v>44692</v>
      </c>
      <c r="Y383" s="81" t="s">
        <v>38</v>
      </c>
      <c r="Z383" s="81">
        <v>2081</v>
      </c>
      <c r="AA383" s="81" t="s">
        <v>930</v>
      </c>
      <c r="AB383" s="81">
        <v>0</v>
      </c>
      <c r="AC383" s="81"/>
      <c r="AD383" s="81">
        <v>0</v>
      </c>
      <c r="AE383" s="81" t="s">
        <v>153</v>
      </c>
      <c r="AF383" s="81" t="s">
        <v>39</v>
      </c>
      <c r="AG383" s="83">
        <v>1667.88</v>
      </c>
      <c r="AH383" s="95">
        <v>60965</v>
      </c>
      <c r="AI383" s="82" t="str">
        <f>CONCATENATE((TEXT(Tabela1[[#This Row],[Data entrega]],"mmmm")),"_",(YEAR(Tabela1[[#This Row],[Data entrega]])))</f>
        <v>agosto_2022</v>
      </c>
      <c r="AJ383" s="77">
        <f>IFERROR(IF(Tabela1[[#This Row],[Programa]]="",Tabela1[[#This Row],[Peso bruto]],VLOOKUP(Tabela1[[#This Row],[Pedido]],'Saldo a Produzir'!$A:$D,4,0)),"")</f>
        <v>647.9799999999999</v>
      </c>
      <c r="AM383" s="73">
        <v>2380.7890000000002</v>
      </c>
    </row>
    <row r="384" spans="1:39" ht="14.5" x14ac:dyDescent="0.35">
      <c r="A384" s="81">
        <v>15059</v>
      </c>
      <c r="B384" s="81" t="s">
        <v>63</v>
      </c>
      <c r="C384" s="81">
        <v>11281641000269</v>
      </c>
      <c r="D384" s="81" t="s">
        <v>1133</v>
      </c>
      <c r="E384" s="81" t="s">
        <v>1134</v>
      </c>
      <c r="F384" s="81" t="s">
        <v>64</v>
      </c>
      <c r="G384" s="81">
        <v>26208</v>
      </c>
      <c r="H384" s="81" t="s">
        <v>87</v>
      </c>
      <c r="I384" s="81" t="s">
        <v>32</v>
      </c>
      <c r="J384" s="81" t="s">
        <v>33</v>
      </c>
      <c r="K384" s="81" t="s">
        <v>34</v>
      </c>
      <c r="L384" s="81" t="s">
        <v>1135</v>
      </c>
      <c r="M384" s="81"/>
      <c r="N384" s="90">
        <v>44706</v>
      </c>
      <c r="O384" s="90">
        <v>44799</v>
      </c>
      <c r="P384" s="90">
        <v>44721</v>
      </c>
      <c r="Q384" s="90" t="s">
        <v>35</v>
      </c>
      <c r="R384" s="81">
        <v>0</v>
      </c>
      <c r="S384" s="90" t="s">
        <v>35</v>
      </c>
      <c r="T384" s="81">
        <v>0</v>
      </c>
      <c r="U384" s="81" t="s">
        <v>36</v>
      </c>
      <c r="V384" s="90" t="s">
        <v>35</v>
      </c>
      <c r="W384" s="81"/>
      <c r="X384" s="90" t="s">
        <v>37</v>
      </c>
      <c r="Y384" s="81" t="s">
        <v>38</v>
      </c>
      <c r="Z384" s="81">
        <v>2257</v>
      </c>
      <c r="AA384" s="81" t="s">
        <v>155</v>
      </c>
      <c r="AB384" s="81">
        <v>0</v>
      </c>
      <c r="AC384" s="81"/>
      <c r="AD384" s="81">
        <v>0</v>
      </c>
      <c r="AE384" s="81" t="s">
        <v>153</v>
      </c>
      <c r="AF384" s="81" t="s">
        <v>39</v>
      </c>
      <c r="AG384" s="83">
        <v>252.89599999999999</v>
      </c>
      <c r="AH384" s="95">
        <v>5074.74</v>
      </c>
      <c r="AI384" s="82" t="str">
        <f>CONCATENATE((TEXT(Tabela1[[#This Row],[Data entrega]],"mmmm")),"_",(YEAR(Tabela1[[#This Row],[Data entrega]])))</f>
        <v>agosto_2022</v>
      </c>
      <c r="AJ384" s="77">
        <f>IFERROR(IF(Tabela1[[#This Row],[Programa]]="",Tabela1[[#This Row],[Peso bruto]],VLOOKUP(Tabela1[[#This Row],[Pedido]],'Saldo a Produzir'!$A:$D,4,0)),"")</f>
        <v>252.89599999999999</v>
      </c>
      <c r="AM384" s="73">
        <v>252.89599999999999</v>
      </c>
    </row>
    <row r="385" spans="1:39" ht="14.5" x14ac:dyDescent="0.35">
      <c r="A385" s="81">
        <v>15059</v>
      </c>
      <c r="B385" s="81" t="s">
        <v>63</v>
      </c>
      <c r="C385" s="81">
        <v>11281641000269</v>
      </c>
      <c r="D385" s="81" t="s">
        <v>1133</v>
      </c>
      <c r="E385" s="81" t="s">
        <v>1134</v>
      </c>
      <c r="F385" s="81" t="s">
        <v>64</v>
      </c>
      <c r="G385" s="81">
        <v>26210</v>
      </c>
      <c r="H385" s="81" t="s">
        <v>87</v>
      </c>
      <c r="I385" s="81" t="s">
        <v>32</v>
      </c>
      <c r="J385" s="81" t="s">
        <v>33</v>
      </c>
      <c r="K385" s="81" t="s">
        <v>34</v>
      </c>
      <c r="L385" s="81" t="s">
        <v>1136</v>
      </c>
      <c r="M385" s="81"/>
      <c r="N385" s="90">
        <v>44706</v>
      </c>
      <c r="O385" s="90">
        <v>44799</v>
      </c>
      <c r="P385" s="90">
        <v>44721</v>
      </c>
      <c r="Q385" s="90" t="s">
        <v>35</v>
      </c>
      <c r="R385" s="81">
        <v>0</v>
      </c>
      <c r="S385" s="90" t="s">
        <v>35</v>
      </c>
      <c r="T385" s="81">
        <v>0</v>
      </c>
      <c r="U385" s="81" t="s">
        <v>36</v>
      </c>
      <c r="V385" s="90" t="s">
        <v>35</v>
      </c>
      <c r="W385" s="81"/>
      <c r="X385" s="90" t="s">
        <v>37</v>
      </c>
      <c r="Y385" s="81" t="s">
        <v>38</v>
      </c>
      <c r="Z385" s="81">
        <v>2257</v>
      </c>
      <c r="AA385" s="81" t="s">
        <v>155</v>
      </c>
      <c r="AB385" s="81">
        <v>0</v>
      </c>
      <c r="AC385" s="81"/>
      <c r="AD385" s="81">
        <v>0</v>
      </c>
      <c r="AE385" s="81" t="s">
        <v>153</v>
      </c>
      <c r="AF385" s="81" t="s">
        <v>39</v>
      </c>
      <c r="AG385" s="83">
        <v>432</v>
      </c>
      <c r="AH385" s="95">
        <v>8523.2900000000009</v>
      </c>
      <c r="AI385" s="82" t="str">
        <f>CONCATENATE((TEXT(Tabela1[[#This Row],[Data entrega]],"mmmm")),"_",(YEAR(Tabela1[[#This Row],[Data entrega]])))</f>
        <v>agosto_2022</v>
      </c>
      <c r="AJ385" s="77">
        <f>IFERROR(IF(Tabela1[[#This Row],[Programa]]="",Tabela1[[#This Row],[Peso bruto]],VLOOKUP(Tabela1[[#This Row],[Pedido]],'Saldo a Produzir'!$A:$D,4,0)),"")</f>
        <v>432</v>
      </c>
      <c r="AM385" s="73">
        <v>432</v>
      </c>
    </row>
    <row r="386" spans="1:39" ht="14.5" x14ac:dyDescent="0.35">
      <c r="A386" s="81">
        <v>15067</v>
      </c>
      <c r="B386" s="81" t="s">
        <v>59</v>
      </c>
      <c r="C386" s="81">
        <v>88059118000136</v>
      </c>
      <c r="D386" s="81" t="s">
        <v>1103</v>
      </c>
      <c r="E386" s="81" t="s">
        <v>1104</v>
      </c>
      <c r="F386" s="81" t="s">
        <v>58</v>
      </c>
      <c r="G386" s="81">
        <v>26186</v>
      </c>
      <c r="H386" s="81" t="s">
        <v>92</v>
      </c>
      <c r="I386" s="81" t="s">
        <v>32</v>
      </c>
      <c r="J386" s="81" t="s">
        <v>33</v>
      </c>
      <c r="K386" s="81" t="s">
        <v>34</v>
      </c>
      <c r="L386" s="81" t="s">
        <v>1105</v>
      </c>
      <c r="M386" s="81">
        <v>24177</v>
      </c>
      <c r="N386" s="90">
        <v>44704</v>
      </c>
      <c r="O386" s="90">
        <v>44799</v>
      </c>
      <c r="P386" s="90">
        <v>44705</v>
      </c>
      <c r="Q386" s="90" t="s">
        <v>35</v>
      </c>
      <c r="R386" s="81">
        <v>0</v>
      </c>
      <c r="S386" s="90" t="s">
        <v>35</v>
      </c>
      <c r="T386" s="81">
        <v>0</v>
      </c>
      <c r="U386" s="81" t="s">
        <v>36</v>
      </c>
      <c r="V386" s="90" t="s">
        <v>35</v>
      </c>
      <c r="W386" s="81" t="s">
        <v>1154</v>
      </c>
      <c r="X386" s="90">
        <v>44708</v>
      </c>
      <c r="Y386" s="81" t="s">
        <v>38</v>
      </c>
      <c r="Z386" s="81">
        <v>0</v>
      </c>
      <c r="AA386" s="81"/>
      <c r="AB386" s="81">
        <v>0</v>
      </c>
      <c r="AC386" s="81"/>
      <c r="AD386" s="81">
        <v>0</v>
      </c>
      <c r="AE386" s="81" t="s">
        <v>153</v>
      </c>
      <c r="AF386" s="81" t="s">
        <v>39</v>
      </c>
      <c r="AG386" s="83">
        <v>670.54</v>
      </c>
      <c r="AH386" s="95">
        <v>22890.53</v>
      </c>
      <c r="AI386" s="82" t="str">
        <f>CONCATENATE((TEXT(Tabela1[[#This Row],[Data entrega]],"mmmm")),"_",(YEAR(Tabela1[[#This Row],[Data entrega]])))</f>
        <v>agosto_2022</v>
      </c>
      <c r="AJ386" s="77">
        <f>IFERROR(IF(Tabela1[[#This Row],[Programa]]="",Tabela1[[#This Row],[Peso bruto]],VLOOKUP(Tabela1[[#This Row],[Pedido]],'Saldo a Produzir'!$A:$D,4,0)),"")</f>
        <v>251.91</v>
      </c>
      <c r="AM386" s="73">
        <v>706.827</v>
      </c>
    </row>
    <row r="387" spans="1:39" ht="14.5" x14ac:dyDescent="0.35">
      <c r="A387" s="81">
        <v>15910</v>
      </c>
      <c r="B387" s="81" t="s">
        <v>261</v>
      </c>
      <c r="C387" s="81">
        <v>84046101057977</v>
      </c>
      <c r="D387" s="81" t="s">
        <v>231</v>
      </c>
      <c r="E387" s="81" t="s">
        <v>182</v>
      </c>
      <c r="F387" s="81" t="s">
        <v>51</v>
      </c>
      <c r="G387" s="81">
        <v>26169</v>
      </c>
      <c r="H387" s="81" t="s">
        <v>88</v>
      </c>
      <c r="I387" s="81" t="s">
        <v>32</v>
      </c>
      <c r="J387" s="81" t="s">
        <v>33</v>
      </c>
      <c r="K387" s="81" t="s">
        <v>34</v>
      </c>
      <c r="L387" s="81" t="s">
        <v>1061</v>
      </c>
      <c r="M387" s="81">
        <v>4102790866</v>
      </c>
      <c r="N387" s="90">
        <v>44700</v>
      </c>
      <c r="O387" s="90">
        <v>44799</v>
      </c>
      <c r="P387" s="90">
        <v>44705</v>
      </c>
      <c r="Q387" s="90" t="s">
        <v>35</v>
      </c>
      <c r="R387" s="81">
        <v>0</v>
      </c>
      <c r="S387" s="90" t="s">
        <v>35</v>
      </c>
      <c r="T387" s="81">
        <v>0</v>
      </c>
      <c r="U387" s="81" t="s">
        <v>36</v>
      </c>
      <c r="V387" s="90" t="s">
        <v>35</v>
      </c>
      <c r="W387" s="81" t="s">
        <v>1125</v>
      </c>
      <c r="X387" s="90">
        <v>44706</v>
      </c>
      <c r="Y387" s="81" t="s">
        <v>38</v>
      </c>
      <c r="Z387" s="81">
        <v>44</v>
      </c>
      <c r="AA387" s="81" t="s">
        <v>151</v>
      </c>
      <c r="AB387" s="81">
        <v>0</v>
      </c>
      <c r="AC387" s="81"/>
      <c r="AD387" s="81">
        <v>0</v>
      </c>
      <c r="AE387" s="81" t="s">
        <v>153</v>
      </c>
      <c r="AF387" s="81" t="s">
        <v>39</v>
      </c>
      <c r="AG387" s="83">
        <v>11.75</v>
      </c>
      <c r="AH387" s="95">
        <v>5387.24</v>
      </c>
      <c r="AI387" s="82" t="str">
        <f>CONCATENATE((TEXT(Tabela1[[#This Row],[Data entrega]],"mmmm")),"_",(YEAR(Tabela1[[#This Row],[Data entrega]])))</f>
        <v>agosto_2022</v>
      </c>
      <c r="AJ387" s="77">
        <f>IFERROR(IF(Tabela1[[#This Row],[Programa]]="",Tabela1[[#This Row],[Peso bruto]],VLOOKUP(Tabela1[[#This Row],[Pedido]],'Saldo a Produzir'!$A:$D,4,0)),"")</f>
        <v>2.2800000000000002</v>
      </c>
      <c r="AM387" s="73">
        <v>169.62700000000001</v>
      </c>
    </row>
    <row r="388" spans="1:39" ht="14.5" x14ac:dyDescent="0.35">
      <c r="A388" s="81">
        <v>15910</v>
      </c>
      <c r="B388" s="81" t="s">
        <v>261</v>
      </c>
      <c r="C388" s="81">
        <v>84046101057977</v>
      </c>
      <c r="D388" s="81" t="s">
        <v>231</v>
      </c>
      <c r="E388" s="81" t="s">
        <v>182</v>
      </c>
      <c r="F388" s="81" t="s">
        <v>51</v>
      </c>
      <c r="G388" s="81">
        <v>26170</v>
      </c>
      <c r="H388" s="81" t="s">
        <v>86</v>
      </c>
      <c r="I388" s="81" t="s">
        <v>32</v>
      </c>
      <c r="J388" s="81" t="s">
        <v>33</v>
      </c>
      <c r="K388" s="81" t="s">
        <v>34</v>
      </c>
      <c r="L388" s="81" t="s">
        <v>1061</v>
      </c>
      <c r="M388" s="81">
        <v>4102779382</v>
      </c>
      <c r="N388" s="90">
        <v>44700</v>
      </c>
      <c r="O388" s="90">
        <v>44799</v>
      </c>
      <c r="P388" s="90">
        <v>44705</v>
      </c>
      <c r="Q388" s="90" t="s">
        <v>35</v>
      </c>
      <c r="R388" s="81">
        <v>0</v>
      </c>
      <c r="S388" s="90" t="s">
        <v>35</v>
      </c>
      <c r="T388" s="81">
        <v>0</v>
      </c>
      <c r="U388" s="81" t="s">
        <v>36</v>
      </c>
      <c r="V388" s="90" t="s">
        <v>35</v>
      </c>
      <c r="W388" s="81" t="s">
        <v>1137</v>
      </c>
      <c r="X388" s="90">
        <v>44707</v>
      </c>
      <c r="Y388" s="81" t="s">
        <v>38</v>
      </c>
      <c r="Z388" s="81">
        <v>44</v>
      </c>
      <c r="AA388" s="81" t="s">
        <v>151</v>
      </c>
      <c r="AB388" s="81">
        <v>0</v>
      </c>
      <c r="AC388" s="81"/>
      <c r="AD388" s="81">
        <v>0</v>
      </c>
      <c r="AE388" s="81" t="s">
        <v>153</v>
      </c>
      <c r="AF388" s="81" t="s">
        <v>39</v>
      </c>
      <c r="AG388" s="83">
        <v>851.66000000000008</v>
      </c>
      <c r="AH388" s="95">
        <v>79520.91</v>
      </c>
      <c r="AI388" s="82" t="str">
        <f>CONCATENATE((TEXT(Tabela1[[#This Row],[Data entrega]],"mmmm")),"_",(YEAR(Tabela1[[#This Row],[Data entrega]])))</f>
        <v>agosto_2022</v>
      </c>
      <c r="AJ388" s="77">
        <f>IFERROR(IF(Tabela1[[#This Row],[Programa]]="",Tabela1[[#This Row],[Peso bruto]],VLOOKUP(Tabela1[[#This Row],[Pedido]],'Saldo a Produzir'!$A:$D,4,0)),"")</f>
        <v>851.66000000000008</v>
      </c>
      <c r="AM388" s="73">
        <v>1267.586</v>
      </c>
    </row>
    <row r="389" spans="1:39" ht="14.5" x14ac:dyDescent="0.35">
      <c r="A389" s="81">
        <v>15057</v>
      </c>
      <c r="B389" s="81" t="s">
        <v>60</v>
      </c>
      <c r="C389" s="81">
        <v>61064929003275</v>
      </c>
      <c r="D389" s="81" t="s">
        <v>393</v>
      </c>
      <c r="E389" s="81" t="s">
        <v>394</v>
      </c>
      <c r="F389" s="81" t="s">
        <v>132</v>
      </c>
      <c r="G389" s="81">
        <v>24948</v>
      </c>
      <c r="H389" s="81" t="s">
        <v>89</v>
      </c>
      <c r="I389" s="81" t="s">
        <v>32</v>
      </c>
      <c r="J389" s="81" t="s">
        <v>33</v>
      </c>
      <c r="K389" s="81" t="s">
        <v>34</v>
      </c>
      <c r="L389" s="81" t="s">
        <v>395</v>
      </c>
      <c r="M389" s="81">
        <v>4300336075</v>
      </c>
      <c r="N389" s="90">
        <v>44519</v>
      </c>
      <c r="O389" s="90">
        <v>44799</v>
      </c>
      <c r="P389" s="90">
        <v>44539</v>
      </c>
      <c r="Q389" s="90" t="s">
        <v>35</v>
      </c>
      <c r="R389" s="81">
        <v>0</v>
      </c>
      <c r="S389" s="90" t="s">
        <v>35</v>
      </c>
      <c r="T389" s="81">
        <v>0</v>
      </c>
      <c r="U389" s="81" t="s">
        <v>36</v>
      </c>
      <c r="V389" s="90" t="s">
        <v>35</v>
      </c>
      <c r="W389" s="81" t="s">
        <v>517</v>
      </c>
      <c r="X389" s="90">
        <v>44603</v>
      </c>
      <c r="Y389" s="81" t="s">
        <v>38</v>
      </c>
      <c r="Z389" s="81">
        <v>944</v>
      </c>
      <c r="AA389" s="81" t="s">
        <v>152</v>
      </c>
      <c r="AB389" s="81">
        <v>0</v>
      </c>
      <c r="AC389" s="81"/>
      <c r="AD389" s="81">
        <v>0</v>
      </c>
      <c r="AE389" s="81" t="s">
        <v>153</v>
      </c>
      <c r="AF389" s="81" t="s">
        <v>39</v>
      </c>
      <c r="AG389" s="83">
        <v>138.04</v>
      </c>
      <c r="AH389" s="95">
        <v>60000</v>
      </c>
      <c r="AI389" s="82" t="str">
        <f>CONCATENATE((TEXT(Tabela1[[#This Row],[Data entrega]],"mmmm")),"_",(YEAR(Tabela1[[#This Row],[Data entrega]])))</f>
        <v>agosto_2022</v>
      </c>
      <c r="AJ389" s="77">
        <f>IFERROR(IF(Tabela1[[#This Row],[Programa]]="",Tabela1[[#This Row],[Peso bruto]],VLOOKUP(Tabela1[[#This Row],[Pedido]],'Saldo a Produzir'!$A:$D,4,0)),"")</f>
        <v>138.04</v>
      </c>
      <c r="AM389" s="73">
        <v>742.53300000000002</v>
      </c>
    </row>
    <row r="390" spans="1:39" ht="14.5" x14ac:dyDescent="0.35">
      <c r="A390" s="81">
        <v>15051</v>
      </c>
      <c r="B390" s="81" t="s">
        <v>40</v>
      </c>
      <c r="C390" s="81">
        <v>1287588000500</v>
      </c>
      <c r="D390" s="81" t="s">
        <v>632</v>
      </c>
      <c r="E390" s="81" t="s">
        <v>633</v>
      </c>
      <c r="F390" s="81" t="s">
        <v>53</v>
      </c>
      <c r="G390" s="81">
        <v>26187</v>
      </c>
      <c r="H390" s="81" t="s">
        <v>88</v>
      </c>
      <c r="I390" s="81" t="s">
        <v>32</v>
      </c>
      <c r="J390" s="81" t="s">
        <v>33</v>
      </c>
      <c r="K390" s="81" t="s">
        <v>34</v>
      </c>
      <c r="L390" s="81" t="s">
        <v>1106</v>
      </c>
      <c r="M390" s="81">
        <v>10143385</v>
      </c>
      <c r="N390" s="90">
        <v>44704</v>
      </c>
      <c r="O390" s="90">
        <v>44799</v>
      </c>
      <c r="P390" s="90">
        <v>44704</v>
      </c>
      <c r="Q390" s="90" t="s">
        <v>35</v>
      </c>
      <c r="R390" s="81">
        <v>0</v>
      </c>
      <c r="S390" s="90" t="s">
        <v>35</v>
      </c>
      <c r="T390" s="81">
        <v>0</v>
      </c>
      <c r="U390" s="81" t="s">
        <v>36</v>
      </c>
      <c r="V390" s="90" t="s">
        <v>35</v>
      </c>
      <c r="W390" s="81" t="s">
        <v>1154</v>
      </c>
      <c r="X390" s="90">
        <v>44708</v>
      </c>
      <c r="Y390" s="81" t="s">
        <v>38</v>
      </c>
      <c r="Z390" s="81">
        <v>1223</v>
      </c>
      <c r="AA390" s="81" t="s">
        <v>1107</v>
      </c>
      <c r="AB390" s="81">
        <v>0</v>
      </c>
      <c r="AC390" s="81"/>
      <c r="AD390" s="81">
        <v>0</v>
      </c>
      <c r="AE390" s="81"/>
      <c r="AF390" s="81" t="s">
        <v>62</v>
      </c>
      <c r="AG390" s="83">
        <v>990.59</v>
      </c>
      <c r="AH390" s="95">
        <v>42542.1</v>
      </c>
      <c r="AI390" s="82" t="str">
        <f>CONCATENATE((TEXT(Tabela1[[#This Row],[Data entrega]],"mmmm")),"_",(YEAR(Tabela1[[#This Row],[Data entrega]])))</f>
        <v>agosto_2022</v>
      </c>
      <c r="AJ390" s="77">
        <f>IFERROR(IF(Tabela1[[#This Row],[Programa]]="",Tabela1[[#This Row],[Peso bruto]],VLOOKUP(Tabela1[[#This Row],[Pedido]],'Saldo a Produzir'!$A:$D,4,0)),"")</f>
        <v>274.44000000000005</v>
      </c>
      <c r="AM390" s="73">
        <v>2136.404</v>
      </c>
    </row>
    <row r="391" spans="1:39" ht="14.5" x14ac:dyDescent="0.35">
      <c r="A391" s="81">
        <v>15073</v>
      </c>
      <c r="B391" s="81" t="s">
        <v>172</v>
      </c>
      <c r="C391" s="81">
        <v>57506115000170</v>
      </c>
      <c r="D391" s="81" t="s">
        <v>1108</v>
      </c>
      <c r="E391" s="81" t="s">
        <v>312</v>
      </c>
      <c r="F391" s="81" t="s">
        <v>44</v>
      </c>
      <c r="G391" s="81">
        <v>26188</v>
      </c>
      <c r="H391" s="81" t="s">
        <v>87</v>
      </c>
      <c r="I391" s="81" t="s">
        <v>32</v>
      </c>
      <c r="J391" s="81" t="s">
        <v>33</v>
      </c>
      <c r="K391" s="81" t="s">
        <v>34</v>
      </c>
      <c r="L391" s="81" t="s">
        <v>1109</v>
      </c>
      <c r="M391" s="81">
        <v>52737</v>
      </c>
      <c r="N391" s="90">
        <v>44704</v>
      </c>
      <c r="O391" s="90">
        <v>44799</v>
      </c>
      <c r="P391" s="90">
        <v>44718</v>
      </c>
      <c r="Q391" s="90" t="s">
        <v>35</v>
      </c>
      <c r="R391" s="81">
        <v>0</v>
      </c>
      <c r="S391" s="90" t="s">
        <v>35</v>
      </c>
      <c r="T391" s="81">
        <v>0</v>
      </c>
      <c r="U391" s="81" t="s">
        <v>36</v>
      </c>
      <c r="V391" s="90" t="s">
        <v>35</v>
      </c>
      <c r="W391" s="81" t="s">
        <v>1433</v>
      </c>
      <c r="X391" s="90">
        <v>44719</v>
      </c>
      <c r="Y391" s="81" t="s">
        <v>38</v>
      </c>
      <c r="Z391" s="81">
        <v>0</v>
      </c>
      <c r="AA391" s="81"/>
      <c r="AB391" s="81">
        <v>0</v>
      </c>
      <c r="AC391" s="81"/>
      <c r="AD391" s="81">
        <v>0</v>
      </c>
      <c r="AE391" s="81" t="s">
        <v>153</v>
      </c>
      <c r="AF391" s="81" t="s">
        <v>39</v>
      </c>
      <c r="AG391" s="83">
        <v>651.41999999999996</v>
      </c>
      <c r="AH391" s="95">
        <v>26937.93</v>
      </c>
      <c r="AI391" s="82" t="str">
        <f>CONCATENATE((TEXT(Tabela1[[#This Row],[Data entrega]],"mmmm")),"_",(YEAR(Tabela1[[#This Row],[Data entrega]])))</f>
        <v>agosto_2022</v>
      </c>
      <c r="AJ391" s="77">
        <f>IFERROR(IF(Tabela1[[#This Row],[Programa]]="",Tabela1[[#This Row],[Peso bruto]],VLOOKUP(Tabela1[[#This Row],[Pedido]],'Saldo a Produzir'!$A:$D,4,0)),"")</f>
        <v>649.30999999999995</v>
      </c>
      <c r="AM391" s="73">
        <v>955.47</v>
      </c>
    </row>
    <row r="392" spans="1:39" ht="14.5" x14ac:dyDescent="0.35">
      <c r="A392" s="81">
        <v>15068</v>
      </c>
      <c r="B392" s="81" t="s">
        <v>135</v>
      </c>
      <c r="C392" s="81">
        <v>2377798000110</v>
      </c>
      <c r="D392" s="81" t="s">
        <v>509</v>
      </c>
      <c r="E392" s="81" t="s">
        <v>214</v>
      </c>
      <c r="F392" s="81" t="s">
        <v>136</v>
      </c>
      <c r="G392" s="81">
        <v>25483</v>
      </c>
      <c r="H392" s="81" t="s">
        <v>92</v>
      </c>
      <c r="I392" s="81" t="s">
        <v>32</v>
      </c>
      <c r="J392" s="81" t="s">
        <v>33</v>
      </c>
      <c r="K392" s="81" t="s">
        <v>34</v>
      </c>
      <c r="L392" s="81" t="s">
        <v>525</v>
      </c>
      <c r="M392" s="81"/>
      <c r="N392" s="90">
        <v>44610</v>
      </c>
      <c r="O392" s="90">
        <v>44799</v>
      </c>
      <c r="P392" s="90">
        <v>44614</v>
      </c>
      <c r="Q392" s="90" t="s">
        <v>35</v>
      </c>
      <c r="R392" s="81">
        <v>0</v>
      </c>
      <c r="S392" s="90" t="s">
        <v>35</v>
      </c>
      <c r="T392" s="81">
        <v>0</v>
      </c>
      <c r="U392" s="81" t="s">
        <v>36</v>
      </c>
      <c r="V392" s="90" t="s">
        <v>35</v>
      </c>
      <c r="W392" s="81" t="s">
        <v>546</v>
      </c>
      <c r="X392" s="90">
        <v>44621</v>
      </c>
      <c r="Y392" s="81" t="s">
        <v>38</v>
      </c>
      <c r="Z392" s="81">
        <v>0</v>
      </c>
      <c r="AA392" s="81"/>
      <c r="AB392" s="81">
        <v>0</v>
      </c>
      <c r="AC392" s="81"/>
      <c r="AD392" s="81">
        <v>0</v>
      </c>
      <c r="AE392" s="81" t="s">
        <v>153</v>
      </c>
      <c r="AF392" s="81" t="s">
        <v>39</v>
      </c>
      <c r="AG392" s="83">
        <v>2035.67</v>
      </c>
      <c r="AH392" s="95">
        <v>108053.19</v>
      </c>
      <c r="AI392" s="82" t="str">
        <f>CONCATENATE((TEXT(Tabela1[[#This Row],[Data entrega]],"mmmm")),"_",(YEAR(Tabela1[[#This Row],[Data entrega]])))</f>
        <v>agosto_2022</v>
      </c>
      <c r="AJ392" s="77">
        <f>IFERROR(IF(Tabela1[[#This Row],[Programa]]="",Tabela1[[#This Row],[Peso bruto]],VLOOKUP(Tabela1[[#This Row],[Pedido]],'Saldo a Produzir'!$A:$D,4,0)),"")</f>
        <v>2035.67</v>
      </c>
      <c r="AM392" s="73">
        <v>9184.3070000000007</v>
      </c>
    </row>
    <row r="393" spans="1:39" ht="14.5" x14ac:dyDescent="0.35">
      <c r="A393" s="81">
        <v>15068</v>
      </c>
      <c r="B393" s="81" t="s">
        <v>135</v>
      </c>
      <c r="C393" s="81">
        <v>2377798000110</v>
      </c>
      <c r="D393" s="81" t="s">
        <v>509</v>
      </c>
      <c r="E393" s="81" t="s">
        <v>214</v>
      </c>
      <c r="F393" s="81" t="s">
        <v>136</v>
      </c>
      <c r="G393" s="81">
        <v>25484</v>
      </c>
      <c r="H393" s="81" t="s">
        <v>116</v>
      </c>
      <c r="I393" s="81" t="s">
        <v>32</v>
      </c>
      <c r="J393" s="81" t="s">
        <v>33</v>
      </c>
      <c r="K393" s="81" t="s">
        <v>34</v>
      </c>
      <c r="L393" s="81" t="s">
        <v>525</v>
      </c>
      <c r="M393" s="81"/>
      <c r="N393" s="90">
        <v>44610</v>
      </c>
      <c r="O393" s="90">
        <v>44799</v>
      </c>
      <c r="P393" s="90">
        <v>44614</v>
      </c>
      <c r="Q393" s="90" t="s">
        <v>35</v>
      </c>
      <c r="R393" s="81">
        <v>0</v>
      </c>
      <c r="S393" s="90" t="s">
        <v>35</v>
      </c>
      <c r="T393" s="81">
        <v>0</v>
      </c>
      <c r="U393" s="81" t="s">
        <v>36</v>
      </c>
      <c r="V393" s="90" t="s">
        <v>35</v>
      </c>
      <c r="W393" s="81" t="s">
        <v>578</v>
      </c>
      <c r="X393" s="90">
        <v>44637</v>
      </c>
      <c r="Y393" s="81" t="s">
        <v>38</v>
      </c>
      <c r="Z393" s="81">
        <v>0</v>
      </c>
      <c r="AA393" s="81"/>
      <c r="AB393" s="81">
        <v>0</v>
      </c>
      <c r="AC393" s="81"/>
      <c r="AD393" s="81">
        <v>0</v>
      </c>
      <c r="AE393" s="81" t="s">
        <v>153</v>
      </c>
      <c r="AF393" s="81" t="s">
        <v>39</v>
      </c>
      <c r="AG393" s="83">
        <v>1874.0500000000002</v>
      </c>
      <c r="AH393" s="95">
        <v>91394.84</v>
      </c>
      <c r="AI393" s="82" t="str">
        <f>CONCATENATE((TEXT(Tabela1[[#This Row],[Data entrega]],"mmmm")),"_",(YEAR(Tabela1[[#This Row],[Data entrega]])))</f>
        <v>agosto_2022</v>
      </c>
      <c r="AJ393" s="77">
        <f>IFERROR(IF(Tabela1[[#This Row],[Programa]]="",Tabela1[[#This Row],[Peso bruto]],VLOOKUP(Tabela1[[#This Row],[Pedido]],'Saldo a Produzir'!$A:$D,4,0)),"")</f>
        <v>1818.1800000000003</v>
      </c>
      <c r="AM393" s="73">
        <v>7036.9430000000002</v>
      </c>
    </row>
    <row r="394" spans="1:39" ht="14.5" x14ac:dyDescent="0.35">
      <c r="A394" s="81">
        <v>15057</v>
      </c>
      <c r="B394" s="81" t="s">
        <v>60</v>
      </c>
      <c r="C394" s="81">
        <v>1605234000125</v>
      </c>
      <c r="D394" s="81" t="s">
        <v>1138</v>
      </c>
      <c r="E394" s="81" t="s">
        <v>1139</v>
      </c>
      <c r="F394" s="81" t="s">
        <v>64</v>
      </c>
      <c r="G394" s="81">
        <v>26236</v>
      </c>
      <c r="H394" s="81" t="s">
        <v>88</v>
      </c>
      <c r="I394" s="81" t="s">
        <v>32</v>
      </c>
      <c r="J394" s="81" t="s">
        <v>33</v>
      </c>
      <c r="K394" s="81" t="s">
        <v>34</v>
      </c>
      <c r="L394" s="81" t="s">
        <v>1140</v>
      </c>
      <c r="M394" s="81">
        <v>1466661</v>
      </c>
      <c r="N394" s="90">
        <v>44707</v>
      </c>
      <c r="O394" s="90">
        <v>44799</v>
      </c>
      <c r="P394" s="90">
        <v>44712</v>
      </c>
      <c r="Q394" s="90" t="s">
        <v>35</v>
      </c>
      <c r="R394" s="81">
        <v>0</v>
      </c>
      <c r="S394" s="90" t="s">
        <v>35</v>
      </c>
      <c r="T394" s="81">
        <v>0</v>
      </c>
      <c r="U394" s="81" t="s">
        <v>36</v>
      </c>
      <c r="V394" s="90" t="s">
        <v>35</v>
      </c>
      <c r="W394" s="81" t="s">
        <v>1422</v>
      </c>
      <c r="X394" s="90">
        <v>44715</v>
      </c>
      <c r="Y394" s="81" t="s">
        <v>38</v>
      </c>
      <c r="Z394" s="81">
        <v>0</v>
      </c>
      <c r="AA394" s="81"/>
      <c r="AB394" s="81">
        <v>0</v>
      </c>
      <c r="AC394" s="81"/>
      <c r="AD394" s="81">
        <v>0</v>
      </c>
      <c r="AE394" s="81" t="s">
        <v>153</v>
      </c>
      <c r="AF394" s="81" t="s">
        <v>39</v>
      </c>
      <c r="AG394" s="83">
        <v>1130.1500000000001</v>
      </c>
      <c r="AH394" s="95">
        <v>413000</v>
      </c>
      <c r="AI394" s="82" t="str">
        <f>CONCATENATE((TEXT(Tabela1[[#This Row],[Data entrega]],"mmmm")),"_",(YEAR(Tabela1[[#This Row],[Data entrega]])))</f>
        <v>agosto_2022</v>
      </c>
      <c r="AJ394" s="77">
        <f>IFERROR(IF(Tabela1[[#This Row],[Programa]]="",Tabela1[[#This Row],[Peso bruto]],VLOOKUP(Tabela1[[#This Row],[Pedido]],'Saldo a Produzir'!$A:$D,4,0)),"")</f>
        <v>1106.8400000000001</v>
      </c>
      <c r="AM394" s="73">
        <v>19028.383000000002</v>
      </c>
    </row>
    <row r="395" spans="1:39" ht="14.5" x14ac:dyDescent="0.35">
      <c r="A395" s="81">
        <v>15059</v>
      </c>
      <c r="B395" s="81" t="s">
        <v>63</v>
      </c>
      <c r="C395" s="81">
        <v>84229624000175</v>
      </c>
      <c r="D395" s="81" t="s">
        <v>382</v>
      </c>
      <c r="E395" s="81" t="s">
        <v>278</v>
      </c>
      <c r="F395" s="81" t="s">
        <v>64</v>
      </c>
      <c r="G395" s="81">
        <v>24951</v>
      </c>
      <c r="H395" s="81" t="s">
        <v>95</v>
      </c>
      <c r="I395" s="81" t="s">
        <v>32</v>
      </c>
      <c r="J395" s="81" t="s">
        <v>33</v>
      </c>
      <c r="K395" s="81" t="s">
        <v>34</v>
      </c>
      <c r="L395" s="81" t="s">
        <v>396</v>
      </c>
      <c r="M395" s="81">
        <v>4500011944</v>
      </c>
      <c r="N395" s="90">
        <v>44519</v>
      </c>
      <c r="O395" s="90">
        <v>44799</v>
      </c>
      <c r="P395" s="90">
        <v>44586</v>
      </c>
      <c r="Q395" s="90" t="s">
        <v>35</v>
      </c>
      <c r="R395" s="81">
        <v>0</v>
      </c>
      <c r="S395" s="90" t="s">
        <v>35</v>
      </c>
      <c r="T395" s="81">
        <v>0</v>
      </c>
      <c r="U395" s="81" t="s">
        <v>36</v>
      </c>
      <c r="V395" s="90" t="s">
        <v>35</v>
      </c>
      <c r="W395" s="81" t="s">
        <v>517</v>
      </c>
      <c r="X395" s="90">
        <v>44603</v>
      </c>
      <c r="Y395" s="81" t="s">
        <v>38</v>
      </c>
      <c r="Z395" s="81">
        <v>2257</v>
      </c>
      <c r="AA395" s="81" t="s">
        <v>155</v>
      </c>
      <c r="AB395" s="81">
        <v>0</v>
      </c>
      <c r="AC395" s="81"/>
      <c r="AD395" s="81">
        <v>0</v>
      </c>
      <c r="AE395" s="81" t="s">
        <v>153</v>
      </c>
      <c r="AF395" s="81" t="s">
        <v>39</v>
      </c>
      <c r="AG395" s="83">
        <v>0</v>
      </c>
      <c r="AH395" s="95">
        <v>104282.5</v>
      </c>
      <c r="AI395" s="82" t="str">
        <f>CONCATENATE((TEXT(Tabela1[[#This Row],[Data entrega]],"mmmm")),"_",(YEAR(Tabela1[[#This Row],[Data entrega]])))</f>
        <v>agosto_2022</v>
      </c>
      <c r="AJ395" s="77">
        <f>IFERROR(IF(Tabela1[[#This Row],[Programa]]="",Tabela1[[#This Row],[Peso bruto]],VLOOKUP(Tabela1[[#This Row],[Pedido]],'Saldo a Produzir'!$A:$D,4,0)),"")</f>
        <v>0</v>
      </c>
      <c r="AM395" s="73">
        <v>2692.0439999999999</v>
      </c>
    </row>
    <row r="396" spans="1:39" ht="14.5" x14ac:dyDescent="0.35">
      <c r="A396" s="81">
        <v>15057</v>
      </c>
      <c r="B396" s="81" t="s">
        <v>60</v>
      </c>
      <c r="C396" s="81">
        <v>95422218000906</v>
      </c>
      <c r="D396" s="81" t="s">
        <v>76</v>
      </c>
      <c r="E396" s="81" t="s">
        <v>510</v>
      </c>
      <c r="F396" s="81" t="s">
        <v>33</v>
      </c>
      <c r="G396" s="81">
        <v>25498</v>
      </c>
      <c r="H396" s="81" t="s">
        <v>90</v>
      </c>
      <c r="I396" s="81" t="s">
        <v>32</v>
      </c>
      <c r="J396" s="81" t="s">
        <v>33</v>
      </c>
      <c r="K396" s="81" t="s">
        <v>34</v>
      </c>
      <c r="L396" s="81" t="s">
        <v>526</v>
      </c>
      <c r="M396" s="81">
        <v>236450</v>
      </c>
      <c r="N396" s="90">
        <v>44614</v>
      </c>
      <c r="O396" s="90">
        <v>44799</v>
      </c>
      <c r="P396" s="90">
        <v>44615</v>
      </c>
      <c r="Q396" s="90" t="s">
        <v>35</v>
      </c>
      <c r="R396" s="81">
        <v>0</v>
      </c>
      <c r="S396" s="90" t="s">
        <v>35</v>
      </c>
      <c r="T396" s="81">
        <v>0</v>
      </c>
      <c r="U396" s="81" t="s">
        <v>36</v>
      </c>
      <c r="V396" s="90" t="s">
        <v>35</v>
      </c>
      <c r="W396" s="81" t="s">
        <v>547</v>
      </c>
      <c r="X396" s="90">
        <v>44621</v>
      </c>
      <c r="Y396" s="81" t="s">
        <v>38</v>
      </c>
      <c r="Z396" s="81">
        <v>2235</v>
      </c>
      <c r="AA396" s="81" t="s">
        <v>144</v>
      </c>
      <c r="AB396" s="81">
        <v>0</v>
      </c>
      <c r="AC396" s="81"/>
      <c r="AD396" s="81">
        <v>0</v>
      </c>
      <c r="AE396" s="81" t="s">
        <v>153</v>
      </c>
      <c r="AF396" s="81" t="s">
        <v>39</v>
      </c>
      <c r="AG396" s="83">
        <v>293.14</v>
      </c>
      <c r="AH396" s="95">
        <v>139387.5</v>
      </c>
      <c r="AI396" s="82" t="str">
        <f>CONCATENATE((TEXT(Tabela1[[#This Row],[Data entrega]],"mmmm")),"_",(YEAR(Tabela1[[#This Row],[Data entrega]])))</f>
        <v>agosto_2022</v>
      </c>
      <c r="AJ396" s="77">
        <f>IFERROR(IF(Tabela1[[#This Row],[Programa]]="",Tabela1[[#This Row],[Peso bruto]],VLOOKUP(Tabela1[[#This Row],[Pedido]],'Saldo a Produzir'!$A:$D,4,0)),"")</f>
        <v>175.28</v>
      </c>
      <c r="AM396" s="73">
        <v>6459.8410000000003</v>
      </c>
    </row>
    <row r="397" spans="1:39" ht="14.5" x14ac:dyDescent="0.35">
      <c r="A397" s="81">
        <v>15063</v>
      </c>
      <c r="B397" s="81" t="s">
        <v>71</v>
      </c>
      <c r="C397" s="81">
        <v>81611931003658</v>
      </c>
      <c r="D397" s="81" t="s">
        <v>1469</v>
      </c>
      <c r="E397" s="81" t="s">
        <v>141</v>
      </c>
      <c r="F397" s="81" t="s">
        <v>54</v>
      </c>
      <c r="G397" s="81">
        <v>26327</v>
      </c>
      <c r="H397" s="81" t="s">
        <v>92</v>
      </c>
      <c r="I397" s="81" t="s">
        <v>32</v>
      </c>
      <c r="J397" s="81" t="s">
        <v>33</v>
      </c>
      <c r="K397" s="81" t="s">
        <v>34</v>
      </c>
      <c r="L397" s="81" t="s">
        <v>1470</v>
      </c>
      <c r="M397" s="83"/>
      <c r="N397" s="90">
        <v>44720</v>
      </c>
      <c r="O397" s="90">
        <v>44799</v>
      </c>
      <c r="P397" s="90">
        <v>44720</v>
      </c>
      <c r="Q397" s="90" t="s">
        <v>35</v>
      </c>
      <c r="R397" s="81">
        <v>0</v>
      </c>
      <c r="S397" s="90" t="s">
        <v>35</v>
      </c>
      <c r="T397" s="81">
        <v>0</v>
      </c>
      <c r="U397" s="81" t="s">
        <v>36</v>
      </c>
      <c r="V397" s="90" t="s">
        <v>35</v>
      </c>
      <c r="W397" s="81"/>
      <c r="X397" s="90" t="s">
        <v>37</v>
      </c>
      <c r="Y397" s="81" t="s">
        <v>38</v>
      </c>
      <c r="Z397" s="81">
        <v>2257</v>
      </c>
      <c r="AA397" s="81" t="s">
        <v>155</v>
      </c>
      <c r="AB397" s="81">
        <v>0</v>
      </c>
      <c r="AC397" s="81"/>
      <c r="AD397" s="81">
        <v>0</v>
      </c>
      <c r="AE397" s="81" t="s">
        <v>153</v>
      </c>
      <c r="AF397" s="81" t="s">
        <v>39</v>
      </c>
      <c r="AG397" s="83">
        <v>1167</v>
      </c>
      <c r="AH397" s="95">
        <v>29570.799999999999</v>
      </c>
      <c r="AI397" s="82" t="str">
        <f>CONCATENATE((TEXT(Tabela1[[#This Row],[Data entrega]],"mmmm")),"_",(YEAR(Tabela1[[#This Row],[Data entrega]])))</f>
        <v>agosto_2022</v>
      </c>
      <c r="AJ397" s="77">
        <f>IFERROR(IF(Tabela1[[#This Row],[Programa]]="",Tabela1[[#This Row],[Peso bruto]],VLOOKUP(Tabela1[[#This Row],[Pedido]],'Saldo a Produzir'!$A:$D,4,0)),"")</f>
        <v>1167</v>
      </c>
      <c r="AM397" s="73">
        <v>1167</v>
      </c>
    </row>
    <row r="398" spans="1:39" ht="14.5" x14ac:dyDescent="0.35">
      <c r="A398" s="81">
        <v>15063</v>
      </c>
      <c r="B398" s="81" t="s">
        <v>71</v>
      </c>
      <c r="C398" s="81">
        <v>81611931003658</v>
      </c>
      <c r="D398" s="81" t="s">
        <v>1469</v>
      </c>
      <c r="E398" s="81" t="s">
        <v>141</v>
      </c>
      <c r="F398" s="81" t="s">
        <v>54</v>
      </c>
      <c r="G398" s="81">
        <v>26328</v>
      </c>
      <c r="H398" s="81" t="s">
        <v>125</v>
      </c>
      <c r="I398" s="81" t="s">
        <v>32</v>
      </c>
      <c r="J398" s="81" t="s">
        <v>33</v>
      </c>
      <c r="K398" s="81" t="s">
        <v>34</v>
      </c>
      <c r="L398" s="81" t="s">
        <v>1470</v>
      </c>
      <c r="M398" s="81"/>
      <c r="N398" s="90">
        <v>44720</v>
      </c>
      <c r="O398" s="90">
        <v>44799</v>
      </c>
      <c r="P398" s="90">
        <v>44720</v>
      </c>
      <c r="Q398" s="90" t="s">
        <v>35</v>
      </c>
      <c r="R398" s="81">
        <v>0</v>
      </c>
      <c r="S398" s="90" t="s">
        <v>35</v>
      </c>
      <c r="T398" s="81">
        <v>0</v>
      </c>
      <c r="U398" s="81" t="s">
        <v>36</v>
      </c>
      <c r="V398" s="90" t="s">
        <v>35</v>
      </c>
      <c r="W398" s="81"/>
      <c r="X398" s="90" t="s">
        <v>37</v>
      </c>
      <c r="Y398" s="81" t="s">
        <v>38</v>
      </c>
      <c r="Z398" s="81">
        <v>2203</v>
      </c>
      <c r="AA398" s="81" t="s">
        <v>147</v>
      </c>
      <c r="AB398" s="81">
        <v>0</v>
      </c>
      <c r="AC398" s="81"/>
      <c r="AD398" s="81">
        <v>0</v>
      </c>
      <c r="AE398" s="81"/>
      <c r="AF398" s="81" t="s">
        <v>39</v>
      </c>
      <c r="AG398" s="83">
        <v>0</v>
      </c>
      <c r="AH398" s="95">
        <v>8100</v>
      </c>
      <c r="AI398" s="82" t="str">
        <f>CONCATENATE((TEXT(Tabela1[[#This Row],[Data entrega]],"mmmm")),"_",(YEAR(Tabela1[[#This Row],[Data entrega]])))</f>
        <v>agosto_2022</v>
      </c>
      <c r="AJ398" s="77">
        <f>IFERROR(IF(Tabela1[[#This Row],[Programa]]="",Tabela1[[#This Row],[Peso bruto]],VLOOKUP(Tabela1[[#This Row],[Pedido]],'Saldo a Produzir'!$A:$D,4,0)),"")</f>
        <v>0</v>
      </c>
      <c r="AM398" s="73">
        <v>0</v>
      </c>
    </row>
    <row r="399" spans="1:39" ht="14.5" x14ac:dyDescent="0.35">
      <c r="A399" s="81">
        <v>15063</v>
      </c>
      <c r="B399" s="81" t="s">
        <v>71</v>
      </c>
      <c r="C399" s="81">
        <v>2431320000393</v>
      </c>
      <c r="D399" s="81" t="s">
        <v>718</v>
      </c>
      <c r="E399" s="81" t="s">
        <v>176</v>
      </c>
      <c r="F399" s="81" t="s">
        <v>54</v>
      </c>
      <c r="G399" s="81">
        <v>25826</v>
      </c>
      <c r="H399" s="81" t="s">
        <v>92</v>
      </c>
      <c r="I399" s="81" t="s">
        <v>32</v>
      </c>
      <c r="J399" s="81" t="s">
        <v>33</v>
      </c>
      <c r="K399" s="81" t="s">
        <v>34</v>
      </c>
      <c r="L399" s="81" t="s">
        <v>1471</v>
      </c>
      <c r="M399" s="81"/>
      <c r="N399" s="90">
        <v>44651</v>
      </c>
      <c r="O399" s="90">
        <v>44799</v>
      </c>
      <c r="P399" s="90">
        <v>44663</v>
      </c>
      <c r="Q399" s="90" t="s">
        <v>35</v>
      </c>
      <c r="R399" s="81">
        <v>0</v>
      </c>
      <c r="S399" s="90" t="s">
        <v>35</v>
      </c>
      <c r="T399" s="81">
        <v>0</v>
      </c>
      <c r="U399" s="81" t="s">
        <v>36</v>
      </c>
      <c r="V399" s="90" t="s">
        <v>35</v>
      </c>
      <c r="W399" s="81" t="s">
        <v>802</v>
      </c>
      <c r="X399" s="90">
        <v>44671</v>
      </c>
      <c r="Y399" s="81" t="s">
        <v>38</v>
      </c>
      <c r="Z399" s="81">
        <v>2051</v>
      </c>
      <c r="AA399" s="81" t="s">
        <v>719</v>
      </c>
      <c r="AB399" s="81">
        <v>0</v>
      </c>
      <c r="AC399" s="81"/>
      <c r="AD399" s="81">
        <v>0</v>
      </c>
      <c r="AE399" s="81" t="s">
        <v>153</v>
      </c>
      <c r="AF399" s="81" t="s">
        <v>39</v>
      </c>
      <c r="AG399" s="83">
        <v>0</v>
      </c>
      <c r="AH399" s="95">
        <v>1536282.74</v>
      </c>
      <c r="AI399" s="82" t="str">
        <f>CONCATENATE((TEXT(Tabela1[[#This Row],[Data entrega]],"mmmm")),"_",(YEAR(Tabela1[[#This Row],[Data entrega]])))</f>
        <v>agosto_2022</v>
      </c>
      <c r="AJ399" s="77">
        <f>IFERROR(IF(Tabela1[[#This Row],[Programa]]="",Tabela1[[#This Row],[Peso bruto]],VLOOKUP(Tabela1[[#This Row],[Pedido]],'Saldo a Produzir'!$A:$D,4,0)),"")</f>
        <v>75290.099999999991</v>
      </c>
      <c r="AM399" s="73">
        <v>82999</v>
      </c>
    </row>
    <row r="400" spans="1:39" ht="14.5" x14ac:dyDescent="0.35">
      <c r="A400" s="81">
        <v>15063</v>
      </c>
      <c r="B400" s="81" t="s">
        <v>71</v>
      </c>
      <c r="C400" s="81">
        <v>2431320000393</v>
      </c>
      <c r="D400" s="81" t="s">
        <v>718</v>
      </c>
      <c r="E400" s="81" t="s">
        <v>176</v>
      </c>
      <c r="F400" s="81" t="s">
        <v>54</v>
      </c>
      <c r="G400" s="81">
        <v>26347</v>
      </c>
      <c r="H400" s="81" t="s">
        <v>125</v>
      </c>
      <c r="I400" s="81" t="s">
        <v>32</v>
      </c>
      <c r="J400" s="81" t="s">
        <v>33</v>
      </c>
      <c r="K400" s="81" t="s">
        <v>34</v>
      </c>
      <c r="L400" s="81" t="s">
        <v>1471</v>
      </c>
      <c r="M400" s="81"/>
      <c r="N400" s="90">
        <v>44721</v>
      </c>
      <c r="O400" s="90">
        <v>44799</v>
      </c>
      <c r="P400" s="90">
        <v>44721</v>
      </c>
      <c r="Q400" s="90" t="s">
        <v>35</v>
      </c>
      <c r="R400" s="81">
        <v>0</v>
      </c>
      <c r="S400" s="90" t="s">
        <v>35</v>
      </c>
      <c r="T400" s="81">
        <v>0</v>
      </c>
      <c r="U400" s="81" t="s">
        <v>36</v>
      </c>
      <c r="V400" s="90" t="s">
        <v>35</v>
      </c>
      <c r="W400" s="81"/>
      <c r="X400" s="90" t="s">
        <v>37</v>
      </c>
      <c r="Y400" s="81" t="s">
        <v>38</v>
      </c>
      <c r="Z400" s="81">
        <v>2051</v>
      </c>
      <c r="AA400" s="81" t="s">
        <v>719</v>
      </c>
      <c r="AB400" s="81">
        <v>0</v>
      </c>
      <c r="AC400" s="81"/>
      <c r="AD400" s="81">
        <v>0</v>
      </c>
      <c r="AE400" s="81"/>
      <c r="AF400" s="81" t="s">
        <v>39</v>
      </c>
      <c r="AG400" s="83">
        <v>0</v>
      </c>
      <c r="AH400" s="95">
        <v>108247.42</v>
      </c>
      <c r="AI400" s="82" t="str">
        <f>CONCATENATE((TEXT(Tabela1[[#This Row],[Data entrega]],"mmmm")),"_",(YEAR(Tabela1[[#This Row],[Data entrega]])))</f>
        <v>agosto_2022</v>
      </c>
      <c r="AJ400" s="77">
        <f>IFERROR(IF(Tabela1[[#This Row],[Programa]]="",Tabela1[[#This Row],[Peso bruto]],VLOOKUP(Tabela1[[#This Row],[Pedido]],'Saldo a Produzir'!$A:$D,4,0)),"")</f>
        <v>0</v>
      </c>
      <c r="AM400" s="73">
        <v>0</v>
      </c>
    </row>
    <row r="401" spans="1:39" ht="14.5" x14ac:dyDescent="0.35">
      <c r="A401" s="81">
        <v>15054</v>
      </c>
      <c r="B401" s="81" t="s">
        <v>70</v>
      </c>
      <c r="C401" s="81">
        <v>947027000196</v>
      </c>
      <c r="D401" s="81" t="s">
        <v>1247</v>
      </c>
      <c r="E401" s="81" t="s">
        <v>1248</v>
      </c>
      <c r="F401" s="81" t="s">
        <v>132</v>
      </c>
      <c r="G401" s="81">
        <v>26301</v>
      </c>
      <c r="H401" s="81" t="s">
        <v>87</v>
      </c>
      <c r="I401" s="81" t="s">
        <v>32</v>
      </c>
      <c r="J401" s="81" t="s">
        <v>33</v>
      </c>
      <c r="K401" s="81" t="s">
        <v>34</v>
      </c>
      <c r="L401" s="81" t="s">
        <v>1249</v>
      </c>
      <c r="M401" s="81"/>
      <c r="N401" s="90">
        <v>44712</v>
      </c>
      <c r="O401" s="90">
        <v>44799</v>
      </c>
      <c r="P401" s="90">
        <v>44715</v>
      </c>
      <c r="Q401" s="90" t="s">
        <v>35</v>
      </c>
      <c r="R401" s="81">
        <v>0</v>
      </c>
      <c r="S401" s="90" t="s">
        <v>35</v>
      </c>
      <c r="T401" s="81">
        <v>0</v>
      </c>
      <c r="U401" s="81" t="s">
        <v>36</v>
      </c>
      <c r="V401" s="90" t="s">
        <v>35</v>
      </c>
      <c r="W401" s="81"/>
      <c r="X401" s="90" t="s">
        <v>37</v>
      </c>
      <c r="Y401" s="81" t="s">
        <v>38</v>
      </c>
      <c r="Z401" s="81">
        <v>2257</v>
      </c>
      <c r="AA401" s="81" t="s">
        <v>155</v>
      </c>
      <c r="AB401" s="81">
        <v>0</v>
      </c>
      <c r="AC401" s="81"/>
      <c r="AD401" s="81">
        <v>0</v>
      </c>
      <c r="AE401" s="81" t="s">
        <v>153</v>
      </c>
      <c r="AF401" s="81" t="s">
        <v>39</v>
      </c>
      <c r="AG401" s="83">
        <v>76889</v>
      </c>
      <c r="AH401" s="95">
        <v>1532586.21</v>
      </c>
      <c r="AI401" s="82" t="str">
        <f>CONCATENATE((TEXT(Tabela1[[#This Row],[Data entrega]],"mmmm")),"_",(YEAR(Tabela1[[#This Row],[Data entrega]])))</f>
        <v>agosto_2022</v>
      </c>
      <c r="AJ401" s="77">
        <f>IFERROR(IF(Tabela1[[#This Row],[Programa]]="",Tabela1[[#This Row],[Peso bruto]],VLOOKUP(Tabela1[[#This Row],[Pedido]],'Saldo a Produzir'!$A:$D,4,0)),"")</f>
        <v>76889</v>
      </c>
      <c r="AM401" s="73">
        <v>76889</v>
      </c>
    </row>
    <row r="402" spans="1:39" ht="14.5" x14ac:dyDescent="0.35">
      <c r="A402" s="81">
        <v>15052</v>
      </c>
      <c r="B402" s="81" t="s">
        <v>43</v>
      </c>
      <c r="C402" s="81">
        <v>1511345000172</v>
      </c>
      <c r="D402" s="81" t="s">
        <v>559</v>
      </c>
      <c r="E402" s="81" t="s">
        <v>560</v>
      </c>
      <c r="F402" s="81" t="s">
        <v>44</v>
      </c>
      <c r="G402" s="81">
        <v>25574</v>
      </c>
      <c r="H402" s="81" t="s">
        <v>86</v>
      </c>
      <c r="I402" s="81" t="s">
        <v>32</v>
      </c>
      <c r="J402" s="81" t="s">
        <v>33</v>
      </c>
      <c r="K402" s="81" t="s">
        <v>34</v>
      </c>
      <c r="L402" s="81" t="s">
        <v>561</v>
      </c>
      <c r="M402" s="81">
        <v>11804</v>
      </c>
      <c r="N402" s="90">
        <v>44624</v>
      </c>
      <c r="O402" s="90">
        <v>44799</v>
      </c>
      <c r="P402" s="90">
        <v>44697</v>
      </c>
      <c r="Q402" s="90" t="s">
        <v>35</v>
      </c>
      <c r="R402" s="81">
        <v>0</v>
      </c>
      <c r="S402" s="90" t="s">
        <v>35</v>
      </c>
      <c r="T402" s="81">
        <v>0</v>
      </c>
      <c r="U402" s="81" t="s">
        <v>36</v>
      </c>
      <c r="V402" s="90" t="s">
        <v>35</v>
      </c>
      <c r="W402" s="81" t="s">
        <v>608</v>
      </c>
      <c r="X402" s="90">
        <v>44642</v>
      </c>
      <c r="Y402" s="81" t="s">
        <v>38</v>
      </c>
      <c r="Z402" s="81">
        <v>0</v>
      </c>
      <c r="AA402" s="81"/>
      <c r="AB402" s="81">
        <v>0</v>
      </c>
      <c r="AC402" s="81"/>
      <c r="AD402" s="81">
        <v>0</v>
      </c>
      <c r="AE402" s="81" t="s">
        <v>153</v>
      </c>
      <c r="AF402" s="81" t="s">
        <v>39</v>
      </c>
      <c r="AG402" s="83">
        <v>260.90000000000003</v>
      </c>
      <c r="AH402" s="95">
        <v>70159.199999999997</v>
      </c>
      <c r="AI402" s="82" t="str">
        <f>CONCATENATE((TEXT(Tabela1[[#This Row],[Data entrega]],"mmmm")),"_",(YEAR(Tabela1[[#This Row],[Data entrega]])))</f>
        <v>agosto_2022</v>
      </c>
      <c r="AJ402" s="77">
        <f>IFERROR(IF(Tabela1[[#This Row],[Programa]]="",Tabela1[[#This Row],[Peso bruto]],VLOOKUP(Tabela1[[#This Row],[Pedido]],'Saldo a Produzir'!$A:$D,4,0)),"")</f>
        <v>193.88</v>
      </c>
      <c r="AM402" s="73">
        <v>1545.6559999999999</v>
      </c>
    </row>
    <row r="403" spans="1:39" ht="14.5" x14ac:dyDescent="0.35">
      <c r="A403" s="81">
        <v>15063</v>
      </c>
      <c r="B403" s="81" t="s">
        <v>71</v>
      </c>
      <c r="C403" s="81">
        <v>17469701010482</v>
      </c>
      <c r="D403" s="81" t="s">
        <v>1161</v>
      </c>
      <c r="E403" s="81" t="s">
        <v>68</v>
      </c>
      <c r="F403" s="81" t="s">
        <v>54</v>
      </c>
      <c r="G403" s="81">
        <v>26241</v>
      </c>
      <c r="H403" s="81" t="s">
        <v>92</v>
      </c>
      <c r="I403" s="81" t="s">
        <v>32</v>
      </c>
      <c r="J403" s="81" t="s">
        <v>33</v>
      </c>
      <c r="K403" s="81" t="s">
        <v>34</v>
      </c>
      <c r="L403" s="81" t="s">
        <v>1208</v>
      </c>
      <c r="M403" s="81">
        <v>4400544548</v>
      </c>
      <c r="N403" s="90">
        <v>44708</v>
      </c>
      <c r="O403" s="90">
        <v>44806</v>
      </c>
      <c r="P403" s="90">
        <v>44713</v>
      </c>
      <c r="Q403" s="90" t="s">
        <v>35</v>
      </c>
      <c r="R403" s="81">
        <v>0</v>
      </c>
      <c r="S403" s="90" t="s">
        <v>35</v>
      </c>
      <c r="T403" s="81">
        <v>0</v>
      </c>
      <c r="U403" s="81" t="s">
        <v>36</v>
      </c>
      <c r="V403" s="90" t="s">
        <v>35</v>
      </c>
      <c r="W403" s="81"/>
      <c r="X403" s="90" t="s">
        <v>37</v>
      </c>
      <c r="Y403" s="81" t="s">
        <v>38</v>
      </c>
      <c r="Z403" s="81">
        <v>13</v>
      </c>
      <c r="AA403" s="81" t="s">
        <v>149</v>
      </c>
      <c r="AB403" s="81">
        <v>0</v>
      </c>
      <c r="AC403" s="81"/>
      <c r="AD403" s="81">
        <v>0</v>
      </c>
      <c r="AE403" s="81" t="s">
        <v>153</v>
      </c>
      <c r="AF403" s="81" t="s">
        <v>39</v>
      </c>
      <c r="AG403" s="83">
        <v>1069</v>
      </c>
      <c r="AH403" s="95">
        <v>29570.799999999999</v>
      </c>
      <c r="AI403" s="82" t="str">
        <f>CONCATENATE((TEXT(Tabela1[[#This Row],[Data entrega]],"mmmm")),"_",(YEAR(Tabela1[[#This Row],[Data entrega]])))</f>
        <v>setembro_2022</v>
      </c>
      <c r="AJ403" s="77">
        <f>IFERROR(IF(Tabela1[[#This Row],[Programa]]="",Tabela1[[#This Row],[Peso bruto]],VLOOKUP(Tabela1[[#This Row],[Pedido]],'Saldo a Produzir'!$A:$D,4,0)),"")</f>
        <v>1069</v>
      </c>
      <c r="AM403" s="73">
        <v>1069</v>
      </c>
    </row>
    <row r="404" spans="1:39" ht="14.5" x14ac:dyDescent="0.35">
      <c r="A404" s="81">
        <v>15079</v>
      </c>
      <c r="B404" s="81" t="s">
        <v>552</v>
      </c>
      <c r="C404" s="81">
        <v>26657341000128</v>
      </c>
      <c r="D404" s="81" t="s">
        <v>1155</v>
      </c>
      <c r="E404" s="81" t="s">
        <v>1156</v>
      </c>
      <c r="F404" s="81" t="s">
        <v>56</v>
      </c>
      <c r="G404" s="81">
        <v>26239</v>
      </c>
      <c r="H404" s="81" t="s">
        <v>87</v>
      </c>
      <c r="I404" s="81" t="s">
        <v>32</v>
      </c>
      <c r="J404" s="81" t="s">
        <v>33</v>
      </c>
      <c r="K404" s="81" t="s">
        <v>34</v>
      </c>
      <c r="L404" s="81" t="s">
        <v>1209</v>
      </c>
      <c r="M404" s="81"/>
      <c r="N404" s="90">
        <v>44708</v>
      </c>
      <c r="O404" s="90">
        <v>44806</v>
      </c>
      <c r="P404" s="90">
        <v>44714</v>
      </c>
      <c r="Q404" s="90" t="s">
        <v>35</v>
      </c>
      <c r="R404" s="81">
        <v>0</v>
      </c>
      <c r="S404" s="90" t="s">
        <v>35</v>
      </c>
      <c r="T404" s="81">
        <v>0</v>
      </c>
      <c r="U404" s="81" t="s">
        <v>36</v>
      </c>
      <c r="V404" s="90" t="s">
        <v>35</v>
      </c>
      <c r="W404" s="81"/>
      <c r="X404" s="90" t="s">
        <v>37</v>
      </c>
      <c r="Y404" s="81" t="s">
        <v>38</v>
      </c>
      <c r="Z404" s="81">
        <v>2257</v>
      </c>
      <c r="AA404" s="81" t="s">
        <v>155</v>
      </c>
      <c r="AB404" s="81">
        <v>0</v>
      </c>
      <c r="AC404" s="81"/>
      <c r="AD404" s="81">
        <v>0</v>
      </c>
      <c r="AE404" s="81" t="s">
        <v>153</v>
      </c>
      <c r="AF404" s="81" t="s">
        <v>39</v>
      </c>
      <c r="AG404" s="83">
        <v>1699</v>
      </c>
      <c r="AH404" s="95">
        <v>51625</v>
      </c>
      <c r="AI404" s="82" t="str">
        <f>CONCATENATE((TEXT(Tabela1[[#This Row],[Data entrega]],"mmmm")),"_",(YEAR(Tabela1[[#This Row],[Data entrega]])))</f>
        <v>setembro_2022</v>
      </c>
      <c r="AJ404" s="77">
        <f>IFERROR(IF(Tabela1[[#This Row],[Programa]]="",Tabela1[[#This Row],[Peso bruto]],VLOOKUP(Tabela1[[#This Row],[Pedido]],'Saldo a Produzir'!$A:$D,4,0)),"")</f>
        <v>1699</v>
      </c>
      <c r="AM404" s="73">
        <v>1699</v>
      </c>
    </row>
    <row r="405" spans="1:39" ht="14.5" x14ac:dyDescent="0.35">
      <c r="A405" s="81">
        <v>15067</v>
      </c>
      <c r="B405" s="81" t="s">
        <v>59</v>
      </c>
      <c r="C405" s="81">
        <v>13062579000169</v>
      </c>
      <c r="D405" s="81" t="s">
        <v>660</v>
      </c>
      <c r="E405" s="81" t="s">
        <v>548</v>
      </c>
      <c r="F405" s="81" t="s">
        <v>58</v>
      </c>
      <c r="G405" s="81">
        <v>25591</v>
      </c>
      <c r="H405" s="81" t="s">
        <v>91</v>
      </c>
      <c r="I405" s="81" t="s">
        <v>32</v>
      </c>
      <c r="J405" s="81" t="s">
        <v>33</v>
      </c>
      <c r="K405" s="81" t="s">
        <v>34</v>
      </c>
      <c r="L405" s="81" t="s">
        <v>661</v>
      </c>
      <c r="M405" s="81">
        <v>4503537785</v>
      </c>
      <c r="N405" s="90">
        <v>44628</v>
      </c>
      <c r="O405" s="90">
        <v>44806</v>
      </c>
      <c r="P405" s="90">
        <v>44686</v>
      </c>
      <c r="Q405" s="90" t="s">
        <v>35</v>
      </c>
      <c r="R405" s="81">
        <v>0</v>
      </c>
      <c r="S405" s="90" t="s">
        <v>35</v>
      </c>
      <c r="T405" s="81">
        <v>0</v>
      </c>
      <c r="U405" s="81" t="s">
        <v>36</v>
      </c>
      <c r="V405" s="90" t="s">
        <v>35</v>
      </c>
      <c r="W405" s="81" t="s">
        <v>608</v>
      </c>
      <c r="X405" s="90">
        <v>44642</v>
      </c>
      <c r="Y405" s="81" t="s">
        <v>38</v>
      </c>
      <c r="Z405" s="81">
        <v>0</v>
      </c>
      <c r="AA405" s="81"/>
      <c r="AB405" s="81">
        <v>0</v>
      </c>
      <c r="AC405" s="81"/>
      <c r="AD405" s="81">
        <v>0</v>
      </c>
      <c r="AE405" s="81" t="s">
        <v>153</v>
      </c>
      <c r="AF405" s="81" t="s">
        <v>39</v>
      </c>
      <c r="AG405" s="83">
        <v>2991.4900000000002</v>
      </c>
      <c r="AH405" s="95">
        <v>448970.8</v>
      </c>
      <c r="AI405" s="82" t="str">
        <f>CONCATENATE((TEXT(Tabela1[[#This Row],[Data entrega]],"mmmm")),"_",(YEAR(Tabela1[[#This Row],[Data entrega]])))</f>
        <v>setembro_2022</v>
      </c>
      <c r="AJ405" s="77">
        <f>IFERROR(IF(Tabela1[[#This Row],[Programa]]="",Tabela1[[#This Row],[Peso bruto]],VLOOKUP(Tabela1[[#This Row],[Pedido]],'Saldo a Produzir'!$A:$D,4,0)),"")</f>
        <v>1310.7499999999998</v>
      </c>
      <c r="AM405" s="73">
        <v>20347.057000000001</v>
      </c>
    </row>
    <row r="406" spans="1:39" ht="14.5" x14ac:dyDescent="0.35">
      <c r="A406" s="81">
        <v>15057</v>
      </c>
      <c r="B406" s="81" t="s">
        <v>60</v>
      </c>
      <c r="C406" s="81">
        <v>83310441006662</v>
      </c>
      <c r="D406" s="81" t="s">
        <v>158</v>
      </c>
      <c r="E406" s="81" t="s">
        <v>1077</v>
      </c>
      <c r="F406" s="81" t="s">
        <v>64</v>
      </c>
      <c r="G406" s="81">
        <v>26179</v>
      </c>
      <c r="H406" s="81" t="s">
        <v>90</v>
      </c>
      <c r="I406" s="81" t="s">
        <v>32</v>
      </c>
      <c r="J406" s="81" t="s">
        <v>33</v>
      </c>
      <c r="K406" s="81" t="s">
        <v>34</v>
      </c>
      <c r="L406" s="81" t="s">
        <v>1078</v>
      </c>
      <c r="M406" s="81">
        <v>3212349</v>
      </c>
      <c r="N406" s="90">
        <v>44701</v>
      </c>
      <c r="O406" s="90">
        <v>44806</v>
      </c>
      <c r="P406" s="90">
        <v>44701</v>
      </c>
      <c r="Q406" s="90" t="s">
        <v>35</v>
      </c>
      <c r="R406" s="81">
        <v>0</v>
      </c>
      <c r="S406" s="90" t="s">
        <v>35</v>
      </c>
      <c r="T406" s="81">
        <v>0</v>
      </c>
      <c r="U406" s="81" t="s">
        <v>36</v>
      </c>
      <c r="V406" s="90" t="s">
        <v>35</v>
      </c>
      <c r="W406" s="81"/>
      <c r="X406" s="90" t="s">
        <v>37</v>
      </c>
      <c r="Y406" s="81" t="s">
        <v>38</v>
      </c>
      <c r="Z406" s="81">
        <v>44</v>
      </c>
      <c r="AA406" s="81" t="s">
        <v>151</v>
      </c>
      <c r="AB406" s="81">
        <v>0</v>
      </c>
      <c r="AC406" s="81"/>
      <c r="AD406" s="81">
        <v>0</v>
      </c>
      <c r="AE406" s="81" t="s">
        <v>153</v>
      </c>
      <c r="AF406" s="81" t="s">
        <v>39</v>
      </c>
      <c r="AG406" s="83">
        <v>332.2</v>
      </c>
      <c r="AH406" s="95">
        <v>8715.34</v>
      </c>
      <c r="AI406" s="82" t="str">
        <f>CONCATENATE((TEXT(Tabela1[[#This Row],[Data entrega]],"mmmm")),"_",(YEAR(Tabela1[[#This Row],[Data entrega]])))</f>
        <v>setembro_2022</v>
      </c>
      <c r="AJ406" s="77">
        <f>IFERROR(IF(Tabela1[[#This Row],[Programa]]="",Tabela1[[#This Row],[Peso bruto]],VLOOKUP(Tabela1[[#This Row],[Pedido]],'Saldo a Produzir'!$A:$D,4,0)),"")</f>
        <v>332.2</v>
      </c>
      <c r="AM406" s="73">
        <v>332.2</v>
      </c>
    </row>
    <row r="407" spans="1:39" ht="14.5" x14ac:dyDescent="0.35">
      <c r="A407" s="81">
        <v>15075</v>
      </c>
      <c r="B407" s="81" t="s">
        <v>166</v>
      </c>
      <c r="C407" s="81">
        <v>2675611000750</v>
      </c>
      <c r="D407" s="81" t="s">
        <v>1182</v>
      </c>
      <c r="E407" s="81" t="s">
        <v>1183</v>
      </c>
      <c r="F407" s="81" t="s">
        <v>142</v>
      </c>
      <c r="G407" s="81">
        <v>26254</v>
      </c>
      <c r="H407" s="81" t="s">
        <v>92</v>
      </c>
      <c r="I407" s="81" t="s">
        <v>32</v>
      </c>
      <c r="J407" s="81" t="s">
        <v>33</v>
      </c>
      <c r="K407" s="81" t="s">
        <v>34</v>
      </c>
      <c r="L407" s="81" t="s">
        <v>1184</v>
      </c>
      <c r="M407" s="83">
        <v>182678</v>
      </c>
      <c r="N407" s="90">
        <v>44711</v>
      </c>
      <c r="O407" s="90">
        <v>44806</v>
      </c>
      <c r="P407" s="90">
        <v>44718</v>
      </c>
      <c r="Q407" s="90" t="s">
        <v>35</v>
      </c>
      <c r="R407" s="81">
        <v>0</v>
      </c>
      <c r="S407" s="90" t="s">
        <v>35</v>
      </c>
      <c r="T407" s="81">
        <v>0</v>
      </c>
      <c r="U407" s="81" t="s">
        <v>36</v>
      </c>
      <c r="V407" s="90" t="s">
        <v>35</v>
      </c>
      <c r="W407" s="81"/>
      <c r="X407" s="90" t="s">
        <v>37</v>
      </c>
      <c r="Y407" s="81" t="s">
        <v>38</v>
      </c>
      <c r="Z407" s="81">
        <v>0</v>
      </c>
      <c r="AA407" s="81"/>
      <c r="AB407" s="81">
        <v>0</v>
      </c>
      <c r="AC407" s="81"/>
      <c r="AD407" s="81">
        <v>0</v>
      </c>
      <c r="AE407" s="81" t="s">
        <v>153</v>
      </c>
      <c r="AF407" s="81" t="s">
        <v>39</v>
      </c>
      <c r="AG407" s="83">
        <v>1628</v>
      </c>
      <c r="AH407" s="95">
        <v>134116.59</v>
      </c>
      <c r="AI407" s="82" t="str">
        <f>CONCATENATE((TEXT(Tabela1[[#This Row],[Data entrega]],"mmmm")),"_",(YEAR(Tabela1[[#This Row],[Data entrega]])))</f>
        <v>setembro_2022</v>
      </c>
      <c r="AJ407" s="77">
        <f>IFERROR(IF(Tabela1[[#This Row],[Programa]]="",Tabela1[[#This Row],[Peso bruto]],VLOOKUP(Tabela1[[#This Row],[Pedido]],'Saldo a Produzir'!$A:$D,4,0)),"")</f>
        <v>1628</v>
      </c>
      <c r="AM407" s="73">
        <v>1628</v>
      </c>
    </row>
    <row r="408" spans="1:39" ht="14.5" x14ac:dyDescent="0.35">
      <c r="A408" s="81">
        <v>15074</v>
      </c>
      <c r="B408" s="81" t="s">
        <v>161</v>
      </c>
      <c r="C408" s="81">
        <v>58635830000175</v>
      </c>
      <c r="D408" s="81" t="s">
        <v>431</v>
      </c>
      <c r="E408" s="81" t="s">
        <v>128</v>
      </c>
      <c r="F408" s="81" t="s">
        <v>44</v>
      </c>
      <c r="G408" s="81">
        <v>25501</v>
      </c>
      <c r="H408" s="81" t="s">
        <v>87</v>
      </c>
      <c r="I408" s="81" t="s">
        <v>32</v>
      </c>
      <c r="J408" s="81" t="s">
        <v>33</v>
      </c>
      <c r="K408" s="81" t="s">
        <v>34</v>
      </c>
      <c r="L408" s="81" t="s">
        <v>527</v>
      </c>
      <c r="M408" s="81">
        <v>11327</v>
      </c>
      <c r="N408" s="90">
        <v>44614</v>
      </c>
      <c r="O408" s="90">
        <v>44806</v>
      </c>
      <c r="P408" s="90">
        <v>44614</v>
      </c>
      <c r="Q408" s="90" t="s">
        <v>35</v>
      </c>
      <c r="R408" s="81">
        <v>0</v>
      </c>
      <c r="S408" s="90" t="s">
        <v>35</v>
      </c>
      <c r="T408" s="81">
        <v>0</v>
      </c>
      <c r="U408" s="81" t="s">
        <v>36</v>
      </c>
      <c r="V408" s="90" t="s">
        <v>35</v>
      </c>
      <c r="W408" s="81" t="s">
        <v>547</v>
      </c>
      <c r="X408" s="90">
        <v>44621</v>
      </c>
      <c r="Y408" s="81" t="s">
        <v>38</v>
      </c>
      <c r="Z408" s="81">
        <v>0</v>
      </c>
      <c r="AA408" s="81"/>
      <c r="AB408" s="81">
        <v>0</v>
      </c>
      <c r="AC408" s="81"/>
      <c r="AD408" s="81">
        <v>0</v>
      </c>
      <c r="AE408" s="81" t="s">
        <v>153</v>
      </c>
      <c r="AF408" s="81" t="s">
        <v>39</v>
      </c>
      <c r="AG408" s="83">
        <v>1226.9000000000001</v>
      </c>
      <c r="AH408" s="95">
        <v>46512.68</v>
      </c>
      <c r="AI408" s="82" t="str">
        <f>CONCATENATE((TEXT(Tabela1[[#This Row],[Data entrega]],"mmmm")),"_",(YEAR(Tabela1[[#This Row],[Data entrega]])))</f>
        <v>setembro_2022</v>
      </c>
      <c r="AJ408" s="77">
        <f>IFERROR(IF(Tabela1[[#This Row],[Programa]]="",Tabela1[[#This Row],[Peso bruto]],VLOOKUP(Tabela1[[#This Row],[Pedido]],'Saldo a Produzir'!$A:$D,4,0)),"")</f>
        <v>1226.9000000000001</v>
      </c>
      <c r="AM408" s="73">
        <v>2222.5250000000001</v>
      </c>
    </row>
    <row r="409" spans="1:39" ht="14.5" x14ac:dyDescent="0.35">
      <c r="A409" s="81">
        <v>15074</v>
      </c>
      <c r="B409" s="81" t="s">
        <v>161</v>
      </c>
      <c r="C409" s="81">
        <v>58635830000175</v>
      </c>
      <c r="D409" s="81" t="s">
        <v>431</v>
      </c>
      <c r="E409" s="81" t="s">
        <v>128</v>
      </c>
      <c r="F409" s="81" t="s">
        <v>44</v>
      </c>
      <c r="G409" s="81">
        <v>25502</v>
      </c>
      <c r="H409" s="81" t="s">
        <v>131</v>
      </c>
      <c r="I409" s="81" t="s">
        <v>32</v>
      </c>
      <c r="J409" s="81" t="s">
        <v>33</v>
      </c>
      <c r="K409" s="81" t="s">
        <v>34</v>
      </c>
      <c r="L409" s="81" t="s">
        <v>527</v>
      </c>
      <c r="M409" s="81">
        <v>11327</v>
      </c>
      <c r="N409" s="90">
        <v>44614</v>
      </c>
      <c r="O409" s="90">
        <v>44806</v>
      </c>
      <c r="P409" s="90">
        <v>44614</v>
      </c>
      <c r="Q409" s="90" t="s">
        <v>35</v>
      </c>
      <c r="R409" s="81">
        <v>0</v>
      </c>
      <c r="S409" s="90" t="s">
        <v>35</v>
      </c>
      <c r="T409" s="81">
        <v>0</v>
      </c>
      <c r="U409" s="81" t="s">
        <v>36</v>
      </c>
      <c r="V409" s="90" t="s">
        <v>35</v>
      </c>
      <c r="W409" s="81" t="s">
        <v>608</v>
      </c>
      <c r="X409" s="90">
        <v>44642</v>
      </c>
      <c r="Y409" s="81" t="s">
        <v>38</v>
      </c>
      <c r="Z409" s="81">
        <v>0</v>
      </c>
      <c r="AA409" s="81"/>
      <c r="AB409" s="81">
        <v>0</v>
      </c>
      <c r="AC409" s="81"/>
      <c r="AD409" s="81">
        <v>0</v>
      </c>
      <c r="AE409" s="81" t="s">
        <v>153</v>
      </c>
      <c r="AF409" s="81" t="s">
        <v>39</v>
      </c>
      <c r="AG409" s="83">
        <v>11890.75</v>
      </c>
      <c r="AH409" s="95">
        <v>684413.97</v>
      </c>
      <c r="AI409" s="82" t="str">
        <f>CONCATENATE((TEXT(Tabela1[[#This Row],[Data entrega]],"mmmm")),"_",(YEAR(Tabela1[[#This Row],[Data entrega]])))</f>
        <v>setembro_2022</v>
      </c>
      <c r="AJ409" s="77">
        <f>IFERROR(IF(Tabela1[[#This Row],[Programa]]="",Tabela1[[#This Row],[Peso bruto]],VLOOKUP(Tabela1[[#This Row],[Pedido]],'Saldo a Produzir'!$A:$D,4,0)),"")</f>
        <v>11890.75</v>
      </c>
      <c r="AM409" s="73">
        <v>28844.792000000001</v>
      </c>
    </row>
    <row r="410" spans="1:39" ht="14.5" x14ac:dyDescent="0.35">
      <c r="A410" s="81">
        <v>15063</v>
      </c>
      <c r="B410" s="81" t="s">
        <v>71</v>
      </c>
      <c r="C410" s="81">
        <v>1066650000100</v>
      </c>
      <c r="D410" s="81" t="s">
        <v>1250</v>
      </c>
      <c r="E410" s="81" t="s">
        <v>1251</v>
      </c>
      <c r="F410" s="81" t="s">
        <v>53</v>
      </c>
      <c r="G410" s="81">
        <v>26292</v>
      </c>
      <c r="H410" s="81" t="s">
        <v>90</v>
      </c>
      <c r="I410" s="81" t="s">
        <v>32</v>
      </c>
      <c r="J410" s="81" t="s">
        <v>33</v>
      </c>
      <c r="K410" s="81" t="s">
        <v>34</v>
      </c>
      <c r="L410" s="81" t="s">
        <v>1252</v>
      </c>
      <c r="M410" s="81">
        <v>57916</v>
      </c>
      <c r="N410" s="90">
        <v>44712</v>
      </c>
      <c r="O410" s="90">
        <v>44806</v>
      </c>
      <c r="P410" s="90">
        <v>44715</v>
      </c>
      <c r="Q410" s="90" t="s">
        <v>35</v>
      </c>
      <c r="R410" s="81">
        <v>0</v>
      </c>
      <c r="S410" s="90" t="s">
        <v>35</v>
      </c>
      <c r="T410" s="81">
        <v>0</v>
      </c>
      <c r="U410" s="81" t="s">
        <v>36</v>
      </c>
      <c r="V410" s="90" t="s">
        <v>35</v>
      </c>
      <c r="W410" s="81"/>
      <c r="X410" s="90" t="s">
        <v>37</v>
      </c>
      <c r="Y410" s="81" t="s">
        <v>38</v>
      </c>
      <c r="Z410" s="81">
        <v>0</v>
      </c>
      <c r="AA410" s="81"/>
      <c r="AB410" s="81">
        <v>0</v>
      </c>
      <c r="AC410" s="81"/>
      <c r="AD410" s="81">
        <v>0</v>
      </c>
      <c r="AE410" s="81" t="s">
        <v>153</v>
      </c>
      <c r="AF410" s="81" t="s">
        <v>39</v>
      </c>
      <c r="AG410" s="83">
        <v>3907</v>
      </c>
      <c r="AH410" s="95">
        <v>134225</v>
      </c>
      <c r="AI410" s="82" t="str">
        <f>CONCATENATE((TEXT(Tabela1[[#This Row],[Data entrega]],"mmmm")),"_",(YEAR(Tabela1[[#This Row],[Data entrega]])))</f>
        <v>setembro_2022</v>
      </c>
      <c r="AJ410" s="77">
        <f>IFERROR(IF(Tabela1[[#This Row],[Programa]]="",Tabela1[[#This Row],[Peso bruto]],VLOOKUP(Tabela1[[#This Row],[Pedido]],'Saldo a Produzir'!$A:$D,4,0)),"")</f>
        <v>3907</v>
      </c>
      <c r="AM410" s="73">
        <v>3907</v>
      </c>
    </row>
    <row r="411" spans="1:39" ht="14.5" x14ac:dyDescent="0.35">
      <c r="A411" s="81">
        <v>15074</v>
      </c>
      <c r="B411" s="81" t="s">
        <v>161</v>
      </c>
      <c r="C411" s="81">
        <v>48138812000124</v>
      </c>
      <c r="D411" s="81" t="s">
        <v>1141</v>
      </c>
      <c r="E411" s="81" t="s">
        <v>1142</v>
      </c>
      <c r="F411" s="81" t="s">
        <v>44</v>
      </c>
      <c r="G411" s="81">
        <v>26222</v>
      </c>
      <c r="H411" s="81" t="s">
        <v>88</v>
      </c>
      <c r="I411" s="81" t="s">
        <v>32</v>
      </c>
      <c r="J411" s="81" t="s">
        <v>33</v>
      </c>
      <c r="K411" s="81" t="s">
        <v>34</v>
      </c>
      <c r="L411" s="81" t="s">
        <v>1143</v>
      </c>
      <c r="M411" s="81"/>
      <c r="N411" s="90">
        <v>44707</v>
      </c>
      <c r="O411" s="90">
        <v>44806</v>
      </c>
      <c r="P411" s="90">
        <v>44707</v>
      </c>
      <c r="Q411" s="90" t="s">
        <v>35</v>
      </c>
      <c r="R411" s="81">
        <v>0</v>
      </c>
      <c r="S411" s="90" t="s">
        <v>35</v>
      </c>
      <c r="T411" s="81">
        <v>0</v>
      </c>
      <c r="U411" s="81" t="s">
        <v>36</v>
      </c>
      <c r="V411" s="90" t="s">
        <v>35</v>
      </c>
      <c r="W411" s="81"/>
      <c r="X411" s="90" t="s">
        <v>37</v>
      </c>
      <c r="Y411" s="81" t="s">
        <v>38</v>
      </c>
      <c r="Z411" s="81">
        <v>0</v>
      </c>
      <c r="AA411" s="81"/>
      <c r="AB411" s="81">
        <v>0</v>
      </c>
      <c r="AC411" s="81"/>
      <c r="AD411" s="81">
        <v>0</v>
      </c>
      <c r="AE411" s="81" t="s">
        <v>153</v>
      </c>
      <c r="AF411" s="81" t="s">
        <v>39</v>
      </c>
      <c r="AG411" s="83">
        <v>29088.868999999999</v>
      </c>
      <c r="AH411" s="95">
        <v>464625</v>
      </c>
      <c r="AI411" s="82" t="str">
        <f>CONCATENATE((TEXT(Tabela1[[#This Row],[Data entrega]],"mmmm")),"_",(YEAR(Tabela1[[#This Row],[Data entrega]])))</f>
        <v>setembro_2022</v>
      </c>
      <c r="AJ411" s="77">
        <f>IFERROR(IF(Tabela1[[#This Row],[Programa]]="",Tabela1[[#This Row],[Peso bruto]],VLOOKUP(Tabela1[[#This Row],[Pedido]],'Saldo a Produzir'!$A:$D,4,0)),"")</f>
        <v>29088.868999999999</v>
      </c>
      <c r="AM411" s="73">
        <v>29088.868999999999</v>
      </c>
    </row>
    <row r="412" spans="1:39" ht="14.5" x14ac:dyDescent="0.35">
      <c r="A412" s="81">
        <v>15020</v>
      </c>
      <c r="B412" s="81" t="s">
        <v>46</v>
      </c>
      <c r="C412" s="81">
        <v>0</v>
      </c>
      <c r="D412" s="81" t="s">
        <v>1472</v>
      </c>
      <c r="E412" s="81" t="s">
        <v>187</v>
      </c>
      <c r="F412" s="81" t="s">
        <v>49</v>
      </c>
      <c r="G412" s="81">
        <v>26326</v>
      </c>
      <c r="H412" s="81" t="s">
        <v>93</v>
      </c>
      <c r="I412" s="81" t="s">
        <v>32</v>
      </c>
      <c r="J412" s="81" t="s">
        <v>33</v>
      </c>
      <c r="K412" s="81" t="s">
        <v>34</v>
      </c>
      <c r="L412" s="81" t="s">
        <v>1473</v>
      </c>
      <c r="M412" s="81"/>
      <c r="N412" s="90">
        <v>44720</v>
      </c>
      <c r="O412" s="90">
        <v>44806</v>
      </c>
      <c r="P412" s="90">
        <v>44720</v>
      </c>
      <c r="Q412" s="90" t="s">
        <v>35</v>
      </c>
      <c r="R412" s="81">
        <v>0</v>
      </c>
      <c r="S412" s="90" t="s">
        <v>35</v>
      </c>
      <c r="T412" s="81">
        <v>0</v>
      </c>
      <c r="U412" s="81" t="s">
        <v>36</v>
      </c>
      <c r="V412" s="90" t="s">
        <v>35</v>
      </c>
      <c r="W412" s="81"/>
      <c r="X412" s="90" t="s">
        <v>37</v>
      </c>
      <c r="Y412" s="81" t="s">
        <v>38</v>
      </c>
      <c r="Z412" s="81">
        <v>0</v>
      </c>
      <c r="AA412" s="81"/>
      <c r="AB412" s="81">
        <v>0</v>
      </c>
      <c r="AC412" s="81"/>
      <c r="AD412" s="81">
        <v>0</v>
      </c>
      <c r="AE412" s="81"/>
      <c r="AF412" s="81" t="s">
        <v>39</v>
      </c>
      <c r="AG412" s="83">
        <v>1138</v>
      </c>
      <c r="AH412" s="95">
        <v>93497.65</v>
      </c>
      <c r="AI412" s="82" t="str">
        <f>CONCATENATE((TEXT(Tabela1[[#This Row],[Data entrega]],"mmmm")),"_",(YEAR(Tabela1[[#This Row],[Data entrega]])))</f>
        <v>setembro_2022</v>
      </c>
      <c r="AJ412" s="77">
        <f>IFERROR(IF(Tabela1[[#This Row],[Programa]]="",Tabela1[[#This Row],[Peso bruto]],VLOOKUP(Tabela1[[#This Row],[Pedido]],'Saldo a Produzir'!$A:$D,4,0)),"")</f>
        <v>1138</v>
      </c>
      <c r="AM412" s="73">
        <v>1138</v>
      </c>
    </row>
    <row r="413" spans="1:39" ht="14.5" x14ac:dyDescent="0.35">
      <c r="A413" s="81">
        <v>15069</v>
      </c>
      <c r="B413" s="81" t="s">
        <v>297</v>
      </c>
      <c r="C413" s="81">
        <v>35874355000275</v>
      </c>
      <c r="D413" s="81" t="s">
        <v>1062</v>
      </c>
      <c r="E413" s="81" t="s">
        <v>1063</v>
      </c>
      <c r="F413" s="81" t="s">
        <v>53</v>
      </c>
      <c r="G413" s="81">
        <v>26161</v>
      </c>
      <c r="H413" s="81" t="s">
        <v>92</v>
      </c>
      <c r="I413" s="81" t="s">
        <v>32</v>
      </c>
      <c r="J413" s="81" t="s">
        <v>33</v>
      </c>
      <c r="K413" s="81" t="s">
        <v>34</v>
      </c>
      <c r="L413" s="81" t="s">
        <v>1064</v>
      </c>
      <c r="M413" s="81">
        <v>4500011730</v>
      </c>
      <c r="N413" s="90">
        <v>44699</v>
      </c>
      <c r="O413" s="90">
        <v>44806</v>
      </c>
      <c r="P413" s="90">
        <v>44709</v>
      </c>
      <c r="Q413" s="90" t="s">
        <v>35</v>
      </c>
      <c r="R413" s="81">
        <v>0</v>
      </c>
      <c r="S413" s="90" t="s">
        <v>35</v>
      </c>
      <c r="T413" s="81">
        <v>0</v>
      </c>
      <c r="U413" s="81" t="s">
        <v>36</v>
      </c>
      <c r="V413" s="90" t="s">
        <v>35</v>
      </c>
      <c r="W413" s="81" t="s">
        <v>1204</v>
      </c>
      <c r="X413" s="90">
        <v>44711</v>
      </c>
      <c r="Y413" s="81" t="s">
        <v>38</v>
      </c>
      <c r="Z413" s="81">
        <v>0</v>
      </c>
      <c r="AA413" s="81"/>
      <c r="AB413" s="81">
        <v>0</v>
      </c>
      <c r="AC413" s="81"/>
      <c r="AD413" s="81">
        <v>0</v>
      </c>
      <c r="AE413" s="81" t="s">
        <v>153</v>
      </c>
      <c r="AF413" s="81" t="s">
        <v>39</v>
      </c>
      <c r="AG413" s="83">
        <v>1199.8900000000001</v>
      </c>
      <c r="AH413" s="95">
        <v>52755.38</v>
      </c>
      <c r="AI413" s="82" t="str">
        <f>CONCATENATE((TEXT(Tabela1[[#This Row],[Data entrega]],"mmmm")),"_",(YEAR(Tabela1[[#This Row],[Data entrega]])))</f>
        <v>setembro_2022</v>
      </c>
      <c r="AJ413" s="77">
        <f>IFERROR(IF(Tabela1[[#This Row],[Programa]]="",Tabela1[[#This Row],[Peso bruto]],VLOOKUP(Tabela1[[#This Row],[Pedido]],'Saldo a Produzir'!$A:$D,4,0)),"")</f>
        <v>1199.01</v>
      </c>
      <c r="AM413" s="73">
        <v>3459.9070000000002</v>
      </c>
    </row>
    <row r="414" spans="1:39" ht="14.5" x14ac:dyDescent="0.35">
      <c r="A414" s="81">
        <v>15080</v>
      </c>
      <c r="B414" s="81" t="s">
        <v>550</v>
      </c>
      <c r="C414" s="81">
        <v>1377724000464</v>
      </c>
      <c r="D414" s="81" t="s">
        <v>612</v>
      </c>
      <c r="E414" s="81" t="s">
        <v>613</v>
      </c>
      <c r="F414" s="81" t="s">
        <v>44</v>
      </c>
      <c r="G414" s="81">
        <v>25707</v>
      </c>
      <c r="H414" s="81" t="s">
        <v>90</v>
      </c>
      <c r="I414" s="81" t="s">
        <v>32</v>
      </c>
      <c r="J414" s="81" t="s">
        <v>33</v>
      </c>
      <c r="K414" s="81" t="s">
        <v>34</v>
      </c>
      <c r="L414" s="81" t="s">
        <v>614</v>
      </c>
      <c r="M414" s="81">
        <v>157304</v>
      </c>
      <c r="N414" s="90">
        <v>44644</v>
      </c>
      <c r="O414" s="90">
        <v>44813</v>
      </c>
      <c r="P414" s="90">
        <v>44644</v>
      </c>
      <c r="Q414" s="90" t="s">
        <v>35</v>
      </c>
      <c r="R414" s="81">
        <v>0</v>
      </c>
      <c r="S414" s="90" t="s">
        <v>35</v>
      </c>
      <c r="T414" s="81">
        <v>0</v>
      </c>
      <c r="U414" s="81" t="s">
        <v>36</v>
      </c>
      <c r="V414" s="90" t="s">
        <v>35</v>
      </c>
      <c r="W414" s="81"/>
      <c r="X414" s="90" t="s">
        <v>37</v>
      </c>
      <c r="Y414" s="81" t="s">
        <v>38</v>
      </c>
      <c r="Z414" s="81">
        <v>2257</v>
      </c>
      <c r="AA414" s="81" t="s">
        <v>155</v>
      </c>
      <c r="AB414" s="81">
        <v>0</v>
      </c>
      <c r="AC414" s="81"/>
      <c r="AD414" s="81">
        <v>0</v>
      </c>
      <c r="AE414" s="81" t="s">
        <v>153</v>
      </c>
      <c r="AF414" s="81" t="s">
        <v>39</v>
      </c>
      <c r="AG414" s="83">
        <v>2230</v>
      </c>
      <c r="AH414" s="95">
        <v>61950</v>
      </c>
      <c r="AI414" s="82" t="str">
        <f>CONCATENATE((TEXT(Tabela1[[#This Row],[Data entrega]],"mmmm")),"_",(YEAR(Tabela1[[#This Row],[Data entrega]])))</f>
        <v>setembro_2022</v>
      </c>
      <c r="AJ414" s="77">
        <f>IFERROR(IF(Tabela1[[#This Row],[Programa]]="",Tabela1[[#This Row],[Peso bruto]],VLOOKUP(Tabela1[[#This Row],[Pedido]],'Saldo a Produzir'!$A:$D,4,0)),"")</f>
        <v>2230</v>
      </c>
      <c r="AM414" s="73">
        <v>2230</v>
      </c>
    </row>
    <row r="415" spans="1:39" ht="14.5" x14ac:dyDescent="0.35">
      <c r="A415" s="81">
        <v>15080</v>
      </c>
      <c r="B415" s="81" t="s">
        <v>550</v>
      </c>
      <c r="C415" s="81">
        <v>1377724000464</v>
      </c>
      <c r="D415" s="81" t="s">
        <v>612</v>
      </c>
      <c r="E415" s="81" t="s">
        <v>613</v>
      </c>
      <c r="F415" s="81" t="s">
        <v>44</v>
      </c>
      <c r="G415" s="81">
        <v>25708</v>
      </c>
      <c r="H415" s="81" t="s">
        <v>88</v>
      </c>
      <c r="I415" s="81" t="s">
        <v>32</v>
      </c>
      <c r="J415" s="81" t="s">
        <v>33</v>
      </c>
      <c r="K415" s="81" t="s">
        <v>34</v>
      </c>
      <c r="L415" s="81" t="s">
        <v>615</v>
      </c>
      <c r="M415" s="81">
        <v>157304</v>
      </c>
      <c r="N415" s="90">
        <v>44644</v>
      </c>
      <c r="O415" s="90">
        <v>44813</v>
      </c>
      <c r="P415" s="90">
        <v>44644</v>
      </c>
      <c r="Q415" s="90" t="s">
        <v>35</v>
      </c>
      <c r="R415" s="81">
        <v>0</v>
      </c>
      <c r="S415" s="90" t="s">
        <v>35</v>
      </c>
      <c r="T415" s="81">
        <v>0</v>
      </c>
      <c r="U415" s="81" t="s">
        <v>36</v>
      </c>
      <c r="V415" s="90" t="s">
        <v>35</v>
      </c>
      <c r="W415" s="81" t="s">
        <v>630</v>
      </c>
      <c r="X415" s="90">
        <v>44649</v>
      </c>
      <c r="Y415" s="81" t="s">
        <v>38</v>
      </c>
      <c r="Z415" s="81">
        <v>2257</v>
      </c>
      <c r="AA415" s="81" t="s">
        <v>155</v>
      </c>
      <c r="AB415" s="81">
        <v>0</v>
      </c>
      <c r="AC415" s="81"/>
      <c r="AD415" s="81">
        <v>0</v>
      </c>
      <c r="AE415" s="81" t="s">
        <v>153</v>
      </c>
      <c r="AF415" s="81" t="s">
        <v>39</v>
      </c>
      <c r="AG415" s="83">
        <v>412.95000000000005</v>
      </c>
      <c r="AH415" s="95">
        <v>41730.82</v>
      </c>
      <c r="AI415" s="82" t="str">
        <f>CONCATENATE((TEXT(Tabela1[[#This Row],[Data entrega]],"mmmm")),"_",(YEAR(Tabela1[[#This Row],[Data entrega]])))</f>
        <v>setembro_2022</v>
      </c>
      <c r="AJ415" s="77">
        <f>IFERROR(IF(Tabela1[[#This Row],[Programa]]="",Tabela1[[#This Row],[Peso bruto]],VLOOKUP(Tabela1[[#This Row],[Pedido]],'Saldo a Produzir'!$A:$D,4,0)),"")</f>
        <v>410.98</v>
      </c>
      <c r="AM415" s="73">
        <v>2057.8710000000001</v>
      </c>
    </row>
    <row r="416" spans="1:39" ht="14.5" x14ac:dyDescent="0.35">
      <c r="A416" s="81">
        <v>15080</v>
      </c>
      <c r="B416" s="81" t="s">
        <v>550</v>
      </c>
      <c r="C416" s="81">
        <v>1377724000464</v>
      </c>
      <c r="D416" s="81" t="s">
        <v>612</v>
      </c>
      <c r="E416" s="81" t="s">
        <v>613</v>
      </c>
      <c r="F416" s="81" t="s">
        <v>44</v>
      </c>
      <c r="G416" s="81">
        <v>25709</v>
      </c>
      <c r="H416" s="81" t="s">
        <v>90</v>
      </c>
      <c r="I416" s="81" t="s">
        <v>32</v>
      </c>
      <c r="J416" s="81" t="s">
        <v>33</v>
      </c>
      <c r="K416" s="81" t="s">
        <v>34</v>
      </c>
      <c r="L416" s="81" t="s">
        <v>615</v>
      </c>
      <c r="M416" s="81">
        <v>157304</v>
      </c>
      <c r="N416" s="90">
        <v>44644</v>
      </c>
      <c r="O416" s="90">
        <v>44813</v>
      </c>
      <c r="P416" s="90">
        <v>44644</v>
      </c>
      <c r="Q416" s="90" t="s">
        <v>35</v>
      </c>
      <c r="R416" s="81">
        <v>0</v>
      </c>
      <c r="S416" s="90" t="s">
        <v>35</v>
      </c>
      <c r="T416" s="81">
        <v>0</v>
      </c>
      <c r="U416" s="81" t="s">
        <v>36</v>
      </c>
      <c r="V416" s="90" t="s">
        <v>35</v>
      </c>
      <c r="W416" s="81" t="s">
        <v>665</v>
      </c>
      <c r="X416" s="90">
        <v>44650</v>
      </c>
      <c r="Y416" s="81" t="s">
        <v>38</v>
      </c>
      <c r="Z416" s="81">
        <v>2257</v>
      </c>
      <c r="AA416" s="81" t="s">
        <v>155</v>
      </c>
      <c r="AB416" s="81">
        <v>0</v>
      </c>
      <c r="AC416" s="81"/>
      <c r="AD416" s="81">
        <v>0</v>
      </c>
      <c r="AE416" s="81" t="s">
        <v>153</v>
      </c>
      <c r="AF416" s="81" t="s">
        <v>39</v>
      </c>
      <c r="AG416" s="83">
        <v>3898.2400000000002</v>
      </c>
      <c r="AH416" s="95">
        <v>304156.62</v>
      </c>
      <c r="AI416" s="82" t="str">
        <f>CONCATENATE((TEXT(Tabela1[[#This Row],[Data entrega]],"mmmm")),"_",(YEAR(Tabela1[[#This Row],[Data entrega]])))</f>
        <v>setembro_2022</v>
      </c>
      <c r="AJ416" s="77">
        <f>IFERROR(IF(Tabela1[[#This Row],[Programa]]="",Tabela1[[#This Row],[Peso bruto]],VLOOKUP(Tabela1[[#This Row],[Pedido]],'Saldo a Produzir'!$A:$D,4,0)),"")</f>
        <v>3670.7400000000002</v>
      </c>
      <c r="AM416" s="73">
        <v>13133.493</v>
      </c>
    </row>
    <row r="417" spans="1:39" ht="14.5" x14ac:dyDescent="0.35">
      <c r="A417" s="81">
        <v>15070</v>
      </c>
      <c r="B417" s="81" t="s">
        <v>140</v>
      </c>
      <c r="C417" s="81">
        <v>1838723010513</v>
      </c>
      <c r="D417" s="81" t="s">
        <v>41</v>
      </c>
      <c r="E417" s="81" t="s">
        <v>250</v>
      </c>
      <c r="F417" s="81" t="s">
        <v>42</v>
      </c>
      <c r="G417" s="81">
        <v>25527</v>
      </c>
      <c r="H417" s="81" t="s">
        <v>112</v>
      </c>
      <c r="I417" s="81" t="s">
        <v>32</v>
      </c>
      <c r="J417" s="81" t="s">
        <v>33</v>
      </c>
      <c r="K417" s="81" t="s">
        <v>34</v>
      </c>
      <c r="L417" s="81" t="s">
        <v>544</v>
      </c>
      <c r="M417" s="81">
        <v>104978949</v>
      </c>
      <c r="N417" s="90">
        <v>44617</v>
      </c>
      <c r="O417" s="90">
        <v>44813</v>
      </c>
      <c r="P417" s="90">
        <v>44617</v>
      </c>
      <c r="Q417" s="90" t="s">
        <v>35</v>
      </c>
      <c r="R417" s="81">
        <v>0</v>
      </c>
      <c r="S417" s="90" t="s">
        <v>35</v>
      </c>
      <c r="T417" s="81">
        <v>0</v>
      </c>
      <c r="U417" s="81" t="s">
        <v>36</v>
      </c>
      <c r="V417" s="90" t="s">
        <v>35</v>
      </c>
      <c r="W417" s="81" t="s">
        <v>566</v>
      </c>
      <c r="X417" s="90">
        <v>44634</v>
      </c>
      <c r="Y417" s="81" t="s">
        <v>38</v>
      </c>
      <c r="Z417" s="81">
        <v>575</v>
      </c>
      <c r="AA417" s="81" t="s">
        <v>127</v>
      </c>
      <c r="AB417" s="81">
        <v>0</v>
      </c>
      <c r="AC417" s="81"/>
      <c r="AD417" s="81">
        <v>0</v>
      </c>
      <c r="AE417" s="81" t="s">
        <v>153</v>
      </c>
      <c r="AF417" s="81" t="s">
        <v>39</v>
      </c>
      <c r="AG417" s="83">
        <v>586.80999999999995</v>
      </c>
      <c r="AH417" s="95">
        <v>30000</v>
      </c>
      <c r="AI417" s="82" t="str">
        <f>CONCATENATE((TEXT(Tabela1[[#This Row],[Data entrega]],"mmmm")),"_",(YEAR(Tabela1[[#This Row],[Data entrega]])))</f>
        <v>setembro_2022</v>
      </c>
      <c r="AJ417" s="77">
        <f>IFERROR(IF(Tabela1[[#This Row],[Programa]]="",Tabela1[[#This Row],[Peso bruto]],VLOOKUP(Tabela1[[#This Row],[Pedido]],'Saldo a Produzir'!$A:$D,4,0)),"")</f>
        <v>529.27</v>
      </c>
      <c r="AM417" s="73">
        <v>1184.328</v>
      </c>
    </row>
    <row r="418" spans="1:39" ht="14.5" x14ac:dyDescent="0.35">
      <c r="A418" s="81">
        <v>15069</v>
      </c>
      <c r="B418" s="81" t="s">
        <v>297</v>
      </c>
      <c r="C418" s="81">
        <v>60945169000570</v>
      </c>
      <c r="D418" s="81" t="s">
        <v>1190</v>
      </c>
      <c r="E418" s="81" t="s">
        <v>1191</v>
      </c>
      <c r="F418" s="81" t="s">
        <v>33</v>
      </c>
      <c r="G418" s="81">
        <v>26269</v>
      </c>
      <c r="H418" s="81" t="s">
        <v>90</v>
      </c>
      <c r="I418" s="81" t="s">
        <v>32</v>
      </c>
      <c r="J418" s="81" t="s">
        <v>33</v>
      </c>
      <c r="K418" s="81" t="s">
        <v>34</v>
      </c>
      <c r="L418" s="81" t="s">
        <v>1210</v>
      </c>
      <c r="M418" s="81"/>
      <c r="N418" s="90">
        <v>44712</v>
      </c>
      <c r="O418" s="90">
        <v>44813</v>
      </c>
      <c r="P418" s="90">
        <v>44712</v>
      </c>
      <c r="Q418" s="90" t="s">
        <v>35</v>
      </c>
      <c r="R418" s="81">
        <v>0</v>
      </c>
      <c r="S418" s="90" t="s">
        <v>35</v>
      </c>
      <c r="T418" s="81">
        <v>0</v>
      </c>
      <c r="U418" s="81" t="s">
        <v>36</v>
      </c>
      <c r="V418" s="90" t="s">
        <v>35</v>
      </c>
      <c r="W418" s="81"/>
      <c r="X418" s="90" t="s">
        <v>37</v>
      </c>
      <c r="Y418" s="81" t="s">
        <v>38</v>
      </c>
      <c r="Z418" s="81">
        <v>0</v>
      </c>
      <c r="AA418" s="81"/>
      <c r="AB418" s="81">
        <v>0</v>
      </c>
      <c r="AC418" s="81"/>
      <c r="AD418" s="81">
        <v>0</v>
      </c>
      <c r="AE418" s="81" t="s">
        <v>153</v>
      </c>
      <c r="AF418" s="81" t="s">
        <v>39</v>
      </c>
      <c r="AG418" s="83">
        <v>18737</v>
      </c>
      <c r="AH418" s="95">
        <v>388729.52</v>
      </c>
      <c r="AI418" s="82" t="str">
        <f>CONCATENATE((TEXT(Tabela1[[#This Row],[Data entrega]],"mmmm")),"_",(YEAR(Tabela1[[#This Row],[Data entrega]])))</f>
        <v>setembro_2022</v>
      </c>
      <c r="AJ418" s="77">
        <f>IFERROR(IF(Tabela1[[#This Row],[Programa]]="",Tabela1[[#This Row],[Peso bruto]],VLOOKUP(Tabela1[[#This Row],[Pedido]],'Saldo a Produzir'!$A:$D,4,0)),"")</f>
        <v>18737</v>
      </c>
      <c r="AM418" s="73">
        <v>18737</v>
      </c>
    </row>
    <row r="419" spans="1:39" ht="14.5" x14ac:dyDescent="0.35">
      <c r="A419" s="81">
        <v>15069</v>
      </c>
      <c r="B419" s="81" t="s">
        <v>297</v>
      </c>
      <c r="C419" s="81">
        <v>60945169000570</v>
      </c>
      <c r="D419" s="81" t="s">
        <v>1190</v>
      </c>
      <c r="E419" s="81" t="s">
        <v>1191</v>
      </c>
      <c r="F419" s="81" t="s">
        <v>33</v>
      </c>
      <c r="G419" s="81">
        <v>26272</v>
      </c>
      <c r="H419" s="81" t="s">
        <v>91</v>
      </c>
      <c r="I419" s="81" t="s">
        <v>32</v>
      </c>
      <c r="J419" s="81" t="s">
        <v>33</v>
      </c>
      <c r="K419" s="81" t="s">
        <v>34</v>
      </c>
      <c r="L419" s="81" t="s">
        <v>1211</v>
      </c>
      <c r="M419" s="81"/>
      <c r="N419" s="90">
        <v>44712</v>
      </c>
      <c r="O419" s="90">
        <v>44813</v>
      </c>
      <c r="P419" s="90">
        <v>44712</v>
      </c>
      <c r="Q419" s="90" t="s">
        <v>35</v>
      </c>
      <c r="R419" s="81">
        <v>0</v>
      </c>
      <c r="S419" s="90" t="s">
        <v>35</v>
      </c>
      <c r="T419" s="81">
        <v>0</v>
      </c>
      <c r="U419" s="81" t="s">
        <v>36</v>
      </c>
      <c r="V419" s="90" t="s">
        <v>35</v>
      </c>
      <c r="W419" s="81"/>
      <c r="X419" s="90" t="s">
        <v>37</v>
      </c>
      <c r="Y419" s="81" t="s">
        <v>38</v>
      </c>
      <c r="Z419" s="81">
        <v>0</v>
      </c>
      <c r="AA419" s="81"/>
      <c r="AB419" s="81">
        <v>0</v>
      </c>
      <c r="AC419" s="81"/>
      <c r="AD419" s="81">
        <v>0</v>
      </c>
      <c r="AE419" s="81" t="s">
        <v>153</v>
      </c>
      <c r="AF419" s="81" t="s">
        <v>39</v>
      </c>
      <c r="AG419" s="83">
        <v>67585</v>
      </c>
      <c r="AH419" s="95">
        <v>1323095.8400000001</v>
      </c>
      <c r="AI419" s="82" t="str">
        <f>CONCATENATE((TEXT(Tabela1[[#This Row],[Data entrega]],"mmmm")),"_",(YEAR(Tabela1[[#This Row],[Data entrega]])))</f>
        <v>setembro_2022</v>
      </c>
      <c r="AJ419" s="77">
        <f>IFERROR(IF(Tabela1[[#This Row],[Programa]]="",Tabela1[[#This Row],[Peso bruto]],VLOOKUP(Tabela1[[#This Row],[Pedido]],'Saldo a Produzir'!$A:$D,4,0)),"")</f>
        <v>67585</v>
      </c>
      <c r="AM419" s="73">
        <v>67585</v>
      </c>
    </row>
    <row r="420" spans="1:39" ht="14.5" x14ac:dyDescent="0.35">
      <c r="A420" s="81">
        <v>15055</v>
      </c>
      <c r="B420" s="81" t="s">
        <v>61</v>
      </c>
      <c r="C420" s="81">
        <v>2036483000614</v>
      </c>
      <c r="D420" s="81" t="s">
        <v>589</v>
      </c>
      <c r="E420" s="81" t="s">
        <v>133</v>
      </c>
      <c r="F420" s="81" t="s">
        <v>53</v>
      </c>
      <c r="G420" s="81">
        <v>25675</v>
      </c>
      <c r="H420" s="81" t="s">
        <v>125</v>
      </c>
      <c r="I420" s="81" t="s">
        <v>32</v>
      </c>
      <c r="J420" s="81" t="s">
        <v>33</v>
      </c>
      <c r="K420" s="81" t="s">
        <v>34</v>
      </c>
      <c r="L420" s="81" t="s">
        <v>590</v>
      </c>
      <c r="M420" s="81">
        <v>4900521035</v>
      </c>
      <c r="N420" s="90">
        <v>44638</v>
      </c>
      <c r="O420" s="90">
        <v>44818</v>
      </c>
      <c r="P420" s="90">
        <v>44641</v>
      </c>
      <c r="Q420" s="90" t="s">
        <v>35</v>
      </c>
      <c r="R420" s="81">
        <v>0</v>
      </c>
      <c r="S420" s="90" t="s">
        <v>35</v>
      </c>
      <c r="T420" s="81">
        <v>0</v>
      </c>
      <c r="U420" s="81" t="s">
        <v>36</v>
      </c>
      <c r="V420" s="90" t="s">
        <v>35</v>
      </c>
      <c r="W420" s="81"/>
      <c r="X420" s="90" t="s">
        <v>37</v>
      </c>
      <c r="Y420" s="81" t="s">
        <v>38</v>
      </c>
      <c r="Z420" s="81">
        <v>13</v>
      </c>
      <c r="AA420" s="81" t="s">
        <v>149</v>
      </c>
      <c r="AB420" s="81">
        <v>0</v>
      </c>
      <c r="AC420" s="81"/>
      <c r="AD420" s="81">
        <v>0</v>
      </c>
      <c r="AE420" s="81"/>
      <c r="AF420" s="81" t="s">
        <v>39</v>
      </c>
      <c r="AG420" s="83">
        <v>0</v>
      </c>
      <c r="AH420" s="95">
        <v>30555</v>
      </c>
      <c r="AI420" s="82" t="str">
        <f>CONCATENATE((TEXT(Tabela1[[#This Row],[Data entrega]],"mmmm")),"_",(YEAR(Tabela1[[#This Row],[Data entrega]])))</f>
        <v>setembro_2022</v>
      </c>
      <c r="AJ420" s="77">
        <f>IFERROR(IF(Tabela1[[#This Row],[Programa]]="",Tabela1[[#This Row],[Peso bruto]],VLOOKUP(Tabela1[[#This Row],[Pedido]],'Saldo a Produzir'!$A:$D,4,0)),"")</f>
        <v>0</v>
      </c>
      <c r="AM420" s="73">
        <v>0</v>
      </c>
    </row>
    <row r="421" spans="1:39" ht="14.5" x14ac:dyDescent="0.35">
      <c r="A421" s="81">
        <v>15064</v>
      </c>
      <c r="B421" s="81" t="s">
        <v>67</v>
      </c>
      <c r="C421" s="81">
        <v>7814284000107</v>
      </c>
      <c r="D421" s="81" t="s">
        <v>398</v>
      </c>
      <c r="E421" s="81" t="s">
        <v>66</v>
      </c>
      <c r="F421" s="81" t="s">
        <v>44</v>
      </c>
      <c r="G421" s="81">
        <v>25722</v>
      </c>
      <c r="H421" s="81" t="s">
        <v>91</v>
      </c>
      <c r="I421" s="81" t="s">
        <v>32</v>
      </c>
      <c r="J421" s="81" t="s">
        <v>33</v>
      </c>
      <c r="K421" s="81" t="s">
        <v>34</v>
      </c>
      <c r="L421" s="81" t="s">
        <v>629</v>
      </c>
      <c r="M421" s="81">
        <v>56995</v>
      </c>
      <c r="N421" s="90">
        <v>44645</v>
      </c>
      <c r="O421" s="90">
        <v>44820</v>
      </c>
      <c r="P421" s="90">
        <v>44645</v>
      </c>
      <c r="Q421" s="90" t="s">
        <v>35</v>
      </c>
      <c r="R421" s="81">
        <v>0</v>
      </c>
      <c r="S421" s="90" t="s">
        <v>35</v>
      </c>
      <c r="T421" s="81">
        <v>0</v>
      </c>
      <c r="U421" s="81" t="s">
        <v>36</v>
      </c>
      <c r="V421" s="90" t="s">
        <v>35</v>
      </c>
      <c r="W421" s="81" t="s">
        <v>896</v>
      </c>
      <c r="X421" s="90">
        <v>44684</v>
      </c>
      <c r="Y421" s="81" t="s">
        <v>38</v>
      </c>
      <c r="Z421" s="81">
        <v>2257</v>
      </c>
      <c r="AA421" s="81" t="s">
        <v>155</v>
      </c>
      <c r="AB421" s="81">
        <v>0</v>
      </c>
      <c r="AC421" s="81"/>
      <c r="AD421" s="81">
        <v>0</v>
      </c>
      <c r="AE421" s="81" t="s">
        <v>153</v>
      </c>
      <c r="AF421" s="81" t="s">
        <v>39</v>
      </c>
      <c r="AG421" s="83">
        <v>562.82999999999993</v>
      </c>
      <c r="AH421" s="95">
        <v>54206.25</v>
      </c>
      <c r="AI421" s="82" t="str">
        <f>CONCATENATE((TEXT(Tabela1[[#This Row],[Data entrega]],"mmmm")),"_",(YEAR(Tabela1[[#This Row],[Data entrega]])))</f>
        <v>setembro_2022</v>
      </c>
      <c r="AJ421" s="77">
        <f>IFERROR(IF(Tabela1[[#This Row],[Programa]]="",Tabela1[[#This Row],[Peso bruto]],VLOOKUP(Tabela1[[#This Row],[Pedido]],'Saldo a Produzir'!$A:$D,4,0)),"")</f>
        <v>563.68999999999994</v>
      </c>
      <c r="AM421" s="73">
        <v>667.52</v>
      </c>
    </row>
    <row r="422" spans="1:39" ht="14.5" x14ac:dyDescent="0.35">
      <c r="A422" s="81">
        <v>15057</v>
      </c>
      <c r="B422" s="81" t="s">
        <v>60</v>
      </c>
      <c r="C422" s="81">
        <v>61064929003275</v>
      </c>
      <c r="D422" s="81" t="s">
        <v>393</v>
      </c>
      <c r="E422" s="81" t="s">
        <v>394</v>
      </c>
      <c r="F422" s="81" t="s">
        <v>132</v>
      </c>
      <c r="G422" s="81">
        <v>26130</v>
      </c>
      <c r="H422" s="81" t="s">
        <v>89</v>
      </c>
      <c r="I422" s="81" t="s">
        <v>32</v>
      </c>
      <c r="J422" s="81" t="s">
        <v>33</v>
      </c>
      <c r="K422" s="81" t="s">
        <v>34</v>
      </c>
      <c r="L422" s="81" t="s">
        <v>967</v>
      </c>
      <c r="M422" s="81">
        <v>4300352481</v>
      </c>
      <c r="N422" s="90">
        <v>44694</v>
      </c>
      <c r="O422" s="90">
        <v>44820</v>
      </c>
      <c r="P422" s="90">
        <v>44697</v>
      </c>
      <c r="Q422" s="90" t="s">
        <v>35</v>
      </c>
      <c r="R422" s="81">
        <v>0</v>
      </c>
      <c r="S422" s="90" t="s">
        <v>35</v>
      </c>
      <c r="T422" s="81">
        <v>0</v>
      </c>
      <c r="U422" s="81" t="s">
        <v>36</v>
      </c>
      <c r="V422" s="90" t="s">
        <v>35</v>
      </c>
      <c r="W422" s="81" t="s">
        <v>1110</v>
      </c>
      <c r="X422" s="90">
        <v>44704</v>
      </c>
      <c r="Y422" s="81" t="s">
        <v>38</v>
      </c>
      <c r="Z422" s="81">
        <v>944</v>
      </c>
      <c r="AA422" s="81" t="s">
        <v>152</v>
      </c>
      <c r="AB422" s="81">
        <v>0</v>
      </c>
      <c r="AC422" s="81"/>
      <c r="AD422" s="81">
        <v>0</v>
      </c>
      <c r="AE422" s="81" t="s">
        <v>153</v>
      </c>
      <c r="AF422" s="81" t="s">
        <v>39</v>
      </c>
      <c r="AG422" s="83">
        <v>319.20000000000005</v>
      </c>
      <c r="AH422" s="95">
        <v>66433.5</v>
      </c>
      <c r="AI422" s="82" t="str">
        <f>CONCATENATE((TEXT(Tabela1[[#This Row],[Data entrega]],"mmmm")),"_",(YEAR(Tabela1[[#This Row],[Data entrega]])))</f>
        <v>setembro_2022</v>
      </c>
      <c r="AJ422" s="77">
        <f>IFERROR(IF(Tabela1[[#This Row],[Programa]]="",Tabela1[[#This Row],[Peso bruto]],VLOOKUP(Tabela1[[#This Row],[Pedido]],'Saldo a Produzir'!$A:$D,4,0)),"")</f>
        <v>264.24</v>
      </c>
      <c r="AM422" s="73">
        <v>745.57600000000002</v>
      </c>
    </row>
    <row r="423" spans="1:39" ht="14.5" x14ac:dyDescent="0.35">
      <c r="A423" s="81">
        <v>15057</v>
      </c>
      <c r="B423" s="81" t="s">
        <v>60</v>
      </c>
      <c r="C423" s="81">
        <v>10981304000130</v>
      </c>
      <c r="D423" s="81" t="s">
        <v>968</v>
      </c>
      <c r="E423" s="81" t="s">
        <v>77</v>
      </c>
      <c r="F423" s="81" t="s">
        <v>58</v>
      </c>
      <c r="G423" s="81">
        <v>26128</v>
      </c>
      <c r="H423" s="81" t="s">
        <v>95</v>
      </c>
      <c r="I423" s="81" t="s">
        <v>32</v>
      </c>
      <c r="J423" s="81" t="s">
        <v>33</v>
      </c>
      <c r="K423" s="81" t="s">
        <v>34</v>
      </c>
      <c r="L423" s="81" t="s">
        <v>969</v>
      </c>
      <c r="M423" s="81"/>
      <c r="N423" s="90">
        <v>44694</v>
      </c>
      <c r="O423" s="90">
        <v>44820</v>
      </c>
      <c r="P423" s="90">
        <v>44697</v>
      </c>
      <c r="Q423" s="90" t="s">
        <v>35</v>
      </c>
      <c r="R423" s="81">
        <v>0</v>
      </c>
      <c r="S423" s="90" t="s">
        <v>35</v>
      </c>
      <c r="T423" s="81">
        <v>0</v>
      </c>
      <c r="U423" s="81" t="s">
        <v>36</v>
      </c>
      <c r="V423" s="90" t="s">
        <v>35</v>
      </c>
      <c r="W423" s="81"/>
      <c r="X423" s="90" t="s">
        <v>37</v>
      </c>
      <c r="Y423" s="81" t="s">
        <v>38</v>
      </c>
      <c r="Z423" s="81">
        <v>2235</v>
      </c>
      <c r="AA423" s="81" t="s">
        <v>144</v>
      </c>
      <c r="AB423" s="81">
        <v>0</v>
      </c>
      <c r="AC423" s="81"/>
      <c r="AD423" s="81">
        <v>0</v>
      </c>
      <c r="AE423" s="81" t="s">
        <v>153</v>
      </c>
      <c r="AF423" s="81" t="s">
        <v>39</v>
      </c>
      <c r="AG423" s="83">
        <v>372</v>
      </c>
      <c r="AH423" s="95">
        <v>12390</v>
      </c>
      <c r="AI423" s="82" t="str">
        <f>CONCATENATE((TEXT(Tabela1[[#This Row],[Data entrega]],"mmmm")),"_",(YEAR(Tabela1[[#This Row],[Data entrega]])))</f>
        <v>setembro_2022</v>
      </c>
      <c r="AJ423" s="77">
        <f>IFERROR(IF(Tabela1[[#This Row],[Programa]]="",Tabela1[[#This Row],[Peso bruto]],VLOOKUP(Tabela1[[#This Row],[Pedido]],'Saldo a Produzir'!$A:$D,4,0)),"")</f>
        <v>372</v>
      </c>
      <c r="AM423" s="73">
        <v>372</v>
      </c>
    </row>
    <row r="424" spans="1:39" ht="14.5" x14ac:dyDescent="0.35">
      <c r="A424" s="81">
        <v>15054</v>
      </c>
      <c r="B424" s="81" t="s">
        <v>70</v>
      </c>
      <c r="C424" s="81">
        <v>81804684001905</v>
      </c>
      <c r="D424" s="81" t="s">
        <v>649</v>
      </c>
      <c r="E424" s="81" t="s">
        <v>650</v>
      </c>
      <c r="F424" s="81" t="s">
        <v>651</v>
      </c>
      <c r="G424" s="81">
        <v>25758</v>
      </c>
      <c r="H424" s="81" t="s">
        <v>87</v>
      </c>
      <c r="I424" s="81" t="s">
        <v>32</v>
      </c>
      <c r="J424" s="81" t="s">
        <v>33</v>
      </c>
      <c r="K424" s="81" t="s">
        <v>34</v>
      </c>
      <c r="L424" s="81" t="s">
        <v>652</v>
      </c>
      <c r="M424" s="81"/>
      <c r="N424" s="90">
        <v>44649</v>
      </c>
      <c r="O424" s="90">
        <v>44820</v>
      </c>
      <c r="P424" s="90">
        <v>44650</v>
      </c>
      <c r="Q424" s="90" t="s">
        <v>35</v>
      </c>
      <c r="R424" s="81">
        <v>0</v>
      </c>
      <c r="S424" s="90" t="s">
        <v>35</v>
      </c>
      <c r="T424" s="81">
        <v>0</v>
      </c>
      <c r="U424" s="81" t="s">
        <v>36</v>
      </c>
      <c r="V424" s="90" t="s">
        <v>35</v>
      </c>
      <c r="W424" s="81" t="s">
        <v>673</v>
      </c>
      <c r="X424" s="90">
        <v>44651</v>
      </c>
      <c r="Y424" s="81" t="s">
        <v>38</v>
      </c>
      <c r="Z424" s="81">
        <v>2257</v>
      </c>
      <c r="AA424" s="81" t="s">
        <v>155</v>
      </c>
      <c r="AB424" s="81">
        <v>0</v>
      </c>
      <c r="AC424" s="81"/>
      <c r="AD424" s="81">
        <v>0</v>
      </c>
      <c r="AE424" s="81" t="s">
        <v>153</v>
      </c>
      <c r="AF424" s="81" t="s">
        <v>39</v>
      </c>
      <c r="AG424" s="83">
        <v>120026.27000000002</v>
      </c>
      <c r="AH424" s="95">
        <v>2239156.63</v>
      </c>
      <c r="AI424" s="82" t="str">
        <f>CONCATENATE((TEXT(Tabela1[[#This Row],[Data entrega]],"mmmm")),"_",(YEAR(Tabela1[[#This Row],[Data entrega]])))</f>
        <v>setembro_2022</v>
      </c>
      <c r="AJ424" s="77">
        <f>IFERROR(IF(Tabela1[[#This Row],[Programa]]="",Tabela1[[#This Row],[Peso bruto]],VLOOKUP(Tabela1[[#This Row],[Pedido]],'Saldo a Produzir'!$A:$D,4,0)),"")</f>
        <v>119871.80000000002</v>
      </c>
      <c r="AM424" s="73">
        <v>124972.70600000001</v>
      </c>
    </row>
    <row r="425" spans="1:39" ht="14.5" x14ac:dyDescent="0.35">
      <c r="A425" s="81">
        <v>15057</v>
      </c>
      <c r="B425" s="81" t="s">
        <v>60</v>
      </c>
      <c r="C425" s="81">
        <v>88212113016014</v>
      </c>
      <c r="D425" s="81" t="s">
        <v>265</v>
      </c>
      <c r="E425" s="81" t="s">
        <v>174</v>
      </c>
      <c r="F425" s="81" t="s">
        <v>58</v>
      </c>
      <c r="G425" s="81">
        <v>24919</v>
      </c>
      <c r="H425" s="81" t="s">
        <v>87</v>
      </c>
      <c r="I425" s="81" t="s">
        <v>32</v>
      </c>
      <c r="J425" s="81" t="s">
        <v>33</v>
      </c>
      <c r="K425" s="81" t="s">
        <v>34</v>
      </c>
      <c r="L425" s="81" t="s">
        <v>472</v>
      </c>
      <c r="M425" s="81"/>
      <c r="N425" s="90">
        <v>44517</v>
      </c>
      <c r="O425" s="90">
        <v>44826</v>
      </c>
      <c r="P425" s="90">
        <v>44706</v>
      </c>
      <c r="Q425" s="90" t="s">
        <v>35</v>
      </c>
      <c r="R425" s="81">
        <v>0</v>
      </c>
      <c r="S425" s="90" t="s">
        <v>35</v>
      </c>
      <c r="T425" s="81">
        <v>0</v>
      </c>
      <c r="U425" s="81" t="s">
        <v>36</v>
      </c>
      <c r="V425" s="90" t="s">
        <v>35</v>
      </c>
      <c r="W425" s="81" t="s">
        <v>477</v>
      </c>
      <c r="X425" s="90">
        <v>44593</v>
      </c>
      <c r="Y425" s="81" t="s">
        <v>38</v>
      </c>
      <c r="Z425" s="81">
        <v>0</v>
      </c>
      <c r="AA425" s="81"/>
      <c r="AB425" s="81">
        <v>0</v>
      </c>
      <c r="AC425" s="81"/>
      <c r="AD425" s="81">
        <v>0</v>
      </c>
      <c r="AE425" s="81" t="s">
        <v>153</v>
      </c>
      <c r="AF425" s="81" t="s">
        <v>39</v>
      </c>
      <c r="AG425" s="83">
        <v>62378.630000000005</v>
      </c>
      <c r="AH425" s="95">
        <v>2453416.67</v>
      </c>
      <c r="AI425" s="82" t="str">
        <f>CONCATENATE((TEXT(Tabela1[[#This Row],[Data entrega]],"mmmm")),"_",(YEAR(Tabela1[[#This Row],[Data entrega]])))</f>
        <v>setembro_2022</v>
      </c>
      <c r="AJ425" s="77">
        <f>IFERROR(IF(Tabela1[[#This Row],[Programa]]="",Tabela1[[#This Row],[Peso bruto]],VLOOKUP(Tabela1[[#This Row],[Pedido]],'Saldo a Produzir'!$A:$D,4,0)),"")</f>
        <v>62628.54</v>
      </c>
      <c r="AM425" s="73">
        <v>133671.63200000001</v>
      </c>
    </row>
    <row r="426" spans="1:39" ht="14.5" x14ac:dyDescent="0.35">
      <c r="A426" s="81">
        <v>15057</v>
      </c>
      <c r="B426" s="81" t="s">
        <v>60</v>
      </c>
      <c r="C426" s="81">
        <v>88212113016014</v>
      </c>
      <c r="D426" s="81" t="s">
        <v>265</v>
      </c>
      <c r="E426" s="81" t="s">
        <v>174</v>
      </c>
      <c r="F426" s="81" t="s">
        <v>58</v>
      </c>
      <c r="G426" s="81">
        <v>24920</v>
      </c>
      <c r="H426" s="81" t="s">
        <v>87</v>
      </c>
      <c r="I426" s="81" t="s">
        <v>32</v>
      </c>
      <c r="J426" s="81" t="s">
        <v>33</v>
      </c>
      <c r="K426" s="81" t="s">
        <v>34</v>
      </c>
      <c r="L426" s="81" t="s">
        <v>472</v>
      </c>
      <c r="M426" s="81"/>
      <c r="N426" s="90">
        <v>44517</v>
      </c>
      <c r="O426" s="90">
        <v>44826</v>
      </c>
      <c r="P426" s="90">
        <v>44594</v>
      </c>
      <c r="Q426" s="90" t="s">
        <v>35</v>
      </c>
      <c r="R426" s="81">
        <v>0</v>
      </c>
      <c r="S426" s="90" t="s">
        <v>35</v>
      </c>
      <c r="T426" s="81">
        <v>0</v>
      </c>
      <c r="U426" s="81" t="s">
        <v>36</v>
      </c>
      <c r="V426" s="90" t="s">
        <v>35</v>
      </c>
      <c r="W426" s="81" t="s">
        <v>463</v>
      </c>
      <c r="X426" s="90">
        <v>44588</v>
      </c>
      <c r="Y426" s="81" t="s">
        <v>38</v>
      </c>
      <c r="Z426" s="81">
        <v>0</v>
      </c>
      <c r="AA426" s="81"/>
      <c r="AB426" s="81">
        <v>0</v>
      </c>
      <c r="AC426" s="81"/>
      <c r="AD426" s="81">
        <v>0</v>
      </c>
      <c r="AE426" s="81" t="s">
        <v>153</v>
      </c>
      <c r="AF426" s="81" t="s">
        <v>39</v>
      </c>
      <c r="AG426" s="83">
        <v>125636.95999999999</v>
      </c>
      <c r="AH426" s="95">
        <v>2453416.67</v>
      </c>
      <c r="AI426" s="82" t="str">
        <f>CONCATENATE((TEXT(Tabela1[[#This Row],[Data entrega]],"mmmm")),"_",(YEAR(Tabela1[[#This Row],[Data entrega]])))</f>
        <v>setembro_2022</v>
      </c>
      <c r="AJ426" s="77">
        <f>IFERROR(IF(Tabela1[[#This Row],[Programa]]="",Tabela1[[#This Row],[Peso bruto]],VLOOKUP(Tabela1[[#This Row],[Pedido]],'Saldo a Produzir'!$A:$D,4,0)),"")</f>
        <v>125411.15999999999</v>
      </c>
      <c r="AM426" s="73">
        <v>134643.75099999999</v>
      </c>
    </row>
    <row r="427" spans="1:39" ht="14.5" x14ac:dyDescent="0.35">
      <c r="A427" s="81">
        <v>15057</v>
      </c>
      <c r="B427" s="81" t="s">
        <v>60</v>
      </c>
      <c r="C427" s="81">
        <v>88212113016014</v>
      </c>
      <c r="D427" s="81" t="s">
        <v>265</v>
      </c>
      <c r="E427" s="81" t="s">
        <v>174</v>
      </c>
      <c r="F427" s="81" t="s">
        <v>58</v>
      </c>
      <c r="G427" s="81">
        <v>24921</v>
      </c>
      <c r="H427" s="81" t="s">
        <v>92</v>
      </c>
      <c r="I427" s="81" t="s">
        <v>32</v>
      </c>
      <c r="J427" s="81" t="s">
        <v>33</v>
      </c>
      <c r="K427" s="81" t="s">
        <v>34</v>
      </c>
      <c r="L427" s="81" t="s">
        <v>472</v>
      </c>
      <c r="M427" s="81"/>
      <c r="N427" s="90">
        <v>44517</v>
      </c>
      <c r="O427" s="90">
        <v>44826</v>
      </c>
      <c r="P427" s="90">
        <v>44594</v>
      </c>
      <c r="Q427" s="90" t="s">
        <v>35</v>
      </c>
      <c r="R427" s="81">
        <v>0</v>
      </c>
      <c r="S427" s="90" t="s">
        <v>35</v>
      </c>
      <c r="T427" s="81">
        <v>0</v>
      </c>
      <c r="U427" s="81" t="s">
        <v>36</v>
      </c>
      <c r="V427" s="90" t="s">
        <v>35</v>
      </c>
      <c r="W427" s="81" t="s">
        <v>476</v>
      </c>
      <c r="X427" s="90">
        <v>44594</v>
      </c>
      <c r="Y427" s="81" t="s">
        <v>38</v>
      </c>
      <c r="Z427" s="81">
        <v>0</v>
      </c>
      <c r="AA427" s="81"/>
      <c r="AB427" s="81">
        <v>0</v>
      </c>
      <c r="AC427" s="81"/>
      <c r="AD427" s="81">
        <v>0</v>
      </c>
      <c r="AE427" s="81" t="s">
        <v>153</v>
      </c>
      <c r="AF427" s="81" t="s">
        <v>39</v>
      </c>
      <c r="AG427" s="83">
        <v>20717.22</v>
      </c>
      <c r="AH427" s="95">
        <v>778800</v>
      </c>
      <c r="AI427" s="82" t="str">
        <f>CONCATENATE((TEXT(Tabela1[[#This Row],[Data entrega]],"mmmm")),"_",(YEAR(Tabela1[[#This Row],[Data entrega]])))</f>
        <v>setembro_2022</v>
      </c>
      <c r="AJ427" s="77">
        <f>IFERROR(IF(Tabela1[[#This Row],[Programa]]="",Tabela1[[#This Row],[Peso bruto]],VLOOKUP(Tabela1[[#This Row],[Pedido]],'Saldo a Produzir'!$A:$D,4,0)),"")</f>
        <v>20683.190000000002</v>
      </c>
      <c r="AM427" s="73">
        <v>25433.333999999999</v>
      </c>
    </row>
    <row r="428" spans="1:39" ht="14.5" x14ac:dyDescent="0.35">
      <c r="A428" s="81">
        <v>15057</v>
      </c>
      <c r="B428" s="81" t="s">
        <v>60</v>
      </c>
      <c r="C428" s="81">
        <v>88212113016014</v>
      </c>
      <c r="D428" s="81" t="s">
        <v>265</v>
      </c>
      <c r="E428" s="81" t="s">
        <v>174</v>
      </c>
      <c r="F428" s="81" t="s">
        <v>58</v>
      </c>
      <c r="G428" s="81">
        <v>24922</v>
      </c>
      <c r="H428" s="81" t="s">
        <v>92</v>
      </c>
      <c r="I428" s="81" t="s">
        <v>32</v>
      </c>
      <c r="J428" s="81" t="s">
        <v>33</v>
      </c>
      <c r="K428" s="81" t="s">
        <v>34</v>
      </c>
      <c r="L428" s="81" t="s">
        <v>472</v>
      </c>
      <c r="M428" s="81"/>
      <c r="N428" s="90">
        <v>44517</v>
      </c>
      <c r="O428" s="90">
        <v>44826</v>
      </c>
      <c r="P428" s="90">
        <v>44594</v>
      </c>
      <c r="Q428" s="90" t="s">
        <v>35</v>
      </c>
      <c r="R428" s="81">
        <v>0</v>
      </c>
      <c r="S428" s="90" t="s">
        <v>35</v>
      </c>
      <c r="T428" s="81">
        <v>0</v>
      </c>
      <c r="U428" s="81" t="s">
        <v>36</v>
      </c>
      <c r="V428" s="90" t="s">
        <v>35</v>
      </c>
      <c r="W428" s="81" t="s">
        <v>476</v>
      </c>
      <c r="X428" s="90">
        <v>44594</v>
      </c>
      <c r="Y428" s="81" t="s">
        <v>38</v>
      </c>
      <c r="Z428" s="81">
        <v>0</v>
      </c>
      <c r="AA428" s="81"/>
      <c r="AB428" s="81">
        <v>0</v>
      </c>
      <c r="AC428" s="81"/>
      <c r="AD428" s="81">
        <v>0</v>
      </c>
      <c r="AE428" s="81" t="s">
        <v>153</v>
      </c>
      <c r="AF428" s="81" t="s">
        <v>39</v>
      </c>
      <c r="AG428" s="83">
        <v>33349.17</v>
      </c>
      <c r="AH428" s="95">
        <v>792566.67</v>
      </c>
      <c r="AI428" s="82" t="str">
        <f>CONCATENATE((TEXT(Tabela1[[#This Row],[Data entrega]],"mmmm")),"_",(YEAR(Tabela1[[#This Row],[Data entrega]])))</f>
        <v>setembro_2022</v>
      </c>
      <c r="AJ428" s="77">
        <f>IFERROR(IF(Tabela1[[#This Row],[Programa]]="",Tabela1[[#This Row],[Peso bruto]],VLOOKUP(Tabela1[[#This Row],[Pedido]],'Saldo a Produzir'!$A:$D,4,0)),"")</f>
        <v>33399.64</v>
      </c>
      <c r="AM428" s="73">
        <v>44734.394</v>
      </c>
    </row>
    <row r="429" spans="1:39" ht="14.5" x14ac:dyDescent="0.35">
      <c r="A429" s="81">
        <v>15057</v>
      </c>
      <c r="B429" s="81" t="s">
        <v>60</v>
      </c>
      <c r="C429" s="81">
        <v>88212113016014</v>
      </c>
      <c r="D429" s="81" t="s">
        <v>265</v>
      </c>
      <c r="E429" s="81" t="s">
        <v>174</v>
      </c>
      <c r="F429" s="81" t="s">
        <v>58</v>
      </c>
      <c r="G429" s="81">
        <v>24923</v>
      </c>
      <c r="H429" s="81" t="s">
        <v>93</v>
      </c>
      <c r="I429" s="81" t="s">
        <v>32</v>
      </c>
      <c r="J429" s="81" t="s">
        <v>33</v>
      </c>
      <c r="K429" s="81" t="s">
        <v>34</v>
      </c>
      <c r="L429" s="81" t="s">
        <v>472</v>
      </c>
      <c r="M429" s="81"/>
      <c r="N429" s="90">
        <v>44517</v>
      </c>
      <c r="O429" s="90">
        <v>44826</v>
      </c>
      <c r="P429" s="90">
        <v>44594</v>
      </c>
      <c r="Q429" s="90" t="s">
        <v>35</v>
      </c>
      <c r="R429" s="81">
        <v>0</v>
      </c>
      <c r="S429" s="90" t="s">
        <v>35</v>
      </c>
      <c r="T429" s="81">
        <v>0</v>
      </c>
      <c r="U429" s="81" t="s">
        <v>36</v>
      </c>
      <c r="V429" s="90" t="s">
        <v>35</v>
      </c>
      <c r="W429" s="81" t="s">
        <v>488</v>
      </c>
      <c r="X429" s="90">
        <v>44608</v>
      </c>
      <c r="Y429" s="81" t="s">
        <v>38</v>
      </c>
      <c r="Z429" s="81">
        <v>0</v>
      </c>
      <c r="AA429" s="81"/>
      <c r="AB429" s="81">
        <v>0</v>
      </c>
      <c r="AC429" s="81"/>
      <c r="AD429" s="81">
        <v>0</v>
      </c>
      <c r="AE429" s="81" t="s">
        <v>153</v>
      </c>
      <c r="AF429" s="81" t="s">
        <v>39</v>
      </c>
      <c r="AG429" s="83">
        <v>16230.510000000002</v>
      </c>
      <c r="AH429" s="95">
        <v>4683000</v>
      </c>
      <c r="AI429" s="82" t="str">
        <f>CONCATENATE((TEXT(Tabela1[[#This Row],[Data entrega]],"mmmm")),"_",(YEAR(Tabela1[[#This Row],[Data entrega]])))</f>
        <v>setembro_2022</v>
      </c>
      <c r="AJ429" s="77">
        <f>IFERROR(IF(Tabela1[[#This Row],[Programa]]="",Tabela1[[#This Row],[Peso bruto]],VLOOKUP(Tabela1[[#This Row],[Pedido]],'Saldo a Produzir'!$A:$D,4,0)),"")</f>
        <v>16217.25</v>
      </c>
      <c r="AM429" s="73">
        <v>113027.394</v>
      </c>
    </row>
    <row r="430" spans="1:39" ht="14.5" x14ac:dyDescent="0.35">
      <c r="A430" s="81">
        <v>15057</v>
      </c>
      <c r="B430" s="81" t="s">
        <v>60</v>
      </c>
      <c r="C430" s="81">
        <v>88212113016014</v>
      </c>
      <c r="D430" s="81" t="s">
        <v>265</v>
      </c>
      <c r="E430" s="81" t="s">
        <v>174</v>
      </c>
      <c r="F430" s="81" t="s">
        <v>58</v>
      </c>
      <c r="G430" s="81">
        <v>24924</v>
      </c>
      <c r="H430" s="81" t="s">
        <v>116</v>
      </c>
      <c r="I430" s="81" t="s">
        <v>32</v>
      </c>
      <c r="J430" s="81" t="s">
        <v>33</v>
      </c>
      <c r="K430" s="81" t="s">
        <v>34</v>
      </c>
      <c r="L430" s="81" t="s">
        <v>472</v>
      </c>
      <c r="M430" s="81"/>
      <c r="N430" s="90">
        <v>44517</v>
      </c>
      <c r="O430" s="90">
        <v>44826</v>
      </c>
      <c r="P430" s="90">
        <v>44594</v>
      </c>
      <c r="Q430" s="90" t="s">
        <v>35</v>
      </c>
      <c r="R430" s="81">
        <v>0</v>
      </c>
      <c r="S430" s="90" t="s">
        <v>35</v>
      </c>
      <c r="T430" s="81">
        <v>0</v>
      </c>
      <c r="U430" s="81" t="s">
        <v>36</v>
      </c>
      <c r="V430" s="90" t="s">
        <v>35</v>
      </c>
      <c r="W430" s="81" t="s">
        <v>498</v>
      </c>
      <c r="X430" s="90">
        <v>44609</v>
      </c>
      <c r="Y430" s="81" t="s">
        <v>38</v>
      </c>
      <c r="Z430" s="81">
        <v>0</v>
      </c>
      <c r="AA430" s="81"/>
      <c r="AB430" s="81">
        <v>0</v>
      </c>
      <c r="AC430" s="81"/>
      <c r="AD430" s="81">
        <v>0</v>
      </c>
      <c r="AE430" s="81" t="s">
        <v>153</v>
      </c>
      <c r="AF430" s="81" t="s">
        <v>39</v>
      </c>
      <c r="AG430" s="83">
        <v>3612.079999999999</v>
      </c>
      <c r="AH430" s="95">
        <v>201583.34</v>
      </c>
      <c r="AI430" s="82" t="str">
        <f>CONCATENATE((TEXT(Tabela1[[#This Row],[Data entrega]],"mmmm")),"_",(YEAR(Tabela1[[#This Row],[Data entrega]])))</f>
        <v>setembro_2022</v>
      </c>
      <c r="AJ430" s="77">
        <f>IFERROR(IF(Tabela1[[#This Row],[Programa]]="",Tabela1[[#This Row],[Peso bruto]],VLOOKUP(Tabela1[[#This Row],[Pedido]],'Saldo a Produzir'!$A:$D,4,0)),"")</f>
        <v>3612.079999999999</v>
      </c>
      <c r="AM430" s="73">
        <v>195238.1</v>
      </c>
    </row>
    <row r="431" spans="1:39" ht="14.5" x14ac:dyDescent="0.35">
      <c r="A431" s="81">
        <v>15057</v>
      </c>
      <c r="B431" s="81" t="s">
        <v>60</v>
      </c>
      <c r="C431" s="81">
        <v>88212113016014</v>
      </c>
      <c r="D431" s="81" t="s">
        <v>265</v>
      </c>
      <c r="E431" s="81" t="s">
        <v>174</v>
      </c>
      <c r="F431" s="81" t="s">
        <v>58</v>
      </c>
      <c r="G431" s="81">
        <v>24925</v>
      </c>
      <c r="H431" s="81" t="s">
        <v>134</v>
      </c>
      <c r="I431" s="81" t="s">
        <v>32</v>
      </c>
      <c r="J431" s="81" t="s">
        <v>33</v>
      </c>
      <c r="K431" s="81" t="s">
        <v>34</v>
      </c>
      <c r="L431" s="81" t="s">
        <v>472</v>
      </c>
      <c r="M431" s="81"/>
      <c r="N431" s="90">
        <v>44517</v>
      </c>
      <c r="O431" s="90">
        <v>44826</v>
      </c>
      <c r="P431" s="90">
        <v>44594</v>
      </c>
      <c r="Q431" s="90" t="s">
        <v>35</v>
      </c>
      <c r="R431" s="81">
        <v>0</v>
      </c>
      <c r="S431" s="90" t="s">
        <v>35</v>
      </c>
      <c r="T431" s="81">
        <v>0</v>
      </c>
      <c r="U431" s="81" t="s">
        <v>36</v>
      </c>
      <c r="V431" s="90" t="s">
        <v>35</v>
      </c>
      <c r="W431" s="81" t="s">
        <v>519</v>
      </c>
      <c r="X431" s="90">
        <v>44613</v>
      </c>
      <c r="Y431" s="81" t="s">
        <v>38</v>
      </c>
      <c r="Z431" s="81">
        <v>0</v>
      </c>
      <c r="AA431" s="81"/>
      <c r="AB431" s="81">
        <v>0</v>
      </c>
      <c r="AC431" s="81"/>
      <c r="AD431" s="81">
        <v>0</v>
      </c>
      <c r="AE431" s="81" t="s">
        <v>153</v>
      </c>
      <c r="AF431" s="81" t="s">
        <v>39</v>
      </c>
      <c r="AG431" s="83">
        <v>780.58999999999992</v>
      </c>
      <c r="AH431" s="95">
        <v>711933.33</v>
      </c>
      <c r="AI431" s="82" t="str">
        <f>CONCATENATE((TEXT(Tabela1[[#This Row],[Data entrega]],"mmmm")),"_",(YEAR(Tabela1[[#This Row],[Data entrega]])))</f>
        <v>setembro_2022</v>
      </c>
      <c r="AJ431" s="77">
        <f>IFERROR(IF(Tabela1[[#This Row],[Programa]]="",Tabela1[[#This Row],[Peso bruto]],VLOOKUP(Tabela1[[#This Row],[Pedido]],'Saldo a Produzir'!$A:$D,4,0)),"")</f>
        <v>780.58999999999992</v>
      </c>
      <c r="AM431" s="73">
        <v>11361.119000000001</v>
      </c>
    </row>
    <row r="432" spans="1:39" ht="14.5" x14ac:dyDescent="0.35">
      <c r="A432" s="81">
        <v>15079</v>
      </c>
      <c r="B432" s="81" t="s">
        <v>552</v>
      </c>
      <c r="C432" s="81">
        <v>7150233001191</v>
      </c>
      <c r="D432" s="81" t="s">
        <v>685</v>
      </c>
      <c r="E432" s="81" t="s">
        <v>686</v>
      </c>
      <c r="F432" s="81" t="s">
        <v>56</v>
      </c>
      <c r="G432" s="81">
        <v>25873</v>
      </c>
      <c r="H432" s="81" t="s">
        <v>125</v>
      </c>
      <c r="I432" s="81" t="s">
        <v>32</v>
      </c>
      <c r="J432" s="81" t="s">
        <v>33</v>
      </c>
      <c r="K432" s="81" t="s">
        <v>34</v>
      </c>
      <c r="L432" s="81" t="s">
        <v>744</v>
      </c>
      <c r="M432" s="81">
        <v>194168</v>
      </c>
      <c r="N432" s="90">
        <v>44651</v>
      </c>
      <c r="O432" s="90">
        <v>44827</v>
      </c>
      <c r="P432" s="90">
        <v>44663</v>
      </c>
      <c r="Q432" s="90" t="s">
        <v>35</v>
      </c>
      <c r="R432" s="81">
        <v>0</v>
      </c>
      <c r="S432" s="90" t="s">
        <v>35</v>
      </c>
      <c r="T432" s="81">
        <v>0</v>
      </c>
      <c r="U432" s="81" t="s">
        <v>36</v>
      </c>
      <c r="V432" s="90" t="s">
        <v>35</v>
      </c>
      <c r="W432" s="81"/>
      <c r="X432" s="90" t="s">
        <v>37</v>
      </c>
      <c r="Y432" s="81" t="s">
        <v>38</v>
      </c>
      <c r="Z432" s="81">
        <v>2203</v>
      </c>
      <c r="AA432" s="81" t="s">
        <v>147</v>
      </c>
      <c r="AB432" s="81">
        <v>0</v>
      </c>
      <c r="AC432" s="81"/>
      <c r="AD432" s="81">
        <v>0</v>
      </c>
      <c r="AE432" s="81"/>
      <c r="AF432" s="81" t="s">
        <v>39</v>
      </c>
      <c r="AG432" s="83">
        <v>0</v>
      </c>
      <c r="AH432" s="95">
        <v>49535</v>
      </c>
      <c r="AI432" s="82" t="str">
        <f>CONCATENATE((TEXT(Tabela1[[#This Row],[Data entrega]],"mmmm")),"_",(YEAR(Tabela1[[#This Row],[Data entrega]])))</f>
        <v>setembro_2022</v>
      </c>
      <c r="AJ432" s="77">
        <f>IFERROR(IF(Tabela1[[#This Row],[Programa]]="",Tabela1[[#This Row],[Peso bruto]],VLOOKUP(Tabela1[[#This Row],[Pedido]],'Saldo a Produzir'!$A:$D,4,0)),"")</f>
        <v>0</v>
      </c>
      <c r="AM432" s="73">
        <v>0</v>
      </c>
    </row>
    <row r="433" spans="1:39" ht="14.5" x14ac:dyDescent="0.35">
      <c r="A433" s="81">
        <v>15062</v>
      </c>
      <c r="B433" s="81" t="s">
        <v>50</v>
      </c>
      <c r="C433" s="81">
        <v>10915021000190</v>
      </c>
      <c r="D433" s="81" t="s">
        <v>688</v>
      </c>
      <c r="E433" s="81" t="s">
        <v>182</v>
      </c>
      <c r="F433" s="81" t="s">
        <v>51</v>
      </c>
      <c r="G433" s="81">
        <v>25807</v>
      </c>
      <c r="H433" s="81" t="s">
        <v>90</v>
      </c>
      <c r="I433" s="81" t="s">
        <v>32</v>
      </c>
      <c r="J433" s="81" t="s">
        <v>33</v>
      </c>
      <c r="K433" s="81" t="s">
        <v>34</v>
      </c>
      <c r="L433" s="81" t="s">
        <v>689</v>
      </c>
      <c r="M433" s="81"/>
      <c r="N433" s="90">
        <v>44651</v>
      </c>
      <c r="O433" s="90">
        <v>44827</v>
      </c>
      <c r="P433" s="90">
        <v>44677</v>
      </c>
      <c r="Q433" s="90" t="s">
        <v>35</v>
      </c>
      <c r="R433" s="81">
        <v>0</v>
      </c>
      <c r="S433" s="90" t="s">
        <v>35</v>
      </c>
      <c r="T433" s="81">
        <v>0</v>
      </c>
      <c r="U433" s="81" t="s">
        <v>36</v>
      </c>
      <c r="V433" s="90" t="s">
        <v>35</v>
      </c>
      <c r="W433" s="81" t="s">
        <v>876</v>
      </c>
      <c r="X433" s="90">
        <v>44684</v>
      </c>
      <c r="Y433" s="81" t="s">
        <v>38</v>
      </c>
      <c r="Z433" s="81">
        <v>0</v>
      </c>
      <c r="AA433" s="81"/>
      <c r="AB433" s="81">
        <v>0</v>
      </c>
      <c r="AC433" s="81"/>
      <c r="AD433" s="81">
        <v>0</v>
      </c>
      <c r="AE433" s="81"/>
      <c r="AF433" s="81" t="s">
        <v>39</v>
      </c>
      <c r="AG433" s="83">
        <v>6398.7300000000005</v>
      </c>
      <c r="AH433" s="95">
        <v>298554.21999999997</v>
      </c>
      <c r="AI433" s="82" t="str">
        <f>CONCATENATE((TEXT(Tabela1[[#This Row],[Data entrega]],"mmmm")),"_",(YEAR(Tabela1[[#This Row],[Data entrega]])))</f>
        <v>setembro_2022</v>
      </c>
      <c r="AJ433" s="77">
        <f>IFERROR(IF(Tabela1[[#This Row],[Programa]]="",Tabela1[[#This Row],[Peso bruto]],VLOOKUP(Tabela1[[#This Row],[Pedido]],'Saldo a Produzir'!$A:$D,4,0)),"")</f>
        <v>3058.67</v>
      </c>
      <c r="AM433" s="73">
        <v>15172.805</v>
      </c>
    </row>
    <row r="434" spans="1:39" ht="14.5" x14ac:dyDescent="0.35">
      <c r="A434" s="81">
        <v>15067</v>
      </c>
      <c r="B434" s="81" t="s">
        <v>59</v>
      </c>
      <c r="C434" s="81">
        <v>212675000366</v>
      </c>
      <c r="D434" s="81" t="s">
        <v>634</v>
      </c>
      <c r="E434" s="81" t="s">
        <v>57</v>
      </c>
      <c r="F434" s="81" t="s">
        <v>58</v>
      </c>
      <c r="G434" s="81">
        <v>25765</v>
      </c>
      <c r="H434" s="81" t="s">
        <v>414</v>
      </c>
      <c r="I434" s="81" t="s">
        <v>32</v>
      </c>
      <c r="J434" s="81" t="s">
        <v>33</v>
      </c>
      <c r="K434" s="81" t="s">
        <v>34</v>
      </c>
      <c r="L434" s="81" t="s">
        <v>635</v>
      </c>
      <c r="M434" s="81"/>
      <c r="N434" s="90">
        <v>44649</v>
      </c>
      <c r="O434" s="90">
        <v>44834</v>
      </c>
      <c r="P434" s="90">
        <v>44651</v>
      </c>
      <c r="Q434" s="90" t="s">
        <v>35</v>
      </c>
      <c r="R434" s="81">
        <v>0</v>
      </c>
      <c r="S434" s="90" t="s">
        <v>35</v>
      </c>
      <c r="T434" s="81">
        <v>0</v>
      </c>
      <c r="U434" s="81" t="s">
        <v>36</v>
      </c>
      <c r="V434" s="90" t="s">
        <v>35</v>
      </c>
      <c r="W434" s="81" t="s">
        <v>897</v>
      </c>
      <c r="X434" s="90">
        <v>44684</v>
      </c>
      <c r="Y434" s="81" t="s">
        <v>38</v>
      </c>
      <c r="Z434" s="81">
        <v>0</v>
      </c>
      <c r="AA434" s="81"/>
      <c r="AB434" s="81">
        <v>0</v>
      </c>
      <c r="AC434" s="81"/>
      <c r="AD434" s="81">
        <v>0</v>
      </c>
      <c r="AE434" s="81" t="s">
        <v>153</v>
      </c>
      <c r="AF434" s="81" t="s">
        <v>39</v>
      </c>
      <c r="AG434" s="83">
        <v>2549.9599999999996</v>
      </c>
      <c r="AH434" s="95">
        <v>91319.46</v>
      </c>
      <c r="AI434" s="82" t="str">
        <f>CONCATENATE((TEXT(Tabela1[[#This Row],[Data entrega]],"mmmm")),"_",(YEAR(Tabela1[[#This Row],[Data entrega]])))</f>
        <v>setembro_2022</v>
      </c>
      <c r="AJ434" s="77">
        <f>IFERROR(IF(Tabela1[[#This Row],[Programa]]="",Tabela1[[#This Row],[Peso bruto]],VLOOKUP(Tabela1[[#This Row],[Pedido]],'Saldo a Produzir'!$A:$D,4,0)),"")</f>
        <v>2015.19</v>
      </c>
      <c r="AM434" s="73">
        <v>2863.18</v>
      </c>
    </row>
    <row r="435" spans="1:39" ht="14.5" x14ac:dyDescent="0.35">
      <c r="A435" s="81">
        <v>15064</v>
      </c>
      <c r="B435" s="81" t="s">
        <v>67</v>
      </c>
      <c r="C435" s="81">
        <v>776574002523</v>
      </c>
      <c r="D435" s="81" t="s">
        <v>721</v>
      </c>
      <c r="E435" s="81" t="s">
        <v>724</v>
      </c>
      <c r="F435" s="81" t="s">
        <v>252</v>
      </c>
      <c r="G435" s="81">
        <v>26152</v>
      </c>
      <c r="H435" s="81" t="s">
        <v>88</v>
      </c>
      <c r="I435" s="81" t="s">
        <v>32</v>
      </c>
      <c r="J435" s="81" t="s">
        <v>33</v>
      </c>
      <c r="K435" s="81" t="s">
        <v>34</v>
      </c>
      <c r="L435" s="81" t="s">
        <v>1065</v>
      </c>
      <c r="M435" s="81" t="s">
        <v>1066</v>
      </c>
      <c r="N435" s="90">
        <v>44699</v>
      </c>
      <c r="O435" s="90">
        <v>44834</v>
      </c>
      <c r="P435" s="90">
        <v>44699</v>
      </c>
      <c r="Q435" s="90" t="s">
        <v>35</v>
      </c>
      <c r="R435" s="81">
        <v>0</v>
      </c>
      <c r="S435" s="90" t="s">
        <v>35</v>
      </c>
      <c r="T435" s="81">
        <v>0</v>
      </c>
      <c r="U435" s="81" t="s">
        <v>36</v>
      </c>
      <c r="V435" s="90" t="s">
        <v>35</v>
      </c>
      <c r="W435" s="81" t="s">
        <v>1162</v>
      </c>
      <c r="X435" s="90">
        <v>44708</v>
      </c>
      <c r="Y435" s="81" t="s">
        <v>38</v>
      </c>
      <c r="Z435" s="81">
        <v>879</v>
      </c>
      <c r="AA435" s="81" t="s">
        <v>45</v>
      </c>
      <c r="AB435" s="81">
        <v>0</v>
      </c>
      <c r="AC435" s="81"/>
      <c r="AD435" s="81">
        <v>0</v>
      </c>
      <c r="AE435" s="81" t="s">
        <v>153</v>
      </c>
      <c r="AF435" s="81" t="s">
        <v>39</v>
      </c>
      <c r="AG435" s="83">
        <v>308</v>
      </c>
      <c r="AH435" s="95">
        <v>1586142.33</v>
      </c>
      <c r="AI435" s="82" t="str">
        <f>CONCATENATE((TEXT(Tabela1[[#This Row],[Data entrega]],"mmmm")),"_",(YEAR(Tabela1[[#This Row],[Data entrega]])))</f>
        <v>setembro_2022</v>
      </c>
      <c r="AJ435" s="77">
        <f>IFERROR(IF(Tabela1[[#This Row],[Programa]]="",Tabela1[[#This Row],[Peso bruto]],VLOOKUP(Tabela1[[#This Row],[Pedido]],'Saldo a Produzir'!$A:$D,4,0)),"")</f>
        <v>308</v>
      </c>
      <c r="AM435" s="73">
        <v>137463.05799999999</v>
      </c>
    </row>
    <row r="436" spans="1:39" ht="14.5" x14ac:dyDescent="0.35">
      <c r="A436" s="81">
        <v>15064</v>
      </c>
      <c r="B436" s="81" t="s">
        <v>67</v>
      </c>
      <c r="C436" s="81">
        <v>776574002523</v>
      </c>
      <c r="D436" s="81" t="s">
        <v>721</v>
      </c>
      <c r="E436" s="81" t="s">
        <v>724</v>
      </c>
      <c r="F436" s="81" t="s">
        <v>252</v>
      </c>
      <c r="G436" s="81">
        <v>26153</v>
      </c>
      <c r="H436" s="81" t="s">
        <v>88</v>
      </c>
      <c r="I436" s="81" t="s">
        <v>32</v>
      </c>
      <c r="J436" s="81" t="s">
        <v>33</v>
      </c>
      <c r="K436" s="81" t="s">
        <v>34</v>
      </c>
      <c r="L436" s="81" t="s">
        <v>1065</v>
      </c>
      <c r="M436" s="81" t="s">
        <v>1066</v>
      </c>
      <c r="N436" s="90">
        <v>44699</v>
      </c>
      <c r="O436" s="90">
        <v>44834</v>
      </c>
      <c r="P436" s="90">
        <v>44699</v>
      </c>
      <c r="Q436" s="90" t="s">
        <v>35</v>
      </c>
      <c r="R436" s="81">
        <v>0</v>
      </c>
      <c r="S436" s="90" t="s">
        <v>35</v>
      </c>
      <c r="T436" s="81">
        <v>0</v>
      </c>
      <c r="U436" s="81" t="s">
        <v>36</v>
      </c>
      <c r="V436" s="90" t="s">
        <v>35</v>
      </c>
      <c r="W436" s="81" t="s">
        <v>1163</v>
      </c>
      <c r="X436" s="90">
        <v>44708</v>
      </c>
      <c r="Y436" s="81" t="s">
        <v>38</v>
      </c>
      <c r="Z436" s="81">
        <v>879</v>
      </c>
      <c r="AA436" s="81" t="s">
        <v>45</v>
      </c>
      <c r="AB436" s="81">
        <v>0</v>
      </c>
      <c r="AC436" s="81"/>
      <c r="AD436" s="81">
        <v>0</v>
      </c>
      <c r="AE436" s="81" t="s">
        <v>153</v>
      </c>
      <c r="AF436" s="81" t="s">
        <v>39</v>
      </c>
      <c r="AG436" s="83">
        <v>75198.7</v>
      </c>
      <c r="AH436" s="95">
        <v>562824.69999999995</v>
      </c>
      <c r="AI436" s="82" t="str">
        <f>CONCATENATE((TEXT(Tabela1[[#This Row],[Data entrega]],"mmmm")),"_",(YEAR(Tabela1[[#This Row],[Data entrega]])))</f>
        <v>setembro_2022</v>
      </c>
      <c r="AJ436" s="77">
        <f>IFERROR(IF(Tabela1[[#This Row],[Programa]]="",Tabela1[[#This Row],[Peso bruto]],VLOOKUP(Tabela1[[#This Row],[Pedido]],'Saldo a Produzir'!$A:$D,4,0)),"")</f>
        <v>73497.409999999989</v>
      </c>
      <c r="AM436" s="73">
        <v>75689.948999999993</v>
      </c>
    </row>
    <row r="437" spans="1:39" ht="14.5" x14ac:dyDescent="0.35">
      <c r="A437" s="81">
        <v>15064</v>
      </c>
      <c r="B437" s="81" t="s">
        <v>67</v>
      </c>
      <c r="C437" s="81">
        <v>776574002523</v>
      </c>
      <c r="D437" s="81" t="s">
        <v>721</v>
      </c>
      <c r="E437" s="81" t="s">
        <v>724</v>
      </c>
      <c r="F437" s="81" t="s">
        <v>252</v>
      </c>
      <c r="G437" s="81">
        <v>26154</v>
      </c>
      <c r="H437" s="81" t="s">
        <v>116</v>
      </c>
      <c r="I437" s="81" t="s">
        <v>32</v>
      </c>
      <c r="J437" s="81" t="s">
        <v>33</v>
      </c>
      <c r="K437" s="81" t="s">
        <v>34</v>
      </c>
      <c r="L437" s="81" t="s">
        <v>1065</v>
      </c>
      <c r="M437" s="81" t="s">
        <v>1066</v>
      </c>
      <c r="N437" s="90">
        <v>44699</v>
      </c>
      <c r="O437" s="90">
        <v>44834</v>
      </c>
      <c r="P437" s="90">
        <v>44699</v>
      </c>
      <c r="Q437" s="90" t="s">
        <v>35</v>
      </c>
      <c r="R437" s="81">
        <v>0</v>
      </c>
      <c r="S437" s="90" t="s">
        <v>35</v>
      </c>
      <c r="T437" s="81">
        <v>0</v>
      </c>
      <c r="U437" s="81" t="s">
        <v>36</v>
      </c>
      <c r="V437" s="90" t="s">
        <v>35</v>
      </c>
      <c r="W437" s="81"/>
      <c r="X437" s="90" t="s">
        <v>37</v>
      </c>
      <c r="Y437" s="81" t="s">
        <v>38</v>
      </c>
      <c r="Z437" s="81">
        <v>879</v>
      </c>
      <c r="AA437" s="81" t="s">
        <v>45</v>
      </c>
      <c r="AB437" s="81">
        <v>0</v>
      </c>
      <c r="AC437" s="81"/>
      <c r="AD437" s="81">
        <v>0</v>
      </c>
      <c r="AE437" s="81" t="s">
        <v>153</v>
      </c>
      <c r="AF437" s="81" t="s">
        <v>39</v>
      </c>
      <c r="AG437" s="83">
        <v>131145</v>
      </c>
      <c r="AH437" s="95">
        <v>1653400.07</v>
      </c>
      <c r="AI437" s="82" t="str">
        <f>CONCATENATE((TEXT(Tabela1[[#This Row],[Data entrega]],"mmmm")),"_",(YEAR(Tabela1[[#This Row],[Data entrega]])))</f>
        <v>setembro_2022</v>
      </c>
      <c r="AJ437" s="77">
        <f>IFERROR(IF(Tabela1[[#This Row],[Programa]]="",Tabela1[[#This Row],[Peso bruto]],VLOOKUP(Tabela1[[#This Row],[Pedido]],'Saldo a Produzir'!$A:$D,4,0)),"")</f>
        <v>131145</v>
      </c>
      <c r="AM437" s="73">
        <v>131145</v>
      </c>
    </row>
    <row r="438" spans="1:39" ht="14.5" x14ac:dyDescent="0.35">
      <c r="A438" s="81">
        <v>15064</v>
      </c>
      <c r="B438" s="81" t="s">
        <v>67</v>
      </c>
      <c r="C438" s="81">
        <v>776574002523</v>
      </c>
      <c r="D438" s="81" t="s">
        <v>721</v>
      </c>
      <c r="E438" s="81" t="s">
        <v>724</v>
      </c>
      <c r="F438" s="81" t="s">
        <v>252</v>
      </c>
      <c r="G438" s="81">
        <v>26155</v>
      </c>
      <c r="H438" s="81" t="s">
        <v>134</v>
      </c>
      <c r="I438" s="81" t="s">
        <v>32</v>
      </c>
      <c r="J438" s="81" t="s">
        <v>33</v>
      </c>
      <c r="K438" s="81" t="s">
        <v>34</v>
      </c>
      <c r="L438" s="81" t="s">
        <v>1065</v>
      </c>
      <c r="M438" s="81" t="s">
        <v>726</v>
      </c>
      <c r="N438" s="90">
        <v>44699</v>
      </c>
      <c r="O438" s="90">
        <v>44834</v>
      </c>
      <c r="P438" s="90">
        <v>44699</v>
      </c>
      <c r="Q438" s="90" t="s">
        <v>35</v>
      </c>
      <c r="R438" s="81">
        <v>0</v>
      </c>
      <c r="S438" s="90" t="s">
        <v>35</v>
      </c>
      <c r="T438" s="81">
        <v>0</v>
      </c>
      <c r="U438" s="81" t="s">
        <v>36</v>
      </c>
      <c r="V438" s="90" t="s">
        <v>35</v>
      </c>
      <c r="W438" s="81"/>
      <c r="X438" s="90" t="s">
        <v>37</v>
      </c>
      <c r="Y438" s="81" t="s">
        <v>38</v>
      </c>
      <c r="Z438" s="81">
        <v>879</v>
      </c>
      <c r="AA438" s="81" t="s">
        <v>45</v>
      </c>
      <c r="AB438" s="81">
        <v>0</v>
      </c>
      <c r="AC438" s="81"/>
      <c r="AD438" s="81">
        <v>0</v>
      </c>
      <c r="AE438" s="81" t="s">
        <v>153</v>
      </c>
      <c r="AF438" s="81" t="s">
        <v>39</v>
      </c>
      <c r="AG438" s="83">
        <v>20990</v>
      </c>
      <c r="AH438" s="95">
        <v>1151650.5</v>
      </c>
      <c r="AI438" s="82" t="str">
        <f>CONCATENATE((TEXT(Tabela1[[#This Row],[Data entrega]],"mmmm")),"_",(YEAR(Tabela1[[#This Row],[Data entrega]])))</f>
        <v>setembro_2022</v>
      </c>
      <c r="AJ438" s="77">
        <f>IFERROR(IF(Tabela1[[#This Row],[Programa]]="",Tabela1[[#This Row],[Peso bruto]],VLOOKUP(Tabela1[[#This Row],[Pedido]],'Saldo a Produzir'!$A:$D,4,0)),"")</f>
        <v>20990</v>
      </c>
      <c r="AM438" s="73">
        <v>20990</v>
      </c>
    </row>
    <row r="439" spans="1:39" ht="14.5" x14ac:dyDescent="0.35">
      <c r="A439" s="81">
        <v>15064</v>
      </c>
      <c r="B439" s="81" t="s">
        <v>67</v>
      </c>
      <c r="C439" s="81">
        <v>776574003171</v>
      </c>
      <c r="D439" s="81" t="s">
        <v>721</v>
      </c>
      <c r="E439" s="81" t="s">
        <v>340</v>
      </c>
      <c r="F439" s="81" t="s">
        <v>53</v>
      </c>
      <c r="G439" s="81">
        <v>26157</v>
      </c>
      <c r="H439" s="81" t="s">
        <v>88</v>
      </c>
      <c r="I439" s="81" t="s">
        <v>32</v>
      </c>
      <c r="J439" s="81" t="s">
        <v>33</v>
      </c>
      <c r="K439" s="81" t="s">
        <v>34</v>
      </c>
      <c r="L439" s="81" t="s">
        <v>1067</v>
      </c>
      <c r="M439" s="81" t="s">
        <v>1068</v>
      </c>
      <c r="N439" s="90">
        <v>44699</v>
      </c>
      <c r="O439" s="90">
        <v>44834</v>
      </c>
      <c r="P439" s="90">
        <v>44699</v>
      </c>
      <c r="Q439" s="90" t="s">
        <v>35</v>
      </c>
      <c r="R439" s="81">
        <v>0</v>
      </c>
      <c r="S439" s="90" t="s">
        <v>35</v>
      </c>
      <c r="T439" s="81">
        <v>0</v>
      </c>
      <c r="U439" s="81" t="s">
        <v>36</v>
      </c>
      <c r="V439" s="90" t="s">
        <v>35</v>
      </c>
      <c r="W439" s="81" t="s">
        <v>1164</v>
      </c>
      <c r="X439" s="90">
        <v>44708</v>
      </c>
      <c r="Y439" s="81" t="s">
        <v>38</v>
      </c>
      <c r="Z439" s="81">
        <v>879</v>
      </c>
      <c r="AA439" s="81" t="s">
        <v>45</v>
      </c>
      <c r="AB439" s="81">
        <v>0</v>
      </c>
      <c r="AC439" s="81"/>
      <c r="AD439" s="81">
        <v>0</v>
      </c>
      <c r="AE439" s="81" t="s">
        <v>153</v>
      </c>
      <c r="AF439" s="81" t="s">
        <v>39</v>
      </c>
      <c r="AG439" s="83">
        <v>308</v>
      </c>
      <c r="AH439" s="95">
        <v>1586142.33</v>
      </c>
      <c r="AI439" s="82" t="str">
        <f>CONCATENATE((TEXT(Tabela1[[#This Row],[Data entrega]],"mmmm")),"_",(YEAR(Tabela1[[#This Row],[Data entrega]])))</f>
        <v>setembro_2022</v>
      </c>
      <c r="AJ439" s="77">
        <f>IFERROR(IF(Tabela1[[#This Row],[Programa]]="",Tabela1[[#This Row],[Peso bruto]],VLOOKUP(Tabela1[[#This Row],[Pedido]],'Saldo a Produzir'!$A:$D,4,0)),"")</f>
        <v>308</v>
      </c>
      <c r="AM439" s="73">
        <v>137463.05799999999</v>
      </c>
    </row>
    <row r="440" spans="1:39" ht="14.5" x14ac:dyDescent="0.35">
      <c r="A440" s="81">
        <v>15064</v>
      </c>
      <c r="B440" s="81" t="s">
        <v>67</v>
      </c>
      <c r="C440" s="81">
        <v>776574003171</v>
      </c>
      <c r="D440" s="81" t="s">
        <v>721</v>
      </c>
      <c r="E440" s="81" t="s">
        <v>340</v>
      </c>
      <c r="F440" s="81" t="s">
        <v>53</v>
      </c>
      <c r="G440" s="81">
        <v>26158</v>
      </c>
      <c r="H440" s="81" t="s">
        <v>88</v>
      </c>
      <c r="I440" s="81" t="s">
        <v>32</v>
      </c>
      <c r="J440" s="81" t="s">
        <v>33</v>
      </c>
      <c r="K440" s="81" t="s">
        <v>34</v>
      </c>
      <c r="L440" s="81" t="s">
        <v>1067</v>
      </c>
      <c r="M440" s="81" t="s">
        <v>1068</v>
      </c>
      <c r="N440" s="90">
        <v>44699</v>
      </c>
      <c r="O440" s="90">
        <v>44834</v>
      </c>
      <c r="P440" s="90">
        <v>44699</v>
      </c>
      <c r="Q440" s="90" t="s">
        <v>35</v>
      </c>
      <c r="R440" s="81">
        <v>0</v>
      </c>
      <c r="S440" s="90" t="s">
        <v>35</v>
      </c>
      <c r="T440" s="81">
        <v>0</v>
      </c>
      <c r="U440" s="81" t="s">
        <v>36</v>
      </c>
      <c r="V440" s="90" t="s">
        <v>35</v>
      </c>
      <c r="W440" s="81" t="s">
        <v>1165</v>
      </c>
      <c r="X440" s="90">
        <v>44708</v>
      </c>
      <c r="Y440" s="81" t="s">
        <v>38</v>
      </c>
      <c r="Z440" s="81">
        <v>879</v>
      </c>
      <c r="AA440" s="81" t="s">
        <v>45</v>
      </c>
      <c r="AB440" s="81">
        <v>0</v>
      </c>
      <c r="AC440" s="81"/>
      <c r="AD440" s="81">
        <v>0</v>
      </c>
      <c r="AE440" s="81" t="s">
        <v>153</v>
      </c>
      <c r="AF440" s="81" t="s">
        <v>39</v>
      </c>
      <c r="AG440" s="83">
        <v>75198.7</v>
      </c>
      <c r="AH440" s="95">
        <v>562824.69999999995</v>
      </c>
      <c r="AI440" s="82" t="str">
        <f>CONCATENATE((TEXT(Tabela1[[#This Row],[Data entrega]],"mmmm")),"_",(YEAR(Tabela1[[#This Row],[Data entrega]])))</f>
        <v>setembro_2022</v>
      </c>
      <c r="AJ440" s="77">
        <f>IFERROR(IF(Tabela1[[#This Row],[Programa]]="",Tabela1[[#This Row],[Peso bruto]],VLOOKUP(Tabela1[[#This Row],[Pedido]],'Saldo a Produzir'!$A:$D,4,0)),"")</f>
        <v>75198.7</v>
      </c>
      <c r="AM440" s="73">
        <v>75689.948999999993</v>
      </c>
    </row>
    <row r="441" spans="1:39" ht="14.5" x14ac:dyDescent="0.35">
      <c r="A441" s="81">
        <v>15064</v>
      </c>
      <c r="B441" s="81" t="s">
        <v>67</v>
      </c>
      <c r="C441" s="81">
        <v>776574003171</v>
      </c>
      <c r="D441" s="81" t="s">
        <v>721</v>
      </c>
      <c r="E441" s="81" t="s">
        <v>340</v>
      </c>
      <c r="F441" s="81" t="s">
        <v>53</v>
      </c>
      <c r="G441" s="81">
        <v>26159</v>
      </c>
      <c r="H441" s="81" t="s">
        <v>116</v>
      </c>
      <c r="I441" s="81" t="s">
        <v>32</v>
      </c>
      <c r="J441" s="81" t="s">
        <v>33</v>
      </c>
      <c r="K441" s="81" t="s">
        <v>34</v>
      </c>
      <c r="L441" s="81" t="s">
        <v>1067</v>
      </c>
      <c r="M441" s="81" t="s">
        <v>1068</v>
      </c>
      <c r="N441" s="90">
        <v>44699</v>
      </c>
      <c r="O441" s="90">
        <v>44834</v>
      </c>
      <c r="P441" s="90">
        <v>44699</v>
      </c>
      <c r="Q441" s="90" t="s">
        <v>35</v>
      </c>
      <c r="R441" s="81">
        <v>0</v>
      </c>
      <c r="S441" s="90" t="s">
        <v>35</v>
      </c>
      <c r="T441" s="81">
        <v>0</v>
      </c>
      <c r="U441" s="81" t="s">
        <v>36</v>
      </c>
      <c r="V441" s="90" t="s">
        <v>35</v>
      </c>
      <c r="W441" s="81"/>
      <c r="X441" s="90" t="s">
        <v>37</v>
      </c>
      <c r="Y441" s="81" t="s">
        <v>38</v>
      </c>
      <c r="Z441" s="81">
        <v>879</v>
      </c>
      <c r="AA441" s="81" t="s">
        <v>45</v>
      </c>
      <c r="AB441" s="81">
        <v>0</v>
      </c>
      <c r="AC441" s="81"/>
      <c r="AD441" s="81">
        <v>0</v>
      </c>
      <c r="AE441" s="81" t="s">
        <v>153</v>
      </c>
      <c r="AF441" s="81" t="s">
        <v>39</v>
      </c>
      <c r="AG441" s="83">
        <v>131145</v>
      </c>
      <c r="AH441" s="95">
        <v>1653400.07</v>
      </c>
      <c r="AI441" s="82" t="str">
        <f>CONCATENATE((TEXT(Tabela1[[#This Row],[Data entrega]],"mmmm")),"_",(YEAR(Tabela1[[#This Row],[Data entrega]])))</f>
        <v>setembro_2022</v>
      </c>
      <c r="AJ441" s="77">
        <f>IFERROR(IF(Tabela1[[#This Row],[Programa]]="",Tabela1[[#This Row],[Peso bruto]],VLOOKUP(Tabela1[[#This Row],[Pedido]],'Saldo a Produzir'!$A:$D,4,0)),"")</f>
        <v>131145</v>
      </c>
      <c r="AM441" s="73">
        <v>131145</v>
      </c>
    </row>
    <row r="442" spans="1:39" ht="14.5" x14ac:dyDescent="0.35">
      <c r="A442" s="81">
        <v>15064</v>
      </c>
      <c r="B442" s="81" t="s">
        <v>67</v>
      </c>
      <c r="C442" s="81">
        <v>776574003171</v>
      </c>
      <c r="D442" s="81" t="s">
        <v>721</v>
      </c>
      <c r="E442" s="81" t="s">
        <v>340</v>
      </c>
      <c r="F442" s="81" t="s">
        <v>53</v>
      </c>
      <c r="G442" s="81">
        <v>26160</v>
      </c>
      <c r="H442" s="81" t="s">
        <v>134</v>
      </c>
      <c r="I442" s="81" t="s">
        <v>32</v>
      </c>
      <c r="J442" s="81" t="s">
        <v>33</v>
      </c>
      <c r="K442" s="81" t="s">
        <v>34</v>
      </c>
      <c r="L442" s="81" t="s">
        <v>1067</v>
      </c>
      <c r="M442" s="81" t="s">
        <v>1068</v>
      </c>
      <c r="N442" s="90">
        <v>44699</v>
      </c>
      <c r="O442" s="90">
        <v>44834</v>
      </c>
      <c r="P442" s="90">
        <v>44699</v>
      </c>
      <c r="Q442" s="90" t="s">
        <v>35</v>
      </c>
      <c r="R442" s="81">
        <v>0</v>
      </c>
      <c r="S442" s="90" t="s">
        <v>35</v>
      </c>
      <c r="T442" s="81">
        <v>0</v>
      </c>
      <c r="U442" s="81" t="s">
        <v>36</v>
      </c>
      <c r="V442" s="90" t="s">
        <v>35</v>
      </c>
      <c r="W442" s="81"/>
      <c r="X442" s="90" t="s">
        <v>37</v>
      </c>
      <c r="Y442" s="81" t="s">
        <v>38</v>
      </c>
      <c r="Z442" s="81">
        <v>879</v>
      </c>
      <c r="AA442" s="81" t="s">
        <v>45</v>
      </c>
      <c r="AB442" s="81">
        <v>0</v>
      </c>
      <c r="AC442" s="81"/>
      <c r="AD442" s="81">
        <v>0</v>
      </c>
      <c r="AE442" s="81" t="s">
        <v>153</v>
      </c>
      <c r="AF442" s="81" t="s">
        <v>39</v>
      </c>
      <c r="AG442" s="83">
        <v>20990</v>
      </c>
      <c r="AH442" s="95">
        <v>1151650.5</v>
      </c>
      <c r="AI442" s="82" t="str">
        <f>CONCATENATE((TEXT(Tabela1[[#This Row],[Data entrega]],"mmmm")),"_",(YEAR(Tabela1[[#This Row],[Data entrega]])))</f>
        <v>setembro_2022</v>
      </c>
      <c r="AJ442" s="77">
        <f>IFERROR(IF(Tabela1[[#This Row],[Programa]]="",Tabela1[[#This Row],[Peso bruto]],VLOOKUP(Tabela1[[#This Row],[Pedido]],'Saldo a Produzir'!$A:$D,4,0)),"")</f>
        <v>20990</v>
      </c>
      <c r="AM442" s="73">
        <v>20990</v>
      </c>
    </row>
    <row r="443" spans="1:39" ht="14.5" x14ac:dyDescent="0.35">
      <c r="A443" s="81">
        <v>15059</v>
      </c>
      <c r="B443" s="81" t="s">
        <v>63</v>
      </c>
      <c r="C443" s="81">
        <v>15644558000187</v>
      </c>
      <c r="D443" s="81" t="s">
        <v>276</v>
      </c>
      <c r="E443" s="81" t="s">
        <v>185</v>
      </c>
      <c r="F443" s="81" t="s">
        <v>64</v>
      </c>
      <c r="G443" s="81">
        <v>25003</v>
      </c>
      <c r="H443" s="81" t="s">
        <v>89</v>
      </c>
      <c r="I443" s="81" t="s">
        <v>32</v>
      </c>
      <c r="J443" s="81" t="s">
        <v>33</v>
      </c>
      <c r="K443" s="81" t="s">
        <v>34</v>
      </c>
      <c r="L443" s="81" t="s">
        <v>407</v>
      </c>
      <c r="M443" s="81"/>
      <c r="N443" s="90">
        <v>44526</v>
      </c>
      <c r="O443" s="90">
        <v>44834</v>
      </c>
      <c r="P443" s="90">
        <v>44551</v>
      </c>
      <c r="Q443" s="90" t="s">
        <v>35</v>
      </c>
      <c r="R443" s="81">
        <v>0</v>
      </c>
      <c r="S443" s="90" t="s">
        <v>35</v>
      </c>
      <c r="T443" s="81">
        <v>0</v>
      </c>
      <c r="U443" s="81" t="s">
        <v>36</v>
      </c>
      <c r="V443" s="90" t="s">
        <v>35</v>
      </c>
      <c r="W443" s="81" t="s">
        <v>516</v>
      </c>
      <c r="X443" s="90">
        <v>44603</v>
      </c>
      <c r="Y443" s="81" t="s">
        <v>38</v>
      </c>
      <c r="Z443" s="81">
        <v>0</v>
      </c>
      <c r="AA443" s="81"/>
      <c r="AB443" s="81">
        <v>0</v>
      </c>
      <c r="AC443" s="81"/>
      <c r="AD443" s="81">
        <v>0</v>
      </c>
      <c r="AE443" s="81" t="s">
        <v>153</v>
      </c>
      <c r="AF443" s="81" t="s">
        <v>39</v>
      </c>
      <c r="AG443" s="83">
        <v>548.08000000000004</v>
      </c>
      <c r="AH443" s="95">
        <v>285000</v>
      </c>
      <c r="AI443" s="82" t="str">
        <f>CONCATENATE((TEXT(Tabela1[[#This Row],[Data entrega]],"mmmm")),"_",(YEAR(Tabela1[[#This Row],[Data entrega]])))</f>
        <v>setembro_2022</v>
      </c>
      <c r="AJ443" s="77">
        <f>IFERROR(IF(Tabela1[[#This Row],[Programa]]="",Tabela1[[#This Row],[Peso bruto]],VLOOKUP(Tabela1[[#This Row],[Pedido]],'Saldo a Produzir'!$A:$D,4,0)),"")</f>
        <v>586.08000000000004</v>
      </c>
      <c r="AM443" s="73">
        <v>8338.9490000000005</v>
      </c>
    </row>
    <row r="444" spans="1:39" ht="14.5" x14ac:dyDescent="0.35">
      <c r="A444" s="81">
        <v>15057</v>
      </c>
      <c r="B444" s="81" t="s">
        <v>60</v>
      </c>
      <c r="C444" s="81">
        <v>1257995002268</v>
      </c>
      <c r="D444" s="81" t="s">
        <v>1212</v>
      </c>
      <c r="E444" s="81" t="s">
        <v>174</v>
      </c>
      <c r="F444" s="81" t="s">
        <v>58</v>
      </c>
      <c r="G444" s="81">
        <v>26256</v>
      </c>
      <c r="H444" s="81" t="s">
        <v>90</v>
      </c>
      <c r="I444" s="81" t="s">
        <v>32</v>
      </c>
      <c r="J444" s="81" t="s">
        <v>33</v>
      </c>
      <c r="K444" s="81" t="s">
        <v>34</v>
      </c>
      <c r="L444" s="81" t="s">
        <v>1213</v>
      </c>
      <c r="M444" s="81" t="s">
        <v>1214</v>
      </c>
      <c r="N444" s="90">
        <v>44711</v>
      </c>
      <c r="O444" s="90">
        <v>44834</v>
      </c>
      <c r="P444" s="90">
        <v>44718</v>
      </c>
      <c r="Q444" s="90" t="s">
        <v>35</v>
      </c>
      <c r="R444" s="81">
        <v>0</v>
      </c>
      <c r="S444" s="90" t="s">
        <v>35</v>
      </c>
      <c r="T444" s="81">
        <v>0</v>
      </c>
      <c r="U444" s="81" t="s">
        <v>36</v>
      </c>
      <c r="V444" s="90" t="s">
        <v>35</v>
      </c>
      <c r="W444" s="81"/>
      <c r="X444" s="90" t="s">
        <v>37</v>
      </c>
      <c r="Y444" s="81" t="s">
        <v>38</v>
      </c>
      <c r="Z444" s="81">
        <v>2257</v>
      </c>
      <c r="AA444" s="81" t="s">
        <v>155</v>
      </c>
      <c r="AB444" s="81">
        <v>0</v>
      </c>
      <c r="AC444" s="81"/>
      <c r="AD444" s="81">
        <v>0</v>
      </c>
      <c r="AE444" s="81" t="s">
        <v>153</v>
      </c>
      <c r="AF444" s="81" t="s">
        <v>39</v>
      </c>
      <c r="AG444" s="83">
        <v>1440</v>
      </c>
      <c r="AH444" s="95">
        <v>52022.42</v>
      </c>
      <c r="AI444" s="82" t="str">
        <f>CONCATENATE((TEXT(Tabela1[[#This Row],[Data entrega]],"mmmm")),"_",(YEAR(Tabela1[[#This Row],[Data entrega]])))</f>
        <v>setembro_2022</v>
      </c>
      <c r="AJ444" s="77">
        <f>IFERROR(IF(Tabela1[[#This Row],[Programa]]="",Tabela1[[#This Row],[Peso bruto]],VLOOKUP(Tabela1[[#This Row],[Pedido]],'Saldo a Produzir'!$A:$D,4,0)),"")</f>
        <v>1440</v>
      </c>
      <c r="AM444" s="73">
        <v>1440</v>
      </c>
    </row>
    <row r="445" spans="1:39" ht="14.5" x14ac:dyDescent="0.35">
      <c r="A445" s="81">
        <v>15067</v>
      </c>
      <c r="B445" s="81" t="s">
        <v>59</v>
      </c>
      <c r="C445" s="81">
        <v>4229761001142</v>
      </c>
      <c r="D445" s="81" t="s">
        <v>788</v>
      </c>
      <c r="E445" s="81" t="s">
        <v>331</v>
      </c>
      <c r="F445" s="81" t="s">
        <v>58</v>
      </c>
      <c r="G445" s="81">
        <v>25935</v>
      </c>
      <c r="H445" s="81" t="s">
        <v>91</v>
      </c>
      <c r="I445" s="81" t="s">
        <v>32</v>
      </c>
      <c r="J445" s="81" t="s">
        <v>33</v>
      </c>
      <c r="K445" s="81" t="s">
        <v>34</v>
      </c>
      <c r="L445" s="81" t="s">
        <v>1021</v>
      </c>
      <c r="M445" s="81"/>
      <c r="N445" s="90">
        <v>44670</v>
      </c>
      <c r="O445" s="90">
        <v>44834</v>
      </c>
      <c r="P445" s="90">
        <v>44701</v>
      </c>
      <c r="Q445" s="90" t="s">
        <v>35</v>
      </c>
      <c r="R445" s="81">
        <v>0</v>
      </c>
      <c r="S445" s="90" t="s">
        <v>35</v>
      </c>
      <c r="T445" s="81">
        <v>0</v>
      </c>
      <c r="U445" s="81" t="s">
        <v>36</v>
      </c>
      <c r="V445" s="90" t="s">
        <v>35</v>
      </c>
      <c r="W445" s="81" t="s">
        <v>931</v>
      </c>
      <c r="X445" s="90">
        <v>44690</v>
      </c>
      <c r="Y445" s="81" t="s">
        <v>38</v>
      </c>
      <c r="Z445" s="81">
        <v>2257</v>
      </c>
      <c r="AA445" s="81" t="s">
        <v>155</v>
      </c>
      <c r="AB445" s="81">
        <v>0</v>
      </c>
      <c r="AC445" s="81"/>
      <c r="AD445" s="81">
        <v>0</v>
      </c>
      <c r="AE445" s="81" t="s">
        <v>153</v>
      </c>
      <c r="AF445" s="81" t="s">
        <v>39</v>
      </c>
      <c r="AG445" s="83">
        <v>10152.57</v>
      </c>
      <c r="AH445" s="95">
        <v>387025.78</v>
      </c>
      <c r="AI445" s="82" t="str">
        <f>CONCATENATE((TEXT(Tabela1[[#This Row],[Data entrega]],"mmmm")),"_",(YEAR(Tabela1[[#This Row],[Data entrega]])))</f>
        <v>setembro_2022</v>
      </c>
      <c r="AJ445" s="77">
        <f>IFERROR(IF(Tabela1[[#This Row],[Programa]]="",Tabela1[[#This Row],[Peso bruto]],VLOOKUP(Tabela1[[#This Row],[Pedido]],'Saldo a Produzir'!$A:$D,4,0)),"")</f>
        <v>10152.57</v>
      </c>
      <c r="AM445" s="73">
        <v>11156.66</v>
      </c>
    </row>
    <row r="446" spans="1:39" ht="14.5" x14ac:dyDescent="0.35">
      <c r="A446" s="81">
        <v>15057</v>
      </c>
      <c r="B446" s="81" t="s">
        <v>60</v>
      </c>
      <c r="C446" s="81">
        <v>1838723024816</v>
      </c>
      <c r="D446" s="81" t="s">
        <v>41</v>
      </c>
      <c r="E446" s="81" t="s">
        <v>326</v>
      </c>
      <c r="F446" s="81" t="s">
        <v>58</v>
      </c>
      <c r="G446" s="81">
        <v>25933</v>
      </c>
      <c r="H446" s="81" t="s">
        <v>91</v>
      </c>
      <c r="I446" s="81" t="s">
        <v>32</v>
      </c>
      <c r="J446" s="81" t="s">
        <v>33</v>
      </c>
      <c r="K446" s="81" t="s">
        <v>34</v>
      </c>
      <c r="L446" s="81" t="s">
        <v>789</v>
      </c>
      <c r="M446" s="81">
        <v>105328656</v>
      </c>
      <c r="N446" s="90">
        <v>44670</v>
      </c>
      <c r="O446" s="90">
        <v>44841</v>
      </c>
      <c r="P446" s="90">
        <v>44670</v>
      </c>
      <c r="Q446" s="90" t="s">
        <v>35</v>
      </c>
      <c r="R446" s="81">
        <v>0</v>
      </c>
      <c r="S446" s="90" t="s">
        <v>35</v>
      </c>
      <c r="T446" s="81">
        <v>0</v>
      </c>
      <c r="U446" s="81" t="s">
        <v>36</v>
      </c>
      <c r="V446" s="90" t="s">
        <v>35</v>
      </c>
      <c r="W446" s="81"/>
      <c r="X446" s="90" t="s">
        <v>37</v>
      </c>
      <c r="Y446" s="81" t="s">
        <v>38</v>
      </c>
      <c r="Z446" s="81">
        <v>575</v>
      </c>
      <c r="AA446" s="81" t="s">
        <v>127</v>
      </c>
      <c r="AB446" s="81">
        <v>0</v>
      </c>
      <c r="AC446" s="81"/>
      <c r="AD446" s="81">
        <v>0</v>
      </c>
      <c r="AE446" s="81" t="s">
        <v>153</v>
      </c>
      <c r="AF446" s="81" t="s">
        <v>39</v>
      </c>
      <c r="AG446" s="83">
        <v>1355</v>
      </c>
      <c r="AH446" s="95">
        <v>44285.55</v>
      </c>
      <c r="AI446" s="82" t="str">
        <f>CONCATENATE((TEXT(Tabela1[[#This Row],[Data entrega]],"mmmm")),"_",(YEAR(Tabela1[[#This Row],[Data entrega]])))</f>
        <v>outubro_2022</v>
      </c>
      <c r="AJ446" s="77">
        <f>IFERROR(IF(Tabela1[[#This Row],[Programa]]="",Tabela1[[#This Row],[Peso bruto]],VLOOKUP(Tabela1[[#This Row],[Pedido]],'Saldo a Produzir'!$A:$D,4,0)),"")</f>
        <v>1355</v>
      </c>
      <c r="AM446" s="73">
        <v>1355</v>
      </c>
    </row>
    <row r="447" spans="1:39" ht="14.5" x14ac:dyDescent="0.35">
      <c r="A447" s="81">
        <v>15074</v>
      </c>
      <c r="B447" s="81" t="s">
        <v>161</v>
      </c>
      <c r="C447" s="81">
        <v>61156113000175</v>
      </c>
      <c r="D447" s="81" t="s">
        <v>653</v>
      </c>
      <c r="E447" s="81" t="s">
        <v>654</v>
      </c>
      <c r="F447" s="81" t="s">
        <v>44</v>
      </c>
      <c r="G447" s="81">
        <v>25745</v>
      </c>
      <c r="H447" s="81" t="s">
        <v>124</v>
      </c>
      <c r="I447" s="81" t="s">
        <v>32</v>
      </c>
      <c r="J447" s="81" t="s">
        <v>33</v>
      </c>
      <c r="K447" s="81" t="s">
        <v>34</v>
      </c>
      <c r="L447" s="81" t="s">
        <v>655</v>
      </c>
      <c r="M447" s="81">
        <v>4500133681</v>
      </c>
      <c r="N447" s="90">
        <v>44648</v>
      </c>
      <c r="O447" s="90">
        <v>44841</v>
      </c>
      <c r="P447" s="90">
        <v>44658</v>
      </c>
      <c r="Q447" s="90" t="s">
        <v>35</v>
      </c>
      <c r="R447" s="81">
        <v>0</v>
      </c>
      <c r="S447" s="90" t="s">
        <v>35</v>
      </c>
      <c r="T447" s="81">
        <v>0</v>
      </c>
      <c r="U447" s="81" t="s">
        <v>36</v>
      </c>
      <c r="V447" s="90" t="s">
        <v>35</v>
      </c>
      <c r="W447" s="81" t="s">
        <v>897</v>
      </c>
      <c r="X447" s="90">
        <v>44684</v>
      </c>
      <c r="Y447" s="81" t="s">
        <v>38</v>
      </c>
      <c r="Z447" s="81">
        <v>0</v>
      </c>
      <c r="AA447" s="81"/>
      <c r="AB447" s="81">
        <v>0</v>
      </c>
      <c r="AC447" s="81"/>
      <c r="AD447" s="81">
        <v>0</v>
      </c>
      <c r="AE447" s="81" t="s">
        <v>153</v>
      </c>
      <c r="AF447" s="81" t="s">
        <v>39</v>
      </c>
      <c r="AG447" s="83">
        <v>274.11</v>
      </c>
      <c r="AH447" s="95">
        <v>92213</v>
      </c>
      <c r="AI447" s="82" t="str">
        <f>CONCATENATE((TEXT(Tabela1[[#This Row],[Data entrega]],"mmmm")),"_",(YEAR(Tabela1[[#This Row],[Data entrega]])))</f>
        <v>outubro_2022</v>
      </c>
      <c r="AJ447" s="77">
        <f>IFERROR(IF(Tabela1[[#This Row],[Programa]]="",Tabela1[[#This Row],[Peso bruto]],VLOOKUP(Tabela1[[#This Row],[Pedido]],'Saldo a Produzir'!$A:$D,4,0)),"")</f>
        <v>244.8</v>
      </c>
      <c r="AM447" s="73">
        <v>984</v>
      </c>
    </row>
    <row r="448" spans="1:39" ht="14.5" x14ac:dyDescent="0.35">
      <c r="A448" s="81">
        <v>15055</v>
      </c>
      <c r="B448" s="81" t="s">
        <v>61</v>
      </c>
      <c r="C448" s="81">
        <v>2036483000614</v>
      </c>
      <c r="D448" s="81" t="s">
        <v>589</v>
      </c>
      <c r="E448" s="81" t="s">
        <v>133</v>
      </c>
      <c r="F448" s="81" t="s">
        <v>53</v>
      </c>
      <c r="G448" s="81">
        <v>25673</v>
      </c>
      <c r="H448" s="81" t="s">
        <v>91</v>
      </c>
      <c r="I448" s="81" t="s">
        <v>32</v>
      </c>
      <c r="J448" s="81" t="s">
        <v>33</v>
      </c>
      <c r="K448" s="81" t="s">
        <v>34</v>
      </c>
      <c r="L448" s="81" t="s">
        <v>590</v>
      </c>
      <c r="M448" s="81">
        <v>4501528067</v>
      </c>
      <c r="N448" s="90">
        <v>44638</v>
      </c>
      <c r="O448" s="90">
        <v>44848</v>
      </c>
      <c r="P448" s="90">
        <v>44641</v>
      </c>
      <c r="Q448" s="90" t="s">
        <v>35</v>
      </c>
      <c r="R448" s="81">
        <v>0</v>
      </c>
      <c r="S448" s="90" t="s">
        <v>35</v>
      </c>
      <c r="T448" s="81">
        <v>0</v>
      </c>
      <c r="U448" s="81" t="s">
        <v>36</v>
      </c>
      <c r="V448" s="90" t="s">
        <v>35</v>
      </c>
      <c r="W448" s="81" t="s">
        <v>673</v>
      </c>
      <c r="X448" s="90">
        <v>44651</v>
      </c>
      <c r="Y448" s="81" t="s">
        <v>38</v>
      </c>
      <c r="Z448" s="81">
        <v>13</v>
      </c>
      <c r="AA448" s="81" t="s">
        <v>149</v>
      </c>
      <c r="AB448" s="81">
        <v>0</v>
      </c>
      <c r="AC448" s="81"/>
      <c r="AD448" s="81">
        <v>0</v>
      </c>
      <c r="AE448" s="81" t="s">
        <v>153</v>
      </c>
      <c r="AF448" s="81" t="s">
        <v>39</v>
      </c>
      <c r="AG448" s="83">
        <v>1219.1100000000001</v>
      </c>
      <c r="AH448" s="95">
        <v>78653.789999999994</v>
      </c>
      <c r="AI448" s="82" t="str">
        <f>CONCATENATE((TEXT(Tabela1[[#This Row],[Data entrega]],"mmmm")),"_",(YEAR(Tabela1[[#This Row],[Data entrega]])))</f>
        <v>outubro_2022</v>
      </c>
      <c r="AJ448" s="77">
        <f>IFERROR(IF(Tabela1[[#This Row],[Programa]]="",Tabela1[[#This Row],[Peso bruto]],VLOOKUP(Tabela1[[#This Row],[Pedido]],'Saldo a Produzir'!$A:$D,4,0)),"")</f>
        <v>122.03</v>
      </c>
      <c r="AM448" s="73">
        <v>2482.7069999999999</v>
      </c>
    </row>
    <row r="449" spans="1:39" ht="14.5" x14ac:dyDescent="0.35">
      <c r="A449" s="81">
        <v>15055</v>
      </c>
      <c r="B449" s="81" t="s">
        <v>61</v>
      </c>
      <c r="C449" s="81">
        <v>2036483000614</v>
      </c>
      <c r="D449" s="81" t="s">
        <v>589</v>
      </c>
      <c r="E449" s="81" t="s">
        <v>133</v>
      </c>
      <c r="F449" s="81" t="s">
        <v>53</v>
      </c>
      <c r="G449" s="81">
        <v>25674</v>
      </c>
      <c r="H449" s="81" t="s">
        <v>91</v>
      </c>
      <c r="I449" s="81" t="s">
        <v>32</v>
      </c>
      <c r="J449" s="81" t="s">
        <v>33</v>
      </c>
      <c r="K449" s="81" t="s">
        <v>34</v>
      </c>
      <c r="L449" s="81" t="s">
        <v>592</v>
      </c>
      <c r="M449" s="81">
        <v>4501528067</v>
      </c>
      <c r="N449" s="90">
        <v>44638</v>
      </c>
      <c r="O449" s="90">
        <v>44848</v>
      </c>
      <c r="P449" s="90">
        <v>44641</v>
      </c>
      <c r="Q449" s="90" t="s">
        <v>35</v>
      </c>
      <c r="R449" s="81">
        <v>0</v>
      </c>
      <c r="S449" s="90" t="s">
        <v>35</v>
      </c>
      <c r="T449" s="81">
        <v>0</v>
      </c>
      <c r="U449" s="81" t="s">
        <v>36</v>
      </c>
      <c r="V449" s="90" t="s">
        <v>35</v>
      </c>
      <c r="W449" s="81" t="s">
        <v>673</v>
      </c>
      <c r="X449" s="90">
        <v>44651</v>
      </c>
      <c r="Y449" s="81" t="s">
        <v>38</v>
      </c>
      <c r="Z449" s="81">
        <v>13</v>
      </c>
      <c r="AA449" s="81" t="s">
        <v>149</v>
      </c>
      <c r="AB449" s="81">
        <v>0</v>
      </c>
      <c r="AC449" s="81"/>
      <c r="AD449" s="81">
        <v>0</v>
      </c>
      <c r="AE449" s="81" t="s">
        <v>153</v>
      </c>
      <c r="AF449" s="81" t="s">
        <v>39</v>
      </c>
      <c r="AG449" s="83">
        <v>286.73</v>
      </c>
      <c r="AH449" s="95">
        <v>89471.29</v>
      </c>
      <c r="AI449" s="82" t="str">
        <f>CONCATENATE((TEXT(Tabela1[[#This Row],[Data entrega]],"mmmm")),"_",(YEAR(Tabela1[[#This Row],[Data entrega]])))</f>
        <v>outubro_2022</v>
      </c>
      <c r="AJ449" s="77">
        <f>IFERROR(IF(Tabela1[[#This Row],[Programa]]="",Tabela1[[#This Row],[Peso bruto]],VLOOKUP(Tabela1[[#This Row],[Pedido]],'Saldo a Produzir'!$A:$D,4,0)),"")</f>
        <v>599.97</v>
      </c>
      <c r="AM449" s="73">
        <v>2657.3809999999999</v>
      </c>
    </row>
    <row r="450" spans="1:39" ht="14.5" x14ac:dyDescent="0.35">
      <c r="A450" s="81">
        <v>15055</v>
      </c>
      <c r="B450" s="81" t="s">
        <v>61</v>
      </c>
      <c r="C450" s="81">
        <v>2036483000614</v>
      </c>
      <c r="D450" s="81" t="s">
        <v>589</v>
      </c>
      <c r="E450" s="81" t="s">
        <v>133</v>
      </c>
      <c r="F450" s="81" t="s">
        <v>53</v>
      </c>
      <c r="G450" s="81">
        <v>25676</v>
      </c>
      <c r="H450" s="81" t="s">
        <v>125</v>
      </c>
      <c r="I450" s="81" t="s">
        <v>32</v>
      </c>
      <c r="J450" s="81" t="s">
        <v>33</v>
      </c>
      <c r="K450" s="81" t="s">
        <v>34</v>
      </c>
      <c r="L450" s="81" t="s">
        <v>592</v>
      </c>
      <c r="M450" s="81">
        <v>4900521035</v>
      </c>
      <c r="N450" s="90">
        <v>44638</v>
      </c>
      <c r="O450" s="90">
        <v>44848</v>
      </c>
      <c r="P450" s="90">
        <v>44641</v>
      </c>
      <c r="Q450" s="90" t="s">
        <v>35</v>
      </c>
      <c r="R450" s="81">
        <v>0</v>
      </c>
      <c r="S450" s="90" t="s">
        <v>35</v>
      </c>
      <c r="T450" s="81">
        <v>0</v>
      </c>
      <c r="U450" s="81" t="s">
        <v>36</v>
      </c>
      <c r="V450" s="90" t="s">
        <v>35</v>
      </c>
      <c r="W450" s="81"/>
      <c r="X450" s="90" t="s">
        <v>37</v>
      </c>
      <c r="Y450" s="81" t="s">
        <v>38</v>
      </c>
      <c r="Z450" s="81">
        <v>13</v>
      </c>
      <c r="AA450" s="81" t="s">
        <v>149</v>
      </c>
      <c r="AB450" s="81">
        <v>0</v>
      </c>
      <c r="AC450" s="81"/>
      <c r="AD450" s="81">
        <v>0</v>
      </c>
      <c r="AE450" s="81"/>
      <c r="AF450" s="81" t="s">
        <v>39</v>
      </c>
      <c r="AG450" s="83">
        <v>0</v>
      </c>
      <c r="AH450" s="95">
        <v>30555</v>
      </c>
      <c r="AI450" s="82" t="str">
        <f>CONCATENATE((TEXT(Tabela1[[#This Row],[Data entrega]],"mmmm")),"_",(YEAR(Tabela1[[#This Row],[Data entrega]])))</f>
        <v>outubro_2022</v>
      </c>
      <c r="AJ450" s="77">
        <f>IFERROR(IF(Tabela1[[#This Row],[Programa]]="",Tabela1[[#This Row],[Peso bruto]],VLOOKUP(Tabela1[[#This Row],[Pedido]],'Saldo a Produzir'!$A:$D,4,0)),"")</f>
        <v>0</v>
      </c>
      <c r="AM450" s="73">
        <v>0</v>
      </c>
    </row>
    <row r="451" spans="1:39" ht="14.5" x14ac:dyDescent="0.35">
      <c r="A451" s="81">
        <v>15067</v>
      </c>
      <c r="B451" s="81" t="s">
        <v>59</v>
      </c>
      <c r="C451" s="81">
        <v>92665611000177</v>
      </c>
      <c r="D451" s="81" t="s">
        <v>383</v>
      </c>
      <c r="E451" s="81" t="s">
        <v>384</v>
      </c>
      <c r="F451" s="81" t="s">
        <v>58</v>
      </c>
      <c r="G451" s="81">
        <v>25539</v>
      </c>
      <c r="H451" s="81" t="s">
        <v>87</v>
      </c>
      <c r="I451" s="81" t="s">
        <v>32</v>
      </c>
      <c r="J451" s="81" t="s">
        <v>33</v>
      </c>
      <c r="K451" s="81" t="s">
        <v>34</v>
      </c>
      <c r="L451" s="81" t="s">
        <v>541</v>
      </c>
      <c r="M451" s="81"/>
      <c r="N451" s="90">
        <v>44617</v>
      </c>
      <c r="O451" s="90">
        <v>44855</v>
      </c>
      <c r="P451" s="90">
        <v>44638</v>
      </c>
      <c r="Q451" s="90" t="s">
        <v>35</v>
      </c>
      <c r="R451" s="81">
        <v>0</v>
      </c>
      <c r="S451" s="90" t="s">
        <v>35</v>
      </c>
      <c r="T451" s="81">
        <v>0</v>
      </c>
      <c r="U451" s="81" t="s">
        <v>36</v>
      </c>
      <c r="V451" s="90" t="s">
        <v>35</v>
      </c>
      <c r="W451" s="81" t="s">
        <v>600</v>
      </c>
      <c r="X451" s="90">
        <v>44642</v>
      </c>
      <c r="Y451" s="81" t="s">
        <v>38</v>
      </c>
      <c r="Z451" s="81">
        <v>0</v>
      </c>
      <c r="AA451" s="81"/>
      <c r="AB451" s="81">
        <v>0</v>
      </c>
      <c r="AC451" s="81"/>
      <c r="AD451" s="81">
        <v>0</v>
      </c>
      <c r="AE451" s="81" t="s">
        <v>153</v>
      </c>
      <c r="AF451" s="81" t="s">
        <v>39</v>
      </c>
      <c r="AG451" s="83">
        <v>7816.51</v>
      </c>
      <c r="AH451" s="95">
        <v>1910125</v>
      </c>
      <c r="AI451" s="82" t="str">
        <f>CONCATENATE((TEXT(Tabela1[[#This Row],[Data entrega]],"mmmm")),"_",(YEAR(Tabela1[[#This Row],[Data entrega]])))</f>
        <v>outubro_2022</v>
      </c>
      <c r="AJ451" s="77">
        <f>IFERROR(IF(Tabela1[[#This Row],[Programa]]="",Tabela1[[#This Row],[Peso bruto]],VLOOKUP(Tabela1[[#This Row],[Pedido]],'Saldo a Produzir'!$A:$D,4,0)),"")</f>
        <v>6380.91</v>
      </c>
      <c r="AM451" s="73">
        <v>98686.34</v>
      </c>
    </row>
    <row r="452" spans="1:39" ht="14.5" x14ac:dyDescent="0.35">
      <c r="A452" s="81">
        <v>15067</v>
      </c>
      <c r="B452" s="81" t="s">
        <v>59</v>
      </c>
      <c r="C452" s="81">
        <v>92665611000177</v>
      </c>
      <c r="D452" s="81" t="s">
        <v>383</v>
      </c>
      <c r="E452" s="81" t="s">
        <v>384</v>
      </c>
      <c r="F452" s="81" t="s">
        <v>58</v>
      </c>
      <c r="G452" s="81">
        <v>25557</v>
      </c>
      <c r="H452" s="81" t="s">
        <v>87</v>
      </c>
      <c r="I452" s="81" t="s">
        <v>32</v>
      </c>
      <c r="J452" s="81" t="s">
        <v>33</v>
      </c>
      <c r="K452" s="81" t="s">
        <v>34</v>
      </c>
      <c r="L452" s="81" t="s">
        <v>541</v>
      </c>
      <c r="M452" s="81"/>
      <c r="N452" s="90">
        <v>44617</v>
      </c>
      <c r="O452" s="90">
        <v>44855</v>
      </c>
      <c r="P452" s="90">
        <v>44638</v>
      </c>
      <c r="Q452" s="90" t="s">
        <v>35</v>
      </c>
      <c r="R452" s="81">
        <v>0</v>
      </c>
      <c r="S452" s="90" t="s">
        <v>35</v>
      </c>
      <c r="T452" s="81">
        <v>0</v>
      </c>
      <c r="U452" s="81" t="s">
        <v>36</v>
      </c>
      <c r="V452" s="90" t="s">
        <v>35</v>
      </c>
      <c r="W452" s="81" t="s">
        <v>600</v>
      </c>
      <c r="X452" s="90">
        <v>44642</v>
      </c>
      <c r="Y452" s="81" t="s">
        <v>38</v>
      </c>
      <c r="Z452" s="81">
        <v>0</v>
      </c>
      <c r="AA452" s="81"/>
      <c r="AB452" s="81">
        <v>0</v>
      </c>
      <c r="AC452" s="81"/>
      <c r="AD452" s="81">
        <v>0</v>
      </c>
      <c r="AE452" s="81" t="s">
        <v>153</v>
      </c>
      <c r="AF452" s="81" t="s">
        <v>39</v>
      </c>
      <c r="AG452" s="83">
        <v>8407.3799999999992</v>
      </c>
      <c r="AH452" s="95">
        <v>1910125</v>
      </c>
      <c r="AI452" s="82" t="str">
        <f>CONCATENATE((TEXT(Tabela1[[#This Row],[Data entrega]],"mmmm")),"_",(YEAR(Tabela1[[#This Row],[Data entrega]])))</f>
        <v>outubro_2022</v>
      </c>
      <c r="AJ452" s="77">
        <f>IFERROR(IF(Tabela1[[#This Row],[Programa]]="",Tabela1[[#This Row],[Peso bruto]],VLOOKUP(Tabela1[[#This Row],[Pedido]],'Saldo a Produzir'!$A:$D,4,0)),"")</f>
        <v>6971.7799999999988</v>
      </c>
      <c r="AM452" s="73">
        <v>98687.25</v>
      </c>
    </row>
    <row r="453" spans="1:39" ht="14.5" x14ac:dyDescent="0.35">
      <c r="A453" s="81">
        <v>15064</v>
      </c>
      <c r="B453" s="81" t="s">
        <v>67</v>
      </c>
      <c r="C453" s="81">
        <v>3887324000181</v>
      </c>
      <c r="D453" s="81" t="s">
        <v>1238</v>
      </c>
      <c r="E453" s="81" t="s">
        <v>1239</v>
      </c>
      <c r="F453" s="81" t="s">
        <v>44</v>
      </c>
      <c r="G453" s="81">
        <v>26295</v>
      </c>
      <c r="H453" s="81" t="s">
        <v>87</v>
      </c>
      <c r="I453" s="81" t="s">
        <v>32</v>
      </c>
      <c r="J453" s="81" t="s">
        <v>33</v>
      </c>
      <c r="K453" s="81" t="s">
        <v>34</v>
      </c>
      <c r="L453" s="81" t="s">
        <v>1441</v>
      </c>
      <c r="M453" s="81"/>
      <c r="N453" s="90">
        <v>44712</v>
      </c>
      <c r="O453" s="90">
        <v>44869</v>
      </c>
      <c r="P453" s="90">
        <v>44719</v>
      </c>
      <c r="Q453" s="90" t="s">
        <v>35</v>
      </c>
      <c r="R453" s="81">
        <v>0</v>
      </c>
      <c r="S453" s="90" t="s">
        <v>35</v>
      </c>
      <c r="T453" s="81">
        <v>0</v>
      </c>
      <c r="U453" s="81" t="s">
        <v>36</v>
      </c>
      <c r="V453" s="90" t="s">
        <v>35</v>
      </c>
      <c r="W453" s="81"/>
      <c r="X453" s="90" t="s">
        <v>37</v>
      </c>
      <c r="Y453" s="81" t="s">
        <v>38</v>
      </c>
      <c r="Z453" s="81">
        <v>0</v>
      </c>
      <c r="AA453" s="81"/>
      <c r="AB453" s="81">
        <v>0</v>
      </c>
      <c r="AC453" s="81"/>
      <c r="AD453" s="81">
        <v>0</v>
      </c>
      <c r="AE453" s="81"/>
      <c r="AF453" s="81" t="s">
        <v>39</v>
      </c>
      <c r="AG453" s="83">
        <v>39842</v>
      </c>
      <c r="AH453" s="95">
        <v>641218.75</v>
      </c>
      <c r="AI453" s="82" t="str">
        <f>CONCATENATE((TEXT(Tabela1[[#This Row],[Data entrega]],"mmmm")),"_",(YEAR(Tabela1[[#This Row],[Data entrega]])))</f>
        <v>novembro_2022</v>
      </c>
      <c r="AJ453" s="77">
        <f>IFERROR(IF(Tabela1[[#This Row],[Programa]]="",Tabela1[[#This Row],[Peso bruto]],VLOOKUP(Tabela1[[#This Row],[Pedido]],'Saldo a Produzir'!$A:$D,4,0)),"")</f>
        <v>39842</v>
      </c>
      <c r="AM453" s="73">
        <v>39842</v>
      </c>
    </row>
    <row r="454" spans="1:39" ht="14.5" x14ac:dyDescent="0.35">
      <c r="A454" s="81">
        <v>15064</v>
      </c>
      <c r="B454" s="81" t="s">
        <v>67</v>
      </c>
      <c r="C454" s="81">
        <v>3887324000181</v>
      </c>
      <c r="D454" s="81" t="s">
        <v>1238</v>
      </c>
      <c r="E454" s="81" t="s">
        <v>1239</v>
      </c>
      <c r="F454" s="81" t="s">
        <v>44</v>
      </c>
      <c r="G454" s="81">
        <v>26296</v>
      </c>
      <c r="H454" s="81" t="s">
        <v>86</v>
      </c>
      <c r="I454" s="81" t="s">
        <v>32</v>
      </c>
      <c r="J454" s="81" t="s">
        <v>33</v>
      </c>
      <c r="K454" s="81" t="s">
        <v>34</v>
      </c>
      <c r="L454" s="81" t="s">
        <v>1441</v>
      </c>
      <c r="M454" s="81"/>
      <c r="N454" s="90">
        <v>44712</v>
      </c>
      <c r="O454" s="90">
        <v>44869</v>
      </c>
      <c r="P454" s="90">
        <v>44719</v>
      </c>
      <c r="Q454" s="90" t="s">
        <v>35</v>
      </c>
      <c r="R454" s="81">
        <v>0</v>
      </c>
      <c r="S454" s="90" t="s">
        <v>35</v>
      </c>
      <c r="T454" s="81">
        <v>0</v>
      </c>
      <c r="U454" s="81" t="s">
        <v>36</v>
      </c>
      <c r="V454" s="90" t="s">
        <v>35</v>
      </c>
      <c r="W454" s="81"/>
      <c r="X454" s="90" t="s">
        <v>37</v>
      </c>
      <c r="Y454" s="81" t="s">
        <v>38</v>
      </c>
      <c r="Z454" s="81">
        <v>0</v>
      </c>
      <c r="AA454" s="81"/>
      <c r="AB454" s="81">
        <v>0</v>
      </c>
      <c r="AC454" s="81"/>
      <c r="AD454" s="81">
        <v>0</v>
      </c>
      <c r="AE454" s="81" t="s">
        <v>153</v>
      </c>
      <c r="AF454" s="81" t="s">
        <v>39</v>
      </c>
      <c r="AG454" s="83">
        <v>13003</v>
      </c>
      <c r="AH454" s="95">
        <v>300078.03999999998</v>
      </c>
      <c r="AI454" s="82" t="str">
        <f>CONCATENATE((TEXT(Tabela1[[#This Row],[Data entrega]],"mmmm")),"_",(YEAR(Tabela1[[#This Row],[Data entrega]])))</f>
        <v>novembro_2022</v>
      </c>
      <c r="AJ454" s="77">
        <f>IFERROR(IF(Tabela1[[#This Row],[Programa]]="",Tabela1[[#This Row],[Peso bruto]],VLOOKUP(Tabela1[[#This Row],[Pedido]],'Saldo a Produzir'!$A:$D,4,0)),"")</f>
        <v>13003</v>
      </c>
      <c r="AM454" s="73">
        <v>13003</v>
      </c>
    </row>
    <row r="455" spans="1:39" ht="14.5" x14ac:dyDescent="0.35">
      <c r="A455" s="81">
        <v>15907</v>
      </c>
      <c r="B455" s="81" t="s">
        <v>272</v>
      </c>
      <c r="C455" s="81">
        <v>11507415000253</v>
      </c>
      <c r="D455" s="81" t="s">
        <v>849</v>
      </c>
      <c r="E455" s="81" t="s">
        <v>186</v>
      </c>
      <c r="F455" s="81" t="s">
        <v>53</v>
      </c>
      <c r="G455" s="81">
        <v>26027</v>
      </c>
      <c r="H455" s="81" t="s">
        <v>124</v>
      </c>
      <c r="I455" s="81" t="s">
        <v>32</v>
      </c>
      <c r="J455" s="81" t="s">
        <v>33</v>
      </c>
      <c r="K455" s="81" t="s">
        <v>34</v>
      </c>
      <c r="L455" s="81" t="s">
        <v>871</v>
      </c>
      <c r="M455" s="81">
        <v>117239</v>
      </c>
      <c r="N455" s="90">
        <v>44680</v>
      </c>
      <c r="O455" s="90">
        <v>44869</v>
      </c>
      <c r="P455" s="90">
        <v>44691</v>
      </c>
      <c r="Q455" s="90" t="s">
        <v>35</v>
      </c>
      <c r="R455" s="81">
        <v>0</v>
      </c>
      <c r="S455" s="90" t="s">
        <v>35</v>
      </c>
      <c r="T455" s="81">
        <v>0</v>
      </c>
      <c r="U455" s="81" t="s">
        <v>36</v>
      </c>
      <c r="V455" s="90" t="s">
        <v>35</v>
      </c>
      <c r="W455" s="81" t="s">
        <v>1474</v>
      </c>
      <c r="X455" s="90">
        <v>44719</v>
      </c>
      <c r="Y455" s="81" t="s">
        <v>38</v>
      </c>
      <c r="Z455" s="81">
        <v>0</v>
      </c>
      <c r="AA455" s="81"/>
      <c r="AB455" s="81">
        <v>0</v>
      </c>
      <c r="AC455" s="81"/>
      <c r="AD455" s="81">
        <v>0</v>
      </c>
      <c r="AE455" s="81" t="s">
        <v>153</v>
      </c>
      <c r="AF455" s="81" t="s">
        <v>39</v>
      </c>
      <c r="AG455" s="83">
        <v>0</v>
      </c>
      <c r="AH455" s="95">
        <v>1000000</v>
      </c>
      <c r="AI455" s="82" t="str">
        <f>CONCATENATE((TEXT(Tabela1[[#This Row],[Data entrega]],"mmmm")),"_",(YEAR(Tabela1[[#This Row],[Data entrega]])))</f>
        <v>novembro_2022</v>
      </c>
      <c r="AJ455" s="77">
        <f>IFERROR(IF(Tabela1[[#This Row],[Programa]]="",Tabela1[[#This Row],[Peso bruto]],VLOOKUP(Tabela1[[#This Row],[Pedido]],'Saldo a Produzir'!$A:$D,4,0)),"")</f>
        <v>181.79</v>
      </c>
      <c r="AM455" s="73">
        <v>28612.588</v>
      </c>
    </row>
    <row r="456" spans="1:39" ht="14.5" x14ac:dyDescent="0.35">
      <c r="A456" s="81">
        <v>15062</v>
      </c>
      <c r="B456" s="81" t="s">
        <v>50</v>
      </c>
      <c r="C456" s="81">
        <v>24443608001040</v>
      </c>
      <c r="D456" s="81" t="s">
        <v>609</v>
      </c>
      <c r="E456" s="81" t="s">
        <v>73</v>
      </c>
      <c r="F456" s="81" t="s">
        <v>51</v>
      </c>
      <c r="G456" s="81">
        <v>25689</v>
      </c>
      <c r="H456" s="81" t="s">
        <v>112</v>
      </c>
      <c r="I456" s="81" t="s">
        <v>32</v>
      </c>
      <c r="J456" s="81" t="s">
        <v>33</v>
      </c>
      <c r="K456" s="81" t="s">
        <v>34</v>
      </c>
      <c r="L456" s="81" t="s">
        <v>610</v>
      </c>
      <c r="M456" s="81">
        <v>4011843781</v>
      </c>
      <c r="N456" s="90">
        <v>44642</v>
      </c>
      <c r="O456" s="90">
        <v>44883</v>
      </c>
      <c r="P456" s="90">
        <v>44642</v>
      </c>
      <c r="Q456" s="90" t="s">
        <v>35</v>
      </c>
      <c r="R456" s="81">
        <v>0</v>
      </c>
      <c r="S456" s="90" t="s">
        <v>35</v>
      </c>
      <c r="T456" s="81">
        <v>0</v>
      </c>
      <c r="U456" s="81" t="s">
        <v>36</v>
      </c>
      <c r="V456" s="90" t="s">
        <v>35</v>
      </c>
      <c r="W456" s="81" t="s">
        <v>897</v>
      </c>
      <c r="X456" s="90">
        <v>44684</v>
      </c>
      <c r="Y456" s="81" t="s">
        <v>38</v>
      </c>
      <c r="Z456" s="81">
        <v>44</v>
      </c>
      <c r="AA456" s="81" t="s">
        <v>151</v>
      </c>
      <c r="AB456" s="81">
        <v>0</v>
      </c>
      <c r="AC456" s="81"/>
      <c r="AD456" s="81">
        <v>0</v>
      </c>
      <c r="AE456" s="81" t="s">
        <v>153</v>
      </c>
      <c r="AF456" s="81" t="s">
        <v>39</v>
      </c>
      <c r="AG456" s="83">
        <v>0</v>
      </c>
      <c r="AH456" s="95">
        <v>117000</v>
      </c>
      <c r="AI456" s="82" t="str">
        <f>CONCATENATE((TEXT(Tabela1[[#This Row],[Data entrega]],"mmmm")),"_",(YEAR(Tabela1[[#This Row],[Data entrega]])))</f>
        <v>novembro_2022</v>
      </c>
      <c r="AJ456" s="77">
        <f>IFERROR(IF(Tabela1[[#This Row],[Programa]]="",Tabela1[[#This Row],[Peso bruto]],VLOOKUP(Tabela1[[#This Row],[Pedido]],'Saldo a Produzir'!$A:$D,4,0)),"")</f>
        <v>429.75</v>
      </c>
      <c r="AM456" s="73">
        <v>5224.8360000000002</v>
      </c>
    </row>
    <row r="457" spans="1:39" ht="14.5" x14ac:dyDescent="0.35">
      <c r="A457" s="81">
        <v>15917</v>
      </c>
      <c r="B457" s="81" t="s">
        <v>300</v>
      </c>
      <c r="C457" s="81">
        <v>87556650001682</v>
      </c>
      <c r="D457" s="81" t="s">
        <v>975</v>
      </c>
      <c r="E457" s="81" t="s">
        <v>233</v>
      </c>
      <c r="F457" s="81" t="s">
        <v>54</v>
      </c>
      <c r="G457" s="81">
        <v>302</v>
      </c>
      <c r="H457" s="81"/>
      <c r="I457" s="81" t="s">
        <v>976</v>
      </c>
      <c r="J457" s="81" t="s">
        <v>247</v>
      </c>
      <c r="K457" s="81" t="s">
        <v>34</v>
      </c>
      <c r="L457" s="81"/>
      <c r="M457" s="81" t="s">
        <v>1022</v>
      </c>
      <c r="N457" s="90">
        <v>44085</v>
      </c>
      <c r="O457" s="90">
        <v>44265</v>
      </c>
      <c r="P457" s="90">
        <v>44588</v>
      </c>
      <c r="Q457" s="90" t="s">
        <v>35</v>
      </c>
      <c r="R457" s="81">
        <v>0</v>
      </c>
      <c r="S457" s="90" t="s">
        <v>35</v>
      </c>
      <c r="T457" s="81">
        <v>0</v>
      </c>
      <c r="U457" s="81" t="s">
        <v>36</v>
      </c>
      <c r="V457" s="90" t="s">
        <v>35</v>
      </c>
      <c r="W457" s="81"/>
      <c r="X457" s="90" t="s">
        <v>37</v>
      </c>
      <c r="Y457" s="81" t="s">
        <v>38</v>
      </c>
      <c r="Z457" s="81">
        <v>0</v>
      </c>
      <c r="AA457" s="81"/>
      <c r="AB457" s="81">
        <v>0</v>
      </c>
      <c r="AC457" s="81"/>
      <c r="AD457" s="81">
        <v>0</v>
      </c>
      <c r="AE457" s="81"/>
      <c r="AF457" s="81" t="s">
        <v>39</v>
      </c>
      <c r="AG457" s="83">
        <v>281.64299999999997</v>
      </c>
      <c r="AH457" s="95">
        <v>111.24</v>
      </c>
      <c r="AI457" s="82" t="str">
        <f>CONCATENATE((TEXT(Tabela1[[#This Row],[Data entrega]],"mmmm")),"_",(YEAR(Tabela1[[#This Row],[Data entrega]])))</f>
        <v>março_2021</v>
      </c>
      <c r="AJ457" s="77">
        <f>IFERROR(IF(Tabela1[[#This Row],[Programa]]="",Tabela1[[#This Row],[Peso bruto]],VLOOKUP(Tabela1[[#This Row],[Pedido]],'Saldo a Produzir'!$A:$D,4,0)),"")</f>
        <v>281.64299999999997</v>
      </c>
      <c r="AM457" s="73">
        <v>281.64299999999997</v>
      </c>
    </row>
    <row r="458" spans="1:39" ht="14.5" x14ac:dyDescent="0.35">
      <c r="A458" s="81">
        <v>15066</v>
      </c>
      <c r="B458" s="81" t="s">
        <v>72</v>
      </c>
      <c r="C458" s="81">
        <v>1838723043870</v>
      </c>
      <c r="D458" s="81" t="s">
        <v>41</v>
      </c>
      <c r="E458" s="81" t="s">
        <v>126</v>
      </c>
      <c r="F458" s="81" t="s">
        <v>56</v>
      </c>
      <c r="G458" s="81">
        <v>20094</v>
      </c>
      <c r="H458" s="81"/>
      <c r="I458" s="81" t="s">
        <v>32</v>
      </c>
      <c r="J458" s="81" t="s">
        <v>33</v>
      </c>
      <c r="K458" s="81" t="s">
        <v>34</v>
      </c>
      <c r="L458" s="81" t="s">
        <v>248</v>
      </c>
      <c r="M458" s="81">
        <v>102594305</v>
      </c>
      <c r="N458" s="90">
        <v>44141</v>
      </c>
      <c r="O458" s="90">
        <v>44321</v>
      </c>
      <c r="P458" s="90">
        <v>44141</v>
      </c>
      <c r="Q458" s="90" t="s">
        <v>35</v>
      </c>
      <c r="R458" s="81">
        <v>0</v>
      </c>
      <c r="S458" s="90" t="s">
        <v>35</v>
      </c>
      <c r="T458" s="81">
        <v>0</v>
      </c>
      <c r="U458" s="81" t="s">
        <v>36</v>
      </c>
      <c r="V458" s="90" t="s">
        <v>35</v>
      </c>
      <c r="W458" s="81"/>
      <c r="X458" s="90" t="s">
        <v>37</v>
      </c>
      <c r="Y458" s="81" t="s">
        <v>38</v>
      </c>
      <c r="Z458" s="81">
        <v>0</v>
      </c>
      <c r="AA458" s="81"/>
      <c r="AB458" s="81">
        <v>0</v>
      </c>
      <c r="AC458" s="81"/>
      <c r="AD458" s="81">
        <v>0</v>
      </c>
      <c r="AE458" s="81"/>
      <c r="AF458" s="81" t="s">
        <v>39</v>
      </c>
      <c r="AG458" s="83">
        <v>0</v>
      </c>
      <c r="AH458" s="95">
        <v>36800</v>
      </c>
      <c r="AI458" s="82" t="str">
        <f>CONCATENATE((TEXT(Tabela1[[#This Row],[Data entrega]],"mmmm")),"_",(YEAR(Tabela1[[#This Row],[Data entrega]])))</f>
        <v>maio_2021</v>
      </c>
      <c r="AJ458" s="77">
        <f>IFERROR(IF(Tabela1[[#This Row],[Programa]]="",Tabela1[[#This Row],[Peso bruto]],VLOOKUP(Tabela1[[#This Row],[Pedido]],'Saldo a Produzir'!$A:$D,4,0)),"")</f>
        <v>0</v>
      </c>
      <c r="AM458" s="73">
        <v>0</v>
      </c>
    </row>
    <row r="459" spans="1:39" ht="14.5" x14ac:dyDescent="0.35">
      <c r="A459" s="81">
        <v>15000</v>
      </c>
      <c r="B459" s="81" t="s">
        <v>234</v>
      </c>
      <c r="C459" s="81">
        <v>92754738038305</v>
      </c>
      <c r="D459" s="81" t="s">
        <v>80</v>
      </c>
      <c r="E459" s="81" t="s">
        <v>122</v>
      </c>
      <c r="F459" s="81" t="s">
        <v>44</v>
      </c>
      <c r="G459" s="81">
        <v>800599</v>
      </c>
      <c r="H459" s="81" t="s">
        <v>92</v>
      </c>
      <c r="I459" s="81" t="s">
        <v>32</v>
      </c>
      <c r="J459" s="81" t="s">
        <v>33</v>
      </c>
      <c r="K459" s="81" t="s">
        <v>34</v>
      </c>
      <c r="L459" s="81" t="s">
        <v>169</v>
      </c>
      <c r="M459" s="81">
        <v>2342129</v>
      </c>
      <c r="N459" s="90">
        <v>44253</v>
      </c>
      <c r="O459" s="90">
        <v>44412</v>
      </c>
      <c r="P459" s="90">
        <v>44253</v>
      </c>
      <c r="Q459" s="90" t="s">
        <v>35</v>
      </c>
      <c r="R459" s="81">
        <v>0</v>
      </c>
      <c r="S459" s="90" t="s">
        <v>35</v>
      </c>
      <c r="T459" s="81">
        <v>0</v>
      </c>
      <c r="U459" s="81" t="s">
        <v>36</v>
      </c>
      <c r="V459" s="90" t="s">
        <v>35</v>
      </c>
      <c r="W459" s="81" t="s">
        <v>267</v>
      </c>
      <c r="X459" s="90">
        <v>44396</v>
      </c>
      <c r="Y459" s="81" t="s">
        <v>38</v>
      </c>
      <c r="Z459" s="81">
        <v>0</v>
      </c>
      <c r="AA459" s="81"/>
      <c r="AB459" s="81">
        <v>0</v>
      </c>
      <c r="AC459" s="81"/>
      <c r="AD459" s="81">
        <v>0</v>
      </c>
      <c r="AE459" s="81"/>
      <c r="AF459" s="81" t="s">
        <v>39</v>
      </c>
      <c r="AG459" s="83" t="s">
        <v>1475</v>
      </c>
      <c r="AH459" s="95">
        <v>0</v>
      </c>
      <c r="AI459" s="82" t="str">
        <f>CONCATENATE((TEXT(Tabela1[[#This Row],[Data entrega]],"mmmm")),"_",(YEAR(Tabela1[[#This Row],[Data entrega]])))</f>
        <v>agosto_2021</v>
      </c>
      <c r="AJ459" s="77" t="str">
        <f>IFERROR(IF(Tabela1[[#This Row],[Programa]]="",Tabela1[[#This Row],[Peso bruto]],VLOOKUP(Tabela1[[#This Row],[Pedido]],'Saldo a Produzir'!$A:$D,4,0)),"")</f>
        <v/>
      </c>
      <c r="AM459" s="73">
        <v>61.02</v>
      </c>
    </row>
    <row r="460" spans="1:39" ht="14.5" x14ac:dyDescent="0.35">
      <c r="A460" s="81">
        <v>15000</v>
      </c>
      <c r="B460" s="81" t="s">
        <v>234</v>
      </c>
      <c r="C460" s="81">
        <v>92754738038305</v>
      </c>
      <c r="D460" s="81" t="s">
        <v>80</v>
      </c>
      <c r="E460" s="81" t="s">
        <v>122</v>
      </c>
      <c r="F460" s="81" t="s">
        <v>44</v>
      </c>
      <c r="G460" s="81">
        <v>800613</v>
      </c>
      <c r="H460" s="81" t="s">
        <v>116</v>
      </c>
      <c r="I460" s="81" t="s">
        <v>32</v>
      </c>
      <c r="J460" s="81" t="s">
        <v>247</v>
      </c>
      <c r="K460" s="81" t="s">
        <v>34</v>
      </c>
      <c r="L460" s="81" t="s">
        <v>169</v>
      </c>
      <c r="M460" s="81"/>
      <c r="N460" s="90">
        <v>44271</v>
      </c>
      <c r="O460" s="90">
        <v>44412</v>
      </c>
      <c r="P460" s="90">
        <v>44513</v>
      </c>
      <c r="Q460" s="90" t="s">
        <v>35</v>
      </c>
      <c r="R460" s="81">
        <v>0</v>
      </c>
      <c r="S460" s="90" t="s">
        <v>35</v>
      </c>
      <c r="T460" s="81">
        <v>0</v>
      </c>
      <c r="U460" s="81" t="s">
        <v>36</v>
      </c>
      <c r="V460" s="90" t="s">
        <v>35</v>
      </c>
      <c r="W460" s="81" t="s">
        <v>206</v>
      </c>
      <c r="X460" s="90">
        <v>44280</v>
      </c>
      <c r="Y460" s="81" t="s">
        <v>38</v>
      </c>
      <c r="Z460" s="81">
        <v>0</v>
      </c>
      <c r="AA460" s="81"/>
      <c r="AB460" s="81">
        <v>0</v>
      </c>
      <c r="AC460" s="81"/>
      <c r="AD460" s="81">
        <v>0</v>
      </c>
      <c r="AE460" s="81" t="s">
        <v>153</v>
      </c>
      <c r="AF460" s="81" t="s">
        <v>39</v>
      </c>
      <c r="AG460" s="83" t="s">
        <v>1475</v>
      </c>
      <c r="AH460" s="95">
        <v>1.03</v>
      </c>
      <c r="AI460" s="82" t="str">
        <f>CONCATENATE((TEXT(Tabela1[[#This Row],[Data entrega]],"mmmm")),"_",(YEAR(Tabela1[[#This Row],[Data entrega]])))</f>
        <v>agosto_2021</v>
      </c>
      <c r="AJ460" s="77" t="str">
        <f>IFERROR(IF(Tabela1[[#This Row],[Programa]]="",Tabela1[[#This Row],[Peso bruto]],VLOOKUP(Tabela1[[#This Row],[Pedido]],'Saldo a Produzir'!$A:$D,4,0)),"")</f>
        <v/>
      </c>
      <c r="AM460" s="73">
        <v>6471.8490000000002</v>
      </c>
    </row>
    <row r="461" spans="1:39" ht="14.5" x14ac:dyDescent="0.35">
      <c r="A461" s="81">
        <v>15000</v>
      </c>
      <c r="B461" s="81" t="s">
        <v>234</v>
      </c>
      <c r="C461" s="81">
        <v>92754738038305</v>
      </c>
      <c r="D461" s="81" t="s">
        <v>80</v>
      </c>
      <c r="E461" s="81" t="s">
        <v>122</v>
      </c>
      <c r="F461" s="81" t="s">
        <v>44</v>
      </c>
      <c r="G461" s="81">
        <v>800623</v>
      </c>
      <c r="H461" s="81" t="s">
        <v>134</v>
      </c>
      <c r="I461" s="81" t="s">
        <v>32</v>
      </c>
      <c r="J461" s="81" t="s">
        <v>33</v>
      </c>
      <c r="K461" s="81" t="s">
        <v>34</v>
      </c>
      <c r="L461" s="81" t="s">
        <v>169</v>
      </c>
      <c r="M461" s="81"/>
      <c r="N461" s="90">
        <v>44271</v>
      </c>
      <c r="O461" s="90">
        <v>44412</v>
      </c>
      <c r="P461" s="90">
        <v>44392</v>
      </c>
      <c r="Q461" s="90" t="s">
        <v>35</v>
      </c>
      <c r="R461" s="81">
        <v>0</v>
      </c>
      <c r="S461" s="90" t="s">
        <v>35</v>
      </c>
      <c r="T461" s="81">
        <v>0</v>
      </c>
      <c r="U461" s="81" t="s">
        <v>36</v>
      </c>
      <c r="V461" s="90" t="s">
        <v>35</v>
      </c>
      <c r="W461" s="81" t="s">
        <v>266</v>
      </c>
      <c r="X461" s="90">
        <v>44392</v>
      </c>
      <c r="Y461" s="81" t="s">
        <v>38</v>
      </c>
      <c r="Z461" s="81">
        <v>0</v>
      </c>
      <c r="AA461" s="81"/>
      <c r="AB461" s="81">
        <v>0</v>
      </c>
      <c r="AC461" s="81"/>
      <c r="AD461" s="81">
        <v>0</v>
      </c>
      <c r="AE461" s="81"/>
      <c r="AF461" s="81" t="s">
        <v>39</v>
      </c>
      <c r="AG461" s="83" t="s">
        <v>1475</v>
      </c>
      <c r="AH461" s="95">
        <v>1.03</v>
      </c>
      <c r="AI461" s="82" t="str">
        <f>CONCATENATE((TEXT(Tabela1[[#This Row],[Data entrega]],"mmmm")),"_",(YEAR(Tabela1[[#This Row],[Data entrega]])))</f>
        <v>agosto_2021</v>
      </c>
      <c r="AJ461" s="77" t="str">
        <f>IFERROR(IF(Tabela1[[#This Row],[Programa]]="",Tabela1[[#This Row],[Peso bruto]],VLOOKUP(Tabela1[[#This Row],[Pedido]],'Saldo a Produzir'!$A:$D,4,0)),"")</f>
        <v/>
      </c>
      <c r="AM461" s="73">
        <v>427.19</v>
      </c>
    </row>
    <row r="462" spans="1:39" ht="14.5" x14ac:dyDescent="0.35">
      <c r="A462" s="81">
        <v>15000</v>
      </c>
      <c r="B462" s="81" t="s">
        <v>234</v>
      </c>
      <c r="C462" s="81">
        <v>92754738038305</v>
      </c>
      <c r="D462" s="81" t="s">
        <v>80</v>
      </c>
      <c r="E462" s="81" t="s">
        <v>122</v>
      </c>
      <c r="F462" s="81" t="s">
        <v>44</v>
      </c>
      <c r="G462" s="81">
        <v>800614</v>
      </c>
      <c r="H462" s="81" t="s">
        <v>116</v>
      </c>
      <c r="I462" s="81" t="s">
        <v>32</v>
      </c>
      <c r="J462" s="81" t="s">
        <v>33</v>
      </c>
      <c r="K462" s="81" t="s">
        <v>34</v>
      </c>
      <c r="L462" s="81" t="s">
        <v>169</v>
      </c>
      <c r="M462" s="81"/>
      <c r="N462" s="90">
        <v>44271</v>
      </c>
      <c r="O462" s="90">
        <v>44413</v>
      </c>
      <c r="P462" s="90">
        <v>44504</v>
      </c>
      <c r="Q462" s="90" t="s">
        <v>35</v>
      </c>
      <c r="R462" s="81">
        <v>0</v>
      </c>
      <c r="S462" s="90" t="s">
        <v>35</v>
      </c>
      <c r="T462" s="81">
        <v>0</v>
      </c>
      <c r="U462" s="81" t="s">
        <v>36</v>
      </c>
      <c r="V462" s="90" t="s">
        <v>35</v>
      </c>
      <c r="W462" s="81" t="s">
        <v>206</v>
      </c>
      <c r="X462" s="90">
        <v>44280</v>
      </c>
      <c r="Y462" s="81" t="s">
        <v>38</v>
      </c>
      <c r="Z462" s="81">
        <v>0</v>
      </c>
      <c r="AA462" s="81"/>
      <c r="AB462" s="81">
        <v>0</v>
      </c>
      <c r="AC462" s="81"/>
      <c r="AD462" s="81">
        <v>0</v>
      </c>
      <c r="AE462" s="81"/>
      <c r="AF462" s="81" t="s">
        <v>39</v>
      </c>
      <c r="AG462" s="83" t="s">
        <v>1475</v>
      </c>
      <c r="AH462" s="95">
        <v>1.03</v>
      </c>
      <c r="AI462" s="82" t="str">
        <f>CONCATENATE((TEXT(Tabela1[[#This Row],[Data entrega]],"mmmm")),"_",(YEAR(Tabela1[[#This Row],[Data entrega]])))</f>
        <v>agosto_2021</v>
      </c>
      <c r="AJ462" s="77" t="str">
        <f>IFERROR(IF(Tabela1[[#This Row],[Programa]]="",Tabela1[[#This Row],[Peso bruto]],VLOOKUP(Tabela1[[#This Row],[Pedido]],'Saldo a Produzir'!$A:$D,4,0)),"")</f>
        <v/>
      </c>
      <c r="AM462" s="73">
        <v>28439.690999999999</v>
      </c>
    </row>
    <row r="463" spans="1:39" ht="14.5" x14ac:dyDescent="0.35">
      <c r="A463" s="81">
        <v>15000</v>
      </c>
      <c r="B463" s="81" t="s">
        <v>234</v>
      </c>
      <c r="C463" s="81">
        <v>87556650000104</v>
      </c>
      <c r="D463" s="81" t="s">
        <v>988</v>
      </c>
      <c r="E463" s="81" t="s">
        <v>77</v>
      </c>
      <c r="F463" s="81" t="s">
        <v>58</v>
      </c>
      <c r="G463" s="81">
        <v>800002</v>
      </c>
      <c r="H463" s="81"/>
      <c r="I463" s="81" t="s">
        <v>989</v>
      </c>
      <c r="J463" s="81" t="s">
        <v>33</v>
      </c>
      <c r="K463" s="81" t="s">
        <v>34</v>
      </c>
      <c r="L463" s="81"/>
      <c r="M463" s="81" t="s">
        <v>1023</v>
      </c>
      <c r="N463" s="90">
        <v>44097</v>
      </c>
      <c r="O463" s="90">
        <v>44414</v>
      </c>
      <c r="P463" s="90">
        <v>44355</v>
      </c>
      <c r="Q463" s="90" t="s">
        <v>35</v>
      </c>
      <c r="R463" s="81">
        <v>0</v>
      </c>
      <c r="S463" s="90" t="s">
        <v>35</v>
      </c>
      <c r="T463" s="81">
        <v>0</v>
      </c>
      <c r="U463" s="81" t="s">
        <v>36</v>
      </c>
      <c r="V463" s="90" t="s">
        <v>35</v>
      </c>
      <c r="W463" s="81" t="s">
        <v>1024</v>
      </c>
      <c r="X463" s="90">
        <v>44109</v>
      </c>
      <c r="Y463" s="81" t="s">
        <v>991</v>
      </c>
      <c r="Z463" s="81">
        <v>11</v>
      </c>
      <c r="AA463" s="81" t="s">
        <v>1025</v>
      </c>
      <c r="AB463" s="81">
        <v>0</v>
      </c>
      <c r="AC463" s="81"/>
      <c r="AD463" s="81">
        <v>0</v>
      </c>
      <c r="AE463" s="81" t="s">
        <v>232</v>
      </c>
      <c r="AF463" s="81" t="s">
        <v>39</v>
      </c>
      <c r="AG463" s="83" t="s">
        <v>1475</v>
      </c>
      <c r="AH463" s="95">
        <v>1.1599999999999999</v>
      </c>
      <c r="AI463" s="82" t="str">
        <f>CONCATENATE((TEXT(Tabela1[[#This Row],[Data entrega]],"mmmm")),"_",(YEAR(Tabela1[[#This Row],[Data entrega]])))</f>
        <v>agosto_2021</v>
      </c>
      <c r="AJ463" s="77" t="str">
        <f>IFERROR(IF(Tabela1[[#This Row],[Programa]]="",Tabela1[[#This Row],[Peso bruto]],VLOOKUP(Tabela1[[#This Row],[Pedido]],'Saldo a Produzir'!$A:$D,4,0)),"")</f>
        <v/>
      </c>
      <c r="AM463" s="73">
        <v>2115.5030000000002</v>
      </c>
    </row>
    <row r="464" spans="1:39" ht="14.5" x14ac:dyDescent="0.35">
      <c r="A464" s="81">
        <v>850000</v>
      </c>
      <c r="B464" s="81" t="s">
        <v>1026</v>
      </c>
      <c r="C464" s="81">
        <v>87556650000104</v>
      </c>
      <c r="D464" s="81" t="s">
        <v>988</v>
      </c>
      <c r="E464" s="81" t="s">
        <v>77</v>
      </c>
      <c r="F464" s="81" t="s">
        <v>58</v>
      </c>
      <c r="G464" s="81">
        <v>800472</v>
      </c>
      <c r="H464" s="81" t="s">
        <v>87</v>
      </c>
      <c r="I464" s="81" t="s">
        <v>989</v>
      </c>
      <c r="J464" s="81" t="s">
        <v>156</v>
      </c>
      <c r="K464" s="81" t="s">
        <v>34</v>
      </c>
      <c r="L464" s="81"/>
      <c r="M464" s="81"/>
      <c r="N464" s="90">
        <v>44041</v>
      </c>
      <c r="O464" s="90">
        <v>44414</v>
      </c>
      <c r="P464" s="90">
        <v>44355</v>
      </c>
      <c r="Q464" s="90">
        <v>44103</v>
      </c>
      <c r="R464" s="81">
        <v>209</v>
      </c>
      <c r="S464" s="90">
        <v>44103</v>
      </c>
      <c r="T464" s="81">
        <v>209</v>
      </c>
      <c r="U464" s="81" t="s">
        <v>36</v>
      </c>
      <c r="V464" s="90" t="s">
        <v>35</v>
      </c>
      <c r="W464" s="81" t="s">
        <v>1027</v>
      </c>
      <c r="X464" s="90">
        <v>44079</v>
      </c>
      <c r="Y464" s="81" t="s">
        <v>991</v>
      </c>
      <c r="Z464" s="81">
        <v>0</v>
      </c>
      <c r="AA464" s="81"/>
      <c r="AB464" s="81">
        <v>0</v>
      </c>
      <c r="AC464" s="81"/>
      <c r="AD464" s="81">
        <v>0</v>
      </c>
      <c r="AE464" s="81" t="s">
        <v>153</v>
      </c>
      <c r="AF464" s="81" t="s">
        <v>39</v>
      </c>
      <c r="AG464" s="83">
        <v>0</v>
      </c>
      <c r="AH464" s="95">
        <v>4508.18</v>
      </c>
      <c r="AI464" s="82" t="str">
        <f>CONCATENATE((TEXT(Tabela1[[#This Row],[Data entrega]],"mmmm")),"_",(YEAR(Tabela1[[#This Row],[Data entrega]])))</f>
        <v>agosto_2021</v>
      </c>
      <c r="AJ464" s="77">
        <f>IFERROR(IF(Tabela1[[#This Row],[Programa]]="",Tabela1[[#This Row],[Peso bruto]],VLOOKUP(Tabela1[[#This Row],[Pedido]],'Saldo a Produzir'!$A:$D,4,0)),"")</f>
        <v>0</v>
      </c>
      <c r="AM464" s="73">
        <v>584.73599999999999</v>
      </c>
    </row>
    <row r="465" spans="1:39" ht="14.5" x14ac:dyDescent="0.35">
      <c r="A465" s="81">
        <v>850000</v>
      </c>
      <c r="B465" s="81" t="s">
        <v>1026</v>
      </c>
      <c r="C465" s="81">
        <v>87556650000104</v>
      </c>
      <c r="D465" s="81" t="s">
        <v>988</v>
      </c>
      <c r="E465" s="81" t="s">
        <v>77</v>
      </c>
      <c r="F465" s="81" t="s">
        <v>58</v>
      </c>
      <c r="G465" s="81">
        <v>800522</v>
      </c>
      <c r="H465" s="81" t="s">
        <v>87</v>
      </c>
      <c r="I465" s="81" t="s">
        <v>989</v>
      </c>
      <c r="J465" s="81" t="s">
        <v>156</v>
      </c>
      <c r="K465" s="81" t="s">
        <v>34</v>
      </c>
      <c r="L465" s="81"/>
      <c r="M465" s="81"/>
      <c r="N465" s="90">
        <v>44054</v>
      </c>
      <c r="O465" s="90">
        <v>44414</v>
      </c>
      <c r="P465" s="90">
        <v>44334</v>
      </c>
      <c r="Q465" s="90">
        <v>44102</v>
      </c>
      <c r="R465" s="81">
        <v>197</v>
      </c>
      <c r="S465" s="90">
        <v>44102</v>
      </c>
      <c r="T465" s="81">
        <v>197</v>
      </c>
      <c r="U465" s="81" t="s">
        <v>36</v>
      </c>
      <c r="V465" s="90" t="s">
        <v>35</v>
      </c>
      <c r="W465" s="81" t="s">
        <v>1027</v>
      </c>
      <c r="X465" s="90">
        <v>44079</v>
      </c>
      <c r="Y465" s="81" t="s">
        <v>991</v>
      </c>
      <c r="Z465" s="81">
        <v>0</v>
      </c>
      <c r="AA465" s="81"/>
      <c r="AB465" s="81">
        <v>0</v>
      </c>
      <c r="AC465" s="81"/>
      <c r="AD465" s="81">
        <v>0</v>
      </c>
      <c r="AE465" s="81" t="s">
        <v>153</v>
      </c>
      <c r="AF465" s="81" t="s">
        <v>39</v>
      </c>
      <c r="AG465" s="83">
        <v>0</v>
      </c>
      <c r="AH465" s="95">
        <v>357.19</v>
      </c>
      <c r="AI465" s="82" t="str">
        <f>CONCATENATE((TEXT(Tabela1[[#This Row],[Data entrega]],"mmmm")),"_",(YEAR(Tabela1[[#This Row],[Data entrega]])))</f>
        <v>agosto_2021</v>
      </c>
      <c r="AJ465" s="77">
        <f>IFERROR(IF(Tabela1[[#This Row],[Programa]]="",Tabela1[[#This Row],[Peso bruto]],VLOOKUP(Tabela1[[#This Row],[Pedido]],'Saldo a Produzir'!$A:$D,4,0)),"")</f>
        <v>0</v>
      </c>
      <c r="AM465" s="73">
        <v>86.293000000000006</v>
      </c>
    </row>
    <row r="466" spans="1:39" ht="14.5" x14ac:dyDescent="0.35">
      <c r="A466" s="81">
        <v>15000</v>
      </c>
      <c r="B466" s="81" t="s">
        <v>234</v>
      </c>
      <c r="C466" s="81">
        <v>92754738038305</v>
      </c>
      <c r="D466" s="81" t="s">
        <v>80</v>
      </c>
      <c r="E466" s="81" t="s">
        <v>122</v>
      </c>
      <c r="F466" s="81" t="s">
        <v>44</v>
      </c>
      <c r="G466" s="81">
        <v>800597</v>
      </c>
      <c r="H466" s="81" t="s">
        <v>92</v>
      </c>
      <c r="I466" s="81" t="s">
        <v>32</v>
      </c>
      <c r="J466" s="81" t="s">
        <v>33</v>
      </c>
      <c r="K466" s="81" t="s">
        <v>34</v>
      </c>
      <c r="L466" s="81" t="s">
        <v>169</v>
      </c>
      <c r="M466" s="81">
        <v>2342129</v>
      </c>
      <c r="N466" s="90">
        <v>44253</v>
      </c>
      <c r="O466" s="90">
        <v>44414</v>
      </c>
      <c r="P466" s="90">
        <v>44499</v>
      </c>
      <c r="Q466" s="90" t="s">
        <v>35</v>
      </c>
      <c r="R466" s="81">
        <v>0</v>
      </c>
      <c r="S466" s="90" t="s">
        <v>35</v>
      </c>
      <c r="T466" s="81">
        <v>0</v>
      </c>
      <c r="U466" s="81" t="s">
        <v>36</v>
      </c>
      <c r="V466" s="90" t="s">
        <v>35</v>
      </c>
      <c r="W466" s="81" t="s">
        <v>201</v>
      </c>
      <c r="X466" s="90">
        <v>44274</v>
      </c>
      <c r="Y466" s="81" t="s">
        <v>38</v>
      </c>
      <c r="Z466" s="81">
        <v>0</v>
      </c>
      <c r="AA466" s="81"/>
      <c r="AB466" s="81">
        <v>0</v>
      </c>
      <c r="AC466" s="81"/>
      <c r="AD466" s="81">
        <v>0</v>
      </c>
      <c r="AE466" s="81"/>
      <c r="AF466" s="81" t="s">
        <v>39</v>
      </c>
      <c r="AG466" s="83" t="s">
        <v>1475</v>
      </c>
      <c r="AH466" s="95">
        <v>1</v>
      </c>
      <c r="AI466" s="82" t="str">
        <f>CONCATENATE((TEXT(Tabela1[[#This Row],[Data entrega]],"mmmm")),"_",(YEAR(Tabela1[[#This Row],[Data entrega]])))</f>
        <v>agosto_2021</v>
      </c>
      <c r="AJ466" s="77" t="str">
        <f>IFERROR(IF(Tabela1[[#This Row],[Programa]]="",Tabela1[[#This Row],[Peso bruto]],VLOOKUP(Tabela1[[#This Row],[Pedido]],'Saldo a Produzir'!$A:$D,4,0)),"")</f>
        <v/>
      </c>
      <c r="AM466" s="73">
        <v>-1271.1079999999999</v>
      </c>
    </row>
    <row r="467" spans="1:39" ht="14.5" x14ac:dyDescent="0.35">
      <c r="A467" s="81">
        <v>15000</v>
      </c>
      <c r="B467" s="81" t="s">
        <v>234</v>
      </c>
      <c r="C467" s="81">
        <v>92754738038305</v>
      </c>
      <c r="D467" s="81" t="s">
        <v>80</v>
      </c>
      <c r="E467" s="81" t="s">
        <v>122</v>
      </c>
      <c r="F467" s="81" t="s">
        <v>44</v>
      </c>
      <c r="G467" s="81">
        <v>800598</v>
      </c>
      <c r="H467" s="81" t="s">
        <v>92</v>
      </c>
      <c r="I467" s="81" t="s">
        <v>32</v>
      </c>
      <c r="J467" s="81" t="s">
        <v>247</v>
      </c>
      <c r="K467" s="81" t="s">
        <v>34</v>
      </c>
      <c r="L467" s="81" t="s">
        <v>169</v>
      </c>
      <c r="M467" s="83">
        <v>2342129</v>
      </c>
      <c r="N467" s="90">
        <v>44253</v>
      </c>
      <c r="O467" s="90">
        <v>44414</v>
      </c>
      <c r="P467" s="90">
        <v>44499</v>
      </c>
      <c r="Q467" s="90" t="s">
        <v>35</v>
      </c>
      <c r="R467" s="81">
        <v>0</v>
      </c>
      <c r="S467" s="90" t="s">
        <v>35</v>
      </c>
      <c r="T467" s="81">
        <v>0</v>
      </c>
      <c r="U467" s="81" t="s">
        <v>36</v>
      </c>
      <c r="V467" s="90" t="s">
        <v>35</v>
      </c>
      <c r="W467" s="81" t="s">
        <v>201</v>
      </c>
      <c r="X467" s="90">
        <v>44274</v>
      </c>
      <c r="Y467" s="81" t="s">
        <v>38</v>
      </c>
      <c r="Z467" s="81">
        <v>0</v>
      </c>
      <c r="AA467" s="81"/>
      <c r="AB467" s="81">
        <v>0</v>
      </c>
      <c r="AC467" s="81"/>
      <c r="AD467" s="81">
        <v>0</v>
      </c>
      <c r="AE467" s="81"/>
      <c r="AF467" s="81" t="s">
        <v>39</v>
      </c>
      <c r="AG467" s="83" t="s">
        <v>1475</v>
      </c>
      <c r="AH467" s="95">
        <v>1</v>
      </c>
      <c r="AI467" s="82" t="str">
        <f>CONCATENATE((TEXT(Tabela1[[#This Row],[Data entrega]],"mmmm")),"_",(YEAR(Tabela1[[#This Row],[Data entrega]])))</f>
        <v>agosto_2021</v>
      </c>
      <c r="AJ467" s="77" t="str">
        <f>IFERROR(IF(Tabela1[[#This Row],[Programa]]="",Tabela1[[#This Row],[Peso bruto]],VLOOKUP(Tabela1[[#This Row],[Pedido]],'Saldo a Produzir'!$A:$D,4,0)),"")</f>
        <v/>
      </c>
      <c r="AM467" s="73">
        <v>-339.80200000000002</v>
      </c>
    </row>
    <row r="468" spans="1:39" ht="14.5" x14ac:dyDescent="0.35">
      <c r="A468" s="81">
        <v>15000</v>
      </c>
      <c r="B468" s="81" t="s">
        <v>234</v>
      </c>
      <c r="C468" s="81">
        <v>92754738038305</v>
      </c>
      <c r="D468" s="81" t="s">
        <v>80</v>
      </c>
      <c r="E468" s="81" t="s">
        <v>122</v>
      </c>
      <c r="F468" s="81" t="s">
        <v>44</v>
      </c>
      <c r="G468" s="81">
        <v>800611</v>
      </c>
      <c r="H468" s="81" t="s">
        <v>116</v>
      </c>
      <c r="I468" s="81" t="s">
        <v>32</v>
      </c>
      <c r="J468" s="81" t="s">
        <v>33</v>
      </c>
      <c r="K468" s="81" t="s">
        <v>34</v>
      </c>
      <c r="L468" s="81" t="s">
        <v>169</v>
      </c>
      <c r="M468" s="81"/>
      <c r="N468" s="90">
        <v>44271</v>
      </c>
      <c r="O468" s="90">
        <v>44414</v>
      </c>
      <c r="P468" s="90">
        <v>44499</v>
      </c>
      <c r="Q468" s="90" t="s">
        <v>35</v>
      </c>
      <c r="R468" s="81">
        <v>0</v>
      </c>
      <c r="S468" s="90" t="s">
        <v>35</v>
      </c>
      <c r="T468" s="81">
        <v>0</v>
      </c>
      <c r="U468" s="81" t="s">
        <v>36</v>
      </c>
      <c r="V468" s="90" t="s">
        <v>35</v>
      </c>
      <c r="W468" s="81" t="s">
        <v>206</v>
      </c>
      <c r="X468" s="90">
        <v>44280</v>
      </c>
      <c r="Y468" s="81" t="s">
        <v>38</v>
      </c>
      <c r="Z468" s="81">
        <v>0</v>
      </c>
      <c r="AA468" s="81"/>
      <c r="AB468" s="81">
        <v>0</v>
      </c>
      <c r="AC468" s="81"/>
      <c r="AD468" s="81">
        <v>0</v>
      </c>
      <c r="AE468" s="81"/>
      <c r="AF468" s="81" t="s">
        <v>39</v>
      </c>
      <c r="AG468" s="83" t="s">
        <v>1475</v>
      </c>
      <c r="AH468" s="95">
        <v>1.03</v>
      </c>
      <c r="AI468" s="82" t="str">
        <f>CONCATENATE((TEXT(Tabela1[[#This Row],[Data entrega]],"mmmm")),"_",(YEAR(Tabela1[[#This Row],[Data entrega]])))</f>
        <v>agosto_2021</v>
      </c>
      <c r="AJ468" s="77" t="str">
        <f>IFERROR(IF(Tabela1[[#This Row],[Programa]]="",Tabela1[[#This Row],[Peso bruto]],VLOOKUP(Tabela1[[#This Row],[Pedido]],'Saldo a Produzir'!$A:$D,4,0)),"")</f>
        <v/>
      </c>
      <c r="AM468" s="73">
        <v>-4213.2330000000002</v>
      </c>
    </row>
    <row r="469" spans="1:39" ht="14.5" x14ac:dyDescent="0.35">
      <c r="A469" s="81">
        <v>15000</v>
      </c>
      <c r="B469" s="81" t="s">
        <v>234</v>
      </c>
      <c r="C469" s="81">
        <v>92754738038305</v>
      </c>
      <c r="D469" s="81" t="s">
        <v>80</v>
      </c>
      <c r="E469" s="81" t="s">
        <v>122</v>
      </c>
      <c r="F469" s="81" t="s">
        <v>44</v>
      </c>
      <c r="G469" s="81">
        <v>800615</v>
      </c>
      <c r="H469" s="81" t="s">
        <v>116</v>
      </c>
      <c r="I469" s="81" t="s">
        <v>32</v>
      </c>
      <c r="J469" s="81" t="s">
        <v>33</v>
      </c>
      <c r="K469" s="81" t="s">
        <v>34</v>
      </c>
      <c r="L469" s="81" t="s">
        <v>169</v>
      </c>
      <c r="M469" s="81"/>
      <c r="N469" s="90">
        <v>44271</v>
      </c>
      <c r="O469" s="90">
        <v>44414</v>
      </c>
      <c r="P469" s="90">
        <v>44499</v>
      </c>
      <c r="Q469" s="90" t="s">
        <v>35</v>
      </c>
      <c r="R469" s="81">
        <v>0</v>
      </c>
      <c r="S469" s="90" t="s">
        <v>35</v>
      </c>
      <c r="T469" s="81">
        <v>0</v>
      </c>
      <c r="U469" s="81" t="s">
        <v>36</v>
      </c>
      <c r="V469" s="90" t="s">
        <v>35</v>
      </c>
      <c r="W469" s="81" t="s">
        <v>206</v>
      </c>
      <c r="X469" s="90">
        <v>44280</v>
      </c>
      <c r="Y469" s="81" t="s">
        <v>38</v>
      </c>
      <c r="Z469" s="81">
        <v>0</v>
      </c>
      <c r="AA469" s="81"/>
      <c r="AB469" s="81">
        <v>0</v>
      </c>
      <c r="AC469" s="81"/>
      <c r="AD469" s="81">
        <v>0</v>
      </c>
      <c r="AE469" s="81"/>
      <c r="AF469" s="81" t="s">
        <v>39</v>
      </c>
      <c r="AG469" s="83" t="s">
        <v>1475</v>
      </c>
      <c r="AH469" s="95">
        <v>1.03</v>
      </c>
      <c r="AI469" s="82" t="str">
        <f>CONCATENATE((TEXT(Tabela1[[#This Row],[Data entrega]],"mmmm")),"_",(YEAR(Tabela1[[#This Row],[Data entrega]])))</f>
        <v>agosto_2021</v>
      </c>
      <c r="AJ469" s="77" t="str">
        <f>IFERROR(IF(Tabela1[[#This Row],[Programa]]="",Tabela1[[#This Row],[Peso bruto]],VLOOKUP(Tabela1[[#This Row],[Pedido]],'Saldo a Produzir'!$A:$D,4,0)),"")</f>
        <v/>
      </c>
      <c r="AM469" s="73">
        <v>29.41</v>
      </c>
    </row>
    <row r="470" spans="1:39" ht="14.5" x14ac:dyDescent="0.35">
      <c r="A470" s="81">
        <v>15000</v>
      </c>
      <c r="B470" s="81" t="s">
        <v>234</v>
      </c>
      <c r="C470" s="81">
        <v>92754738038305</v>
      </c>
      <c r="D470" s="81" t="s">
        <v>80</v>
      </c>
      <c r="E470" s="81" t="s">
        <v>122</v>
      </c>
      <c r="F470" s="81" t="s">
        <v>44</v>
      </c>
      <c r="G470" s="81">
        <v>800616</v>
      </c>
      <c r="H470" s="81" t="s">
        <v>116</v>
      </c>
      <c r="I470" s="81" t="s">
        <v>32</v>
      </c>
      <c r="J470" s="81" t="s">
        <v>33</v>
      </c>
      <c r="K470" s="81" t="s">
        <v>34</v>
      </c>
      <c r="L470" s="81" t="s">
        <v>169</v>
      </c>
      <c r="M470" s="81"/>
      <c r="N470" s="90">
        <v>44271</v>
      </c>
      <c r="O470" s="90">
        <v>44414</v>
      </c>
      <c r="P470" s="90">
        <v>44499</v>
      </c>
      <c r="Q470" s="90" t="s">
        <v>35</v>
      </c>
      <c r="R470" s="81">
        <v>0</v>
      </c>
      <c r="S470" s="90" t="s">
        <v>35</v>
      </c>
      <c r="T470" s="81">
        <v>0</v>
      </c>
      <c r="U470" s="81" t="s">
        <v>36</v>
      </c>
      <c r="V470" s="90" t="s">
        <v>35</v>
      </c>
      <c r="W470" s="81" t="s">
        <v>206</v>
      </c>
      <c r="X470" s="90">
        <v>44280</v>
      </c>
      <c r="Y470" s="81" t="s">
        <v>38</v>
      </c>
      <c r="Z470" s="81">
        <v>0</v>
      </c>
      <c r="AA470" s="81"/>
      <c r="AB470" s="81">
        <v>0</v>
      </c>
      <c r="AC470" s="81"/>
      <c r="AD470" s="81">
        <v>0</v>
      </c>
      <c r="AE470" s="81"/>
      <c r="AF470" s="81" t="s">
        <v>39</v>
      </c>
      <c r="AG470" s="83" t="s">
        <v>1475</v>
      </c>
      <c r="AH470" s="95">
        <v>1.03</v>
      </c>
      <c r="AI470" s="82" t="str">
        <f>CONCATENATE((TEXT(Tabela1[[#This Row],[Data entrega]],"mmmm")),"_",(YEAR(Tabela1[[#This Row],[Data entrega]])))</f>
        <v>agosto_2021</v>
      </c>
      <c r="AJ470" s="77" t="str">
        <f>IFERROR(IF(Tabela1[[#This Row],[Programa]]="",Tabela1[[#This Row],[Peso bruto]],VLOOKUP(Tabela1[[#This Row],[Pedido]],'Saldo a Produzir'!$A:$D,4,0)),"")</f>
        <v/>
      </c>
      <c r="AM470" s="73">
        <v>61.465000000000003</v>
      </c>
    </row>
    <row r="471" spans="1:39" ht="14.5" x14ac:dyDescent="0.35">
      <c r="A471" s="81">
        <v>15908</v>
      </c>
      <c r="B471" s="81" t="s">
        <v>230</v>
      </c>
      <c r="C471" s="81">
        <v>3002339014418</v>
      </c>
      <c r="D471" s="81" t="s">
        <v>283</v>
      </c>
      <c r="E471" s="81" t="s">
        <v>177</v>
      </c>
      <c r="F471" s="81" t="s">
        <v>44</v>
      </c>
      <c r="G471" s="81">
        <v>800668</v>
      </c>
      <c r="H471" s="81" t="s">
        <v>116</v>
      </c>
      <c r="I471" s="81" t="s">
        <v>976</v>
      </c>
      <c r="J471" s="81" t="s">
        <v>33</v>
      </c>
      <c r="K471" s="81" t="s">
        <v>34</v>
      </c>
      <c r="L471" s="81" t="s">
        <v>239</v>
      </c>
      <c r="M471" s="81"/>
      <c r="N471" s="90">
        <v>44361</v>
      </c>
      <c r="O471" s="90">
        <v>44428</v>
      </c>
      <c r="P471" s="90">
        <v>44513</v>
      </c>
      <c r="Q471" s="90" t="s">
        <v>35</v>
      </c>
      <c r="R471" s="81">
        <v>0</v>
      </c>
      <c r="S471" s="90" t="s">
        <v>35</v>
      </c>
      <c r="T471" s="81">
        <v>0</v>
      </c>
      <c r="U471" s="81" t="s">
        <v>36</v>
      </c>
      <c r="V471" s="90" t="s">
        <v>35</v>
      </c>
      <c r="W471" s="81" t="s">
        <v>1028</v>
      </c>
      <c r="X471" s="90">
        <v>44383</v>
      </c>
      <c r="Y471" s="81" t="s">
        <v>38</v>
      </c>
      <c r="Z471" s="81">
        <v>0</v>
      </c>
      <c r="AA471" s="81"/>
      <c r="AB471" s="81">
        <v>0</v>
      </c>
      <c r="AC471" s="81"/>
      <c r="AD471" s="81">
        <v>0</v>
      </c>
      <c r="AE471" s="81"/>
      <c r="AF471" s="81" t="s">
        <v>39</v>
      </c>
      <c r="AG471" s="83" t="s">
        <v>1475</v>
      </c>
      <c r="AH471" s="95">
        <v>1.03</v>
      </c>
      <c r="AI471" s="82" t="str">
        <f>CONCATENATE((TEXT(Tabela1[[#This Row],[Data entrega]],"mmmm")),"_",(YEAR(Tabela1[[#This Row],[Data entrega]])))</f>
        <v>agosto_2021</v>
      </c>
      <c r="AJ471" s="77" t="str">
        <f>IFERROR(IF(Tabela1[[#This Row],[Programa]]="",Tabela1[[#This Row],[Peso bruto]],VLOOKUP(Tabela1[[#This Row],[Pedido]],'Saldo a Produzir'!$A:$D,4,0)),"")</f>
        <v/>
      </c>
      <c r="AM471" s="73">
        <v>2286.0219999999999</v>
      </c>
    </row>
    <row r="472" spans="1:39" ht="14.5" x14ac:dyDescent="0.35">
      <c r="A472" s="81">
        <v>15908</v>
      </c>
      <c r="B472" s="81" t="s">
        <v>230</v>
      </c>
      <c r="C472" s="81">
        <v>3002339014418</v>
      </c>
      <c r="D472" s="81" t="s">
        <v>283</v>
      </c>
      <c r="E472" s="81" t="s">
        <v>177</v>
      </c>
      <c r="F472" s="81" t="s">
        <v>44</v>
      </c>
      <c r="G472" s="81">
        <v>800669</v>
      </c>
      <c r="H472" s="81" t="s">
        <v>116</v>
      </c>
      <c r="I472" s="81" t="s">
        <v>976</v>
      </c>
      <c r="J472" s="81" t="s">
        <v>33</v>
      </c>
      <c r="K472" s="81" t="s">
        <v>34</v>
      </c>
      <c r="L472" s="81" t="s">
        <v>239</v>
      </c>
      <c r="M472" s="81"/>
      <c r="N472" s="90">
        <v>44361</v>
      </c>
      <c r="O472" s="90">
        <v>44428</v>
      </c>
      <c r="P472" s="90">
        <v>44513</v>
      </c>
      <c r="Q472" s="90" t="s">
        <v>35</v>
      </c>
      <c r="R472" s="81">
        <v>0</v>
      </c>
      <c r="S472" s="90" t="s">
        <v>35</v>
      </c>
      <c r="T472" s="81">
        <v>0</v>
      </c>
      <c r="U472" s="81" t="s">
        <v>36</v>
      </c>
      <c r="V472" s="90" t="s">
        <v>35</v>
      </c>
      <c r="W472" s="81" t="s">
        <v>1028</v>
      </c>
      <c r="X472" s="90">
        <v>44383</v>
      </c>
      <c r="Y472" s="81" t="s">
        <v>38</v>
      </c>
      <c r="Z472" s="81">
        <v>0</v>
      </c>
      <c r="AA472" s="81"/>
      <c r="AB472" s="81">
        <v>0</v>
      </c>
      <c r="AC472" s="81"/>
      <c r="AD472" s="81">
        <v>0</v>
      </c>
      <c r="AE472" s="81"/>
      <c r="AF472" s="81" t="s">
        <v>39</v>
      </c>
      <c r="AG472" s="83" t="s">
        <v>1475</v>
      </c>
      <c r="AH472" s="95">
        <v>1.03</v>
      </c>
      <c r="AI472" s="82" t="str">
        <f>CONCATENATE((TEXT(Tabela1[[#This Row],[Data entrega]],"mmmm")),"_",(YEAR(Tabela1[[#This Row],[Data entrega]])))</f>
        <v>agosto_2021</v>
      </c>
      <c r="AJ472" s="77" t="str">
        <f>IFERROR(IF(Tabela1[[#This Row],[Programa]]="",Tabela1[[#This Row],[Peso bruto]],VLOOKUP(Tabela1[[#This Row],[Pedido]],'Saldo a Produzir'!$A:$D,4,0)),"")</f>
        <v/>
      </c>
      <c r="AM472" s="73">
        <v>-4165.076</v>
      </c>
    </row>
    <row r="473" spans="1:39" ht="14.5" x14ac:dyDescent="0.35">
      <c r="A473" s="81">
        <v>15908</v>
      </c>
      <c r="B473" s="81" t="s">
        <v>230</v>
      </c>
      <c r="C473" s="81">
        <v>92754738047983</v>
      </c>
      <c r="D473" s="81" t="s">
        <v>80</v>
      </c>
      <c r="E473" s="81" t="s">
        <v>177</v>
      </c>
      <c r="F473" s="81" t="s">
        <v>44</v>
      </c>
      <c r="G473" s="81">
        <v>800802</v>
      </c>
      <c r="H473" s="81" t="s">
        <v>134</v>
      </c>
      <c r="I473" s="81" t="s">
        <v>32</v>
      </c>
      <c r="J473" s="81" t="s">
        <v>33</v>
      </c>
      <c r="K473" s="81" t="s">
        <v>34</v>
      </c>
      <c r="L473" s="81" t="s">
        <v>81</v>
      </c>
      <c r="M473" s="81"/>
      <c r="N473" s="90">
        <v>44417</v>
      </c>
      <c r="O473" s="90">
        <v>44431</v>
      </c>
      <c r="P473" s="90">
        <v>44575</v>
      </c>
      <c r="Q473" s="90" t="s">
        <v>35</v>
      </c>
      <c r="R473" s="81">
        <v>0</v>
      </c>
      <c r="S473" s="90" t="s">
        <v>35</v>
      </c>
      <c r="T473" s="81">
        <v>0</v>
      </c>
      <c r="U473" s="81" t="s">
        <v>36</v>
      </c>
      <c r="V473" s="90" t="s">
        <v>35</v>
      </c>
      <c r="W473" s="81" t="s">
        <v>279</v>
      </c>
      <c r="X473" s="90">
        <v>44417</v>
      </c>
      <c r="Y473" s="81" t="s">
        <v>38</v>
      </c>
      <c r="Z473" s="81">
        <v>0</v>
      </c>
      <c r="AA473" s="81"/>
      <c r="AB473" s="81">
        <v>0</v>
      </c>
      <c r="AC473" s="81"/>
      <c r="AD473" s="81">
        <v>0</v>
      </c>
      <c r="AE473" s="81"/>
      <c r="AF473" s="81" t="s">
        <v>39</v>
      </c>
      <c r="AG473" s="83" t="s">
        <v>1475</v>
      </c>
      <c r="AH473" s="95">
        <v>1.03</v>
      </c>
      <c r="AI473" s="82" t="str">
        <f>CONCATENATE((TEXT(Tabela1[[#This Row],[Data entrega]],"mmmm")),"_",(YEAR(Tabela1[[#This Row],[Data entrega]])))</f>
        <v>agosto_2021</v>
      </c>
      <c r="AJ473" s="77" t="str">
        <f>IFERROR(IF(Tabela1[[#This Row],[Programa]]="",Tabela1[[#This Row],[Peso bruto]],VLOOKUP(Tabela1[[#This Row],[Pedido]],'Saldo a Produzir'!$A:$D,4,0)),"")</f>
        <v/>
      </c>
      <c r="AM473" s="73">
        <v>-114.413</v>
      </c>
    </row>
    <row r="474" spans="1:39" ht="14.5" x14ac:dyDescent="0.35">
      <c r="A474" s="81">
        <v>15000</v>
      </c>
      <c r="B474" s="81" t="s">
        <v>234</v>
      </c>
      <c r="C474" s="81">
        <v>87556650001682</v>
      </c>
      <c r="D474" s="81" t="s">
        <v>975</v>
      </c>
      <c r="E474" s="81" t="s">
        <v>233</v>
      </c>
      <c r="F474" s="81" t="s">
        <v>54</v>
      </c>
      <c r="G474" s="81">
        <v>800801</v>
      </c>
      <c r="H474" s="81" t="s">
        <v>92</v>
      </c>
      <c r="I474" s="81" t="s">
        <v>976</v>
      </c>
      <c r="J474" s="81" t="s">
        <v>33</v>
      </c>
      <c r="K474" s="81" t="s">
        <v>34</v>
      </c>
      <c r="L474" s="81"/>
      <c r="M474" s="81"/>
      <c r="N474" s="90">
        <v>44404</v>
      </c>
      <c r="O474" s="90">
        <v>44439</v>
      </c>
      <c r="P474" s="90">
        <v>44404</v>
      </c>
      <c r="Q474" s="90" t="s">
        <v>35</v>
      </c>
      <c r="R474" s="81">
        <v>0</v>
      </c>
      <c r="S474" s="90" t="s">
        <v>35</v>
      </c>
      <c r="T474" s="81">
        <v>0</v>
      </c>
      <c r="U474" s="81" t="s">
        <v>36</v>
      </c>
      <c r="V474" s="90" t="s">
        <v>35</v>
      </c>
      <c r="W474" s="81" t="s">
        <v>1029</v>
      </c>
      <c r="X474" s="90">
        <v>44404</v>
      </c>
      <c r="Y474" s="81" t="s">
        <v>38</v>
      </c>
      <c r="Z474" s="81">
        <v>0</v>
      </c>
      <c r="AA474" s="81"/>
      <c r="AB474" s="81">
        <v>0</v>
      </c>
      <c r="AC474" s="81"/>
      <c r="AD474" s="81">
        <v>0</v>
      </c>
      <c r="AE474" s="81" t="s">
        <v>232</v>
      </c>
      <c r="AF474" s="81" t="s">
        <v>62</v>
      </c>
      <c r="AG474" s="83" t="s">
        <v>1475</v>
      </c>
      <c r="AH474" s="95">
        <v>1.03</v>
      </c>
      <c r="AI474" s="82" t="str">
        <f>CONCATENATE((TEXT(Tabela1[[#This Row],[Data entrega]],"mmmm")),"_",(YEAR(Tabela1[[#This Row],[Data entrega]])))</f>
        <v>agosto_2021</v>
      </c>
      <c r="AJ474" s="77" t="str">
        <f>IFERROR(IF(Tabela1[[#This Row],[Programa]]="",Tabela1[[#This Row],[Peso bruto]],VLOOKUP(Tabela1[[#This Row],[Pedido]],'Saldo a Produzir'!$A:$D,4,0)),"")</f>
        <v/>
      </c>
      <c r="AM474" s="73">
        <v>2299.44</v>
      </c>
    </row>
    <row r="475" spans="1:39" ht="14.5" x14ac:dyDescent="0.35">
      <c r="A475" s="81">
        <v>15908</v>
      </c>
      <c r="B475" s="81" t="s">
        <v>230</v>
      </c>
      <c r="C475" s="81">
        <v>92754738047983</v>
      </c>
      <c r="D475" s="81" t="s">
        <v>80</v>
      </c>
      <c r="E475" s="81" t="s">
        <v>177</v>
      </c>
      <c r="F475" s="81" t="s">
        <v>44</v>
      </c>
      <c r="G475" s="81">
        <v>800804</v>
      </c>
      <c r="H475" s="81"/>
      <c r="I475" s="81" t="s">
        <v>32</v>
      </c>
      <c r="J475" s="81" t="s">
        <v>33</v>
      </c>
      <c r="K475" s="81" t="s">
        <v>34</v>
      </c>
      <c r="L475" s="81" t="s">
        <v>81</v>
      </c>
      <c r="M475" s="81"/>
      <c r="N475" s="90">
        <v>44417</v>
      </c>
      <c r="O475" s="90">
        <v>44476</v>
      </c>
      <c r="P475" s="90">
        <v>44462</v>
      </c>
      <c r="Q475" s="90" t="s">
        <v>35</v>
      </c>
      <c r="R475" s="81">
        <v>0</v>
      </c>
      <c r="S475" s="90" t="s">
        <v>35</v>
      </c>
      <c r="T475" s="81">
        <v>0</v>
      </c>
      <c r="U475" s="81" t="s">
        <v>36</v>
      </c>
      <c r="V475" s="90" t="s">
        <v>35</v>
      </c>
      <c r="W475" s="81" t="s">
        <v>329</v>
      </c>
      <c r="X475" s="90">
        <v>44462</v>
      </c>
      <c r="Y475" s="81" t="s">
        <v>38</v>
      </c>
      <c r="Z475" s="81">
        <v>0</v>
      </c>
      <c r="AA475" s="81"/>
      <c r="AB475" s="81">
        <v>0</v>
      </c>
      <c r="AC475" s="81"/>
      <c r="AD475" s="81">
        <v>0</v>
      </c>
      <c r="AE475" s="81"/>
      <c r="AF475" s="81" t="s">
        <v>39</v>
      </c>
      <c r="AG475" s="83" t="s">
        <v>1475</v>
      </c>
      <c r="AH475" s="95">
        <v>1.03</v>
      </c>
      <c r="AI475" s="82" t="str">
        <f>CONCATENATE((TEXT(Tabela1[[#This Row],[Data entrega]],"mmmm")),"_",(YEAR(Tabela1[[#This Row],[Data entrega]])))</f>
        <v>outubro_2021</v>
      </c>
      <c r="AJ475" s="77" t="str">
        <f>IFERROR(IF(Tabela1[[#This Row],[Programa]]="",Tabela1[[#This Row],[Peso bruto]],VLOOKUP(Tabela1[[#This Row],[Pedido]],'Saldo a Produzir'!$A:$D,4,0)),"")</f>
        <v/>
      </c>
      <c r="AM475" s="73">
        <v>-2367.1790000000001</v>
      </c>
    </row>
    <row r="476" spans="1:39" ht="14.5" x14ac:dyDescent="0.35">
      <c r="A476" s="81">
        <v>0</v>
      </c>
      <c r="B476" s="81"/>
      <c r="C476" s="81">
        <v>87556650001682</v>
      </c>
      <c r="D476" s="81" t="s">
        <v>975</v>
      </c>
      <c r="E476" s="81" t="s">
        <v>233</v>
      </c>
      <c r="F476" s="81" t="s">
        <v>54</v>
      </c>
      <c r="G476" s="81">
        <v>800590</v>
      </c>
      <c r="H476" s="81"/>
      <c r="I476" s="81" t="s">
        <v>976</v>
      </c>
      <c r="J476" s="81" t="s">
        <v>247</v>
      </c>
      <c r="K476" s="81" t="s">
        <v>34</v>
      </c>
      <c r="L476" s="81"/>
      <c r="M476" s="81" t="s">
        <v>1030</v>
      </c>
      <c r="N476" s="90">
        <v>44245</v>
      </c>
      <c r="O476" s="90">
        <v>44477</v>
      </c>
      <c r="P476" s="90">
        <v>44252</v>
      </c>
      <c r="Q476" s="90" t="s">
        <v>35</v>
      </c>
      <c r="R476" s="81">
        <v>0</v>
      </c>
      <c r="S476" s="90" t="s">
        <v>35</v>
      </c>
      <c r="T476" s="81">
        <v>0</v>
      </c>
      <c r="U476" s="81" t="s">
        <v>36</v>
      </c>
      <c r="V476" s="90" t="s">
        <v>35</v>
      </c>
      <c r="W476" s="81" t="s">
        <v>1031</v>
      </c>
      <c r="X476" s="90">
        <v>44256</v>
      </c>
      <c r="Y476" s="81" t="s">
        <v>38</v>
      </c>
      <c r="Z476" s="81">
        <v>0</v>
      </c>
      <c r="AA476" s="81"/>
      <c r="AB476" s="81">
        <v>0</v>
      </c>
      <c r="AC476" s="81"/>
      <c r="AD476" s="81">
        <v>0</v>
      </c>
      <c r="AE476" s="81" t="s">
        <v>232</v>
      </c>
      <c r="AF476" s="81" t="s">
        <v>62</v>
      </c>
      <c r="AG476" s="83" t="s">
        <v>1475</v>
      </c>
      <c r="AH476" s="95">
        <v>1</v>
      </c>
      <c r="AI476" s="82" t="str">
        <f>CONCATENATE((TEXT(Tabela1[[#This Row],[Data entrega]],"mmmm")),"_",(YEAR(Tabela1[[#This Row],[Data entrega]])))</f>
        <v>outubro_2021</v>
      </c>
      <c r="AJ476" s="77" t="str">
        <f>IFERROR(IF(Tabela1[[#This Row],[Programa]]="",Tabela1[[#This Row],[Peso bruto]],VLOOKUP(Tabela1[[#This Row],[Pedido]],'Saldo a Produzir'!$A:$D,4,0)),"")</f>
        <v/>
      </c>
      <c r="AM476" s="73">
        <v>1</v>
      </c>
    </row>
    <row r="477" spans="1:39" ht="14.5" x14ac:dyDescent="0.35">
      <c r="A477" s="81">
        <v>15000</v>
      </c>
      <c r="B477" s="81" t="s">
        <v>234</v>
      </c>
      <c r="C477" s="81">
        <v>87556650000104</v>
      </c>
      <c r="D477" s="81" t="s">
        <v>988</v>
      </c>
      <c r="E477" s="81" t="s">
        <v>77</v>
      </c>
      <c r="F477" s="81" t="s">
        <v>58</v>
      </c>
      <c r="G477" s="81">
        <v>800664</v>
      </c>
      <c r="H477" s="81" t="s">
        <v>87</v>
      </c>
      <c r="I477" s="81" t="s">
        <v>989</v>
      </c>
      <c r="J477" s="81" t="s">
        <v>33</v>
      </c>
      <c r="K477" s="81" t="s">
        <v>34</v>
      </c>
      <c r="L477" s="81"/>
      <c r="M477" s="81"/>
      <c r="N477" s="90">
        <v>44300</v>
      </c>
      <c r="O477" s="90">
        <v>44477</v>
      </c>
      <c r="P477" s="90">
        <v>44301</v>
      </c>
      <c r="Q477" s="90" t="s">
        <v>35</v>
      </c>
      <c r="R477" s="81">
        <v>0</v>
      </c>
      <c r="S477" s="90" t="s">
        <v>35</v>
      </c>
      <c r="T477" s="81">
        <v>0</v>
      </c>
      <c r="U477" s="81" t="s">
        <v>36</v>
      </c>
      <c r="V477" s="90" t="s">
        <v>35</v>
      </c>
      <c r="W477" s="81" t="s">
        <v>1032</v>
      </c>
      <c r="X477" s="90">
        <v>44302</v>
      </c>
      <c r="Y477" s="81" t="s">
        <v>991</v>
      </c>
      <c r="Z477" s="81">
        <v>0</v>
      </c>
      <c r="AA477" s="81"/>
      <c r="AB477" s="81">
        <v>0</v>
      </c>
      <c r="AC477" s="81"/>
      <c r="AD477" s="81">
        <v>0</v>
      </c>
      <c r="AE477" s="81" t="s">
        <v>232</v>
      </c>
      <c r="AF477" s="81" t="s">
        <v>39</v>
      </c>
      <c r="AG477" s="83">
        <v>0</v>
      </c>
      <c r="AH477" s="95">
        <v>152.62</v>
      </c>
      <c r="AI477" s="82" t="str">
        <f>CONCATENATE((TEXT(Tabela1[[#This Row],[Data entrega]],"mmmm")),"_",(YEAR(Tabela1[[#This Row],[Data entrega]])))</f>
        <v>outubro_2021</v>
      </c>
      <c r="AJ477" s="77">
        <f>IFERROR(IF(Tabela1[[#This Row],[Programa]]="",Tabela1[[#This Row],[Peso bruto]],VLOOKUP(Tabela1[[#This Row],[Pedido]],'Saldo a Produzir'!$A:$D,4,0)),"")</f>
        <v>0</v>
      </c>
      <c r="AM477" s="73">
        <v>27.864000000000001</v>
      </c>
    </row>
    <row r="478" spans="1:39" ht="14.5" x14ac:dyDescent="0.35">
      <c r="A478" s="81">
        <v>15000</v>
      </c>
      <c r="B478" s="81" t="s">
        <v>234</v>
      </c>
      <c r="C478" s="81">
        <v>3002339014418</v>
      </c>
      <c r="D478" s="81" t="s">
        <v>283</v>
      </c>
      <c r="E478" s="81" t="s">
        <v>177</v>
      </c>
      <c r="F478" s="81" t="s">
        <v>44</v>
      </c>
      <c r="G478" s="81">
        <v>800809</v>
      </c>
      <c r="H478" s="81" t="s">
        <v>116</v>
      </c>
      <c r="I478" s="81" t="s">
        <v>32</v>
      </c>
      <c r="J478" s="81" t="s">
        <v>33</v>
      </c>
      <c r="K478" s="81" t="s">
        <v>34</v>
      </c>
      <c r="L478" s="81" t="s">
        <v>239</v>
      </c>
      <c r="M478" s="81"/>
      <c r="N478" s="90">
        <v>44440</v>
      </c>
      <c r="O478" s="90">
        <v>44477</v>
      </c>
      <c r="P478" s="90">
        <v>44454</v>
      </c>
      <c r="Q478" s="90" t="s">
        <v>35</v>
      </c>
      <c r="R478" s="81">
        <v>0</v>
      </c>
      <c r="S478" s="90" t="s">
        <v>35</v>
      </c>
      <c r="T478" s="81">
        <v>0</v>
      </c>
      <c r="U478" s="81" t="s">
        <v>36</v>
      </c>
      <c r="V478" s="90" t="s">
        <v>35</v>
      </c>
      <c r="W478" s="81" t="s">
        <v>305</v>
      </c>
      <c r="X478" s="90">
        <v>44454</v>
      </c>
      <c r="Y478" s="81" t="s">
        <v>38</v>
      </c>
      <c r="Z478" s="81">
        <v>0</v>
      </c>
      <c r="AA478" s="81"/>
      <c r="AB478" s="81">
        <v>0</v>
      </c>
      <c r="AC478" s="81"/>
      <c r="AD478" s="81">
        <v>0</v>
      </c>
      <c r="AE478" s="81" t="s">
        <v>153</v>
      </c>
      <c r="AF478" s="81" t="s">
        <v>39</v>
      </c>
      <c r="AG478" s="83" t="s">
        <v>1475</v>
      </c>
      <c r="AH478" s="95">
        <v>1.03</v>
      </c>
      <c r="AI478" s="82" t="str">
        <f>CONCATENATE((TEXT(Tabela1[[#This Row],[Data entrega]],"mmmm")),"_",(YEAR(Tabela1[[#This Row],[Data entrega]])))</f>
        <v>outubro_2021</v>
      </c>
      <c r="AJ478" s="77" t="str">
        <f>IFERROR(IF(Tabela1[[#This Row],[Programa]]="",Tabela1[[#This Row],[Peso bruto]],VLOOKUP(Tabela1[[#This Row],[Pedido]],'Saldo a Produzir'!$A:$D,4,0)),"")</f>
        <v/>
      </c>
      <c r="AM478" s="73">
        <v>158.58199999999999</v>
      </c>
    </row>
    <row r="479" spans="1:39" ht="14.5" x14ac:dyDescent="0.35">
      <c r="A479" s="81">
        <v>15000</v>
      </c>
      <c r="B479" s="81" t="s">
        <v>234</v>
      </c>
      <c r="C479" s="81">
        <v>87556650001410</v>
      </c>
      <c r="D479" s="81" t="s">
        <v>975</v>
      </c>
      <c r="E479" s="81" t="s">
        <v>77</v>
      </c>
      <c r="F479" s="81" t="s">
        <v>58</v>
      </c>
      <c r="G479" s="81">
        <v>800001</v>
      </c>
      <c r="H479" s="81" t="s">
        <v>87</v>
      </c>
      <c r="I479" s="81" t="s">
        <v>989</v>
      </c>
      <c r="J479" s="81" t="s">
        <v>156</v>
      </c>
      <c r="K479" s="81" t="s">
        <v>34</v>
      </c>
      <c r="L479" s="81"/>
      <c r="M479" s="81" t="s">
        <v>1033</v>
      </c>
      <c r="N479" s="90">
        <v>44097</v>
      </c>
      <c r="O479" s="90">
        <v>44477</v>
      </c>
      <c r="P479" s="90">
        <v>44098</v>
      </c>
      <c r="Q479" s="90">
        <v>44163</v>
      </c>
      <c r="R479" s="81">
        <v>949</v>
      </c>
      <c r="S479" s="90">
        <v>44163</v>
      </c>
      <c r="T479" s="81">
        <v>949</v>
      </c>
      <c r="U479" s="81" t="s">
        <v>36</v>
      </c>
      <c r="V479" s="90" t="s">
        <v>35</v>
      </c>
      <c r="W479" s="81" t="s">
        <v>1034</v>
      </c>
      <c r="X479" s="90">
        <v>44099</v>
      </c>
      <c r="Y479" s="81" t="s">
        <v>38</v>
      </c>
      <c r="Z479" s="81">
        <v>11</v>
      </c>
      <c r="AA479" s="81" t="s">
        <v>1025</v>
      </c>
      <c r="AB479" s="81">
        <v>0</v>
      </c>
      <c r="AC479" s="81"/>
      <c r="AD479" s="81">
        <v>0</v>
      </c>
      <c r="AE479" s="81" t="s">
        <v>153</v>
      </c>
      <c r="AF479" s="81" t="s">
        <v>39</v>
      </c>
      <c r="AG479" s="83">
        <v>0</v>
      </c>
      <c r="AH479" s="95">
        <v>2313.46</v>
      </c>
      <c r="AI479" s="82" t="str">
        <f>CONCATENATE((TEXT(Tabela1[[#This Row],[Data entrega]],"mmmm")),"_",(YEAR(Tabela1[[#This Row],[Data entrega]])))</f>
        <v>outubro_2021</v>
      </c>
      <c r="AJ479" s="77">
        <f>IFERROR(IF(Tabela1[[#This Row],[Programa]]="",Tabela1[[#This Row],[Peso bruto]],VLOOKUP(Tabela1[[#This Row],[Pedido]],'Saldo a Produzir'!$A:$D,4,0)),"")</f>
        <v>0</v>
      </c>
      <c r="AM479" s="73">
        <v>462.30700000000002</v>
      </c>
    </row>
    <row r="480" spans="1:39" ht="14.5" x14ac:dyDescent="0.35">
      <c r="A480" s="81">
        <v>15000</v>
      </c>
      <c r="B480" s="81" t="s">
        <v>234</v>
      </c>
      <c r="C480" s="81">
        <v>92754738047983</v>
      </c>
      <c r="D480" s="81" t="s">
        <v>80</v>
      </c>
      <c r="E480" s="81" t="s">
        <v>177</v>
      </c>
      <c r="F480" s="81" t="s">
        <v>44</v>
      </c>
      <c r="G480" s="81">
        <v>800631</v>
      </c>
      <c r="H480" s="81"/>
      <c r="I480" s="81" t="s">
        <v>32</v>
      </c>
      <c r="J480" s="81" t="s">
        <v>33</v>
      </c>
      <c r="K480" s="81" t="s">
        <v>34</v>
      </c>
      <c r="L480" s="81" t="s">
        <v>169</v>
      </c>
      <c r="M480" s="81"/>
      <c r="N480" s="90">
        <v>44271</v>
      </c>
      <c r="O480" s="90">
        <v>44487</v>
      </c>
      <c r="P480" s="90">
        <v>44635</v>
      </c>
      <c r="Q480" s="90" t="s">
        <v>35</v>
      </c>
      <c r="R480" s="81">
        <v>0</v>
      </c>
      <c r="S480" s="90" t="s">
        <v>35</v>
      </c>
      <c r="T480" s="81">
        <v>0</v>
      </c>
      <c r="U480" s="81" t="s">
        <v>36</v>
      </c>
      <c r="V480" s="90" t="s">
        <v>35</v>
      </c>
      <c r="W480" s="81" t="s">
        <v>330</v>
      </c>
      <c r="X480" s="90">
        <v>44466</v>
      </c>
      <c r="Y480" s="81" t="s">
        <v>38</v>
      </c>
      <c r="Z480" s="81">
        <v>0</v>
      </c>
      <c r="AA480" s="81"/>
      <c r="AB480" s="81">
        <v>0</v>
      </c>
      <c r="AC480" s="81"/>
      <c r="AD480" s="81">
        <v>0</v>
      </c>
      <c r="AE480" s="81" t="s">
        <v>153</v>
      </c>
      <c r="AF480" s="81" t="s">
        <v>39</v>
      </c>
      <c r="AG480" s="83">
        <v>0</v>
      </c>
      <c r="AH480" s="95">
        <v>1</v>
      </c>
      <c r="AI480" s="82" t="str">
        <f>CONCATENATE((TEXT(Tabela1[[#This Row],[Data entrega]],"mmmm")),"_",(YEAR(Tabela1[[#This Row],[Data entrega]])))</f>
        <v>outubro_2021</v>
      </c>
      <c r="AJ480" s="77">
        <f>IFERROR(IF(Tabela1[[#This Row],[Programa]]="",Tabela1[[#This Row],[Peso bruto]],VLOOKUP(Tabela1[[#This Row],[Pedido]],'Saldo a Produzir'!$A:$D,4,0)),"")</f>
        <v>0</v>
      </c>
      <c r="AM480" s="73">
        <v>-15486.143</v>
      </c>
    </row>
    <row r="481" spans="1:39" ht="14.5" x14ac:dyDescent="0.35">
      <c r="A481" s="81">
        <v>15062</v>
      </c>
      <c r="B481" s="81" t="s">
        <v>50</v>
      </c>
      <c r="C481" s="81">
        <v>47960950058804</v>
      </c>
      <c r="D481" s="81" t="s">
        <v>240</v>
      </c>
      <c r="E481" s="81" t="s">
        <v>128</v>
      </c>
      <c r="F481" s="81" t="s">
        <v>44</v>
      </c>
      <c r="G481" s="81">
        <v>800815</v>
      </c>
      <c r="H481" s="81"/>
      <c r="I481" s="81" t="s">
        <v>32</v>
      </c>
      <c r="J481" s="81" t="s">
        <v>33</v>
      </c>
      <c r="K481" s="81" t="s">
        <v>34</v>
      </c>
      <c r="L481" s="81" t="s">
        <v>259</v>
      </c>
      <c r="M481" s="81"/>
      <c r="N481" s="90">
        <v>44551</v>
      </c>
      <c r="O481" s="90">
        <v>44554</v>
      </c>
      <c r="P481" s="90">
        <v>44551</v>
      </c>
      <c r="Q481" s="90" t="s">
        <v>35</v>
      </c>
      <c r="R481" s="81">
        <v>0</v>
      </c>
      <c r="S481" s="90" t="s">
        <v>35</v>
      </c>
      <c r="T481" s="81">
        <v>0</v>
      </c>
      <c r="U481" s="81" t="s">
        <v>36</v>
      </c>
      <c r="V481" s="90" t="s">
        <v>35</v>
      </c>
      <c r="W481" s="81" t="s">
        <v>436</v>
      </c>
      <c r="X481" s="90">
        <v>44551</v>
      </c>
      <c r="Y481" s="81" t="s">
        <v>38</v>
      </c>
      <c r="Z481" s="81">
        <v>0</v>
      </c>
      <c r="AA481" s="81"/>
      <c r="AB481" s="81">
        <v>0</v>
      </c>
      <c r="AC481" s="81"/>
      <c r="AD481" s="81">
        <v>0</v>
      </c>
      <c r="AE481" s="81" t="s">
        <v>153</v>
      </c>
      <c r="AF481" s="81" t="s">
        <v>39</v>
      </c>
      <c r="AG481" s="83" t="s">
        <v>1475</v>
      </c>
      <c r="AH481" s="95">
        <v>0</v>
      </c>
      <c r="AI481" s="82" t="str">
        <f>CONCATENATE((TEXT(Tabela1[[#This Row],[Data entrega]],"mmmm")),"_",(YEAR(Tabela1[[#This Row],[Data entrega]])))</f>
        <v>dezembro_2021</v>
      </c>
      <c r="AJ481" s="77" t="str">
        <f>IFERROR(IF(Tabela1[[#This Row],[Programa]]="",Tabela1[[#This Row],[Peso bruto]],VLOOKUP(Tabela1[[#This Row],[Pedido]],'Saldo a Produzir'!$A:$D,4,0)),"")</f>
        <v/>
      </c>
      <c r="AM481" s="73">
        <v>3271.163</v>
      </c>
    </row>
    <row r="482" spans="1:39" ht="14.5" x14ac:dyDescent="0.35">
      <c r="A482" s="81">
        <v>0</v>
      </c>
      <c r="B482" s="81"/>
      <c r="C482" s="81">
        <v>3726636000103</v>
      </c>
      <c r="D482" s="81" t="s">
        <v>1035</v>
      </c>
      <c r="E482" s="81" t="s">
        <v>79</v>
      </c>
      <c r="F482" s="81" t="s">
        <v>44</v>
      </c>
      <c r="G482" s="81">
        <v>723</v>
      </c>
      <c r="H482" s="81"/>
      <c r="I482" s="81" t="s">
        <v>976</v>
      </c>
      <c r="J482" s="81" t="s">
        <v>247</v>
      </c>
      <c r="K482" s="81" t="s">
        <v>34</v>
      </c>
      <c r="L482" s="81"/>
      <c r="M482" s="81"/>
      <c r="N482" s="90">
        <v>44411</v>
      </c>
      <c r="O482" s="90">
        <v>44592</v>
      </c>
      <c r="P482" s="90">
        <v>44411</v>
      </c>
      <c r="Q482" s="90" t="s">
        <v>35</v>
      </c>
      <c r="R482" s="81">
        <v>0</v>
      </c>
      <c r="S482" s="90" t="s">
        <v>35</v>
      </c>
      <c r="T482" s="81">
        <v>0</v>
      </c>
      <c r="U482" s="81" t="s">
        <v>36</v>
      </c>
      <c r="V482" s="90" t="s">
        <v>35</v>
      </c>
      <c r="W482" s="81"/>
      <c r="X482" s="90" t="s">
        <v>37</v>
      </c>
      <c r="Y482" s="81" t="s">
        <v>38</v>
      </c>
      <c r="Z482" s="81">
        <v>0</v>
      </c>
      <c r="AA482" s="81"/>
      <c r="AB482" s="81">
        <v>0</v>
      </c>
      <c r="AC482" s="81"/>
      <c r="AD482" s="81">
        <v>0</v>
      </c>
      <c r="AE482" s="81" t="s">
        <v>1036</v>
      </c>
      <c r="AF482" s="81" t="s">
        <v>39</v>
      </c>
      <c r="AG482" s="83">
        <v>0</v>
      </c>
      <c r="AH482" s="95">
        <v>1.1000000000000001</v>
      </c>
      <c r="AI482" s="82" t="str">
        <f>CONCATENATE((TEXT(Tabela1[[#This Row],[Data entrega]],"mmmm")),"_",(YEAR(Tabela1[[#This Row],[Data entrega]])))</f>
        <v>janeiro_2022</v>
      </c>
      <c r="AJ482" s="77">
        <f>IFERROR(IF(Tabela1[[#This Row],[Programa]]="",Tabela1[[#This Row],[Peso bruto]],VLOOKUP(Tabela1[[#This Row],[Pedido]],'Saldo a Produzir'!$A:$D,4,0)),"")</f>
        <v>0</v>
      </c>
      <c r="AM482" s="73">
        <v>0</v>
      </c>
    </row>
    <row r="483" spans="1:39" ht="14.5" x14ac:dyDescent="0.35">
      <c r="A483" s="81">
        <v>15069</v>
      </c>
      <c r="B483" s="81" t="s">
        <v>297</v>
      </c>
      <c r="C483" s="81">
        <v>8326720000153</v>
      </c>
      <c r="D483" s="81" t="s">
        <v>220</v>
      </c>
      <c r="E483" s="81" t="s">
        <v>180</v>
      </c>
      <c r="F483" s="81" t="s">
        <v>181</v>
      </c>
      <c r="G483" s="81">
        <v>800746</v>
      </c>
      <c r="H483" s="81" t="s">
        <v>92</v>
      </c>
      <c r="I483" s="81" t="s">
        <v>976</v>
      </c>
      <c r="J483" s="81" t="s">
        <v>33</v>
      </c>
      <c r="K483" s="81" t="s">
        <v>34</v>
      </c>
      <c r="L483" s="81" t="s">
        <v>1037</v>
      </c>
      <c r="M483" s="81"/>
      <c r="N483" s="90">
        <v>44327</v>
      </c>
      <c r="O483" s="90">
        <v>44655</v>
      </c>
      <c r="P483" s="90">
        <v>44547</v>
      </c>
      <c r="Q483" s="90" t="s">
        <v>35</v>
      </c>
      <c r="R483" s="81">
        <v>0</v>
      </c>
      <c r="S483" s="90" t="s">
        <v>35</v>
      </c>
      <c r="T483" s="81">
        <v>0</v>
      </c>
      <c r="U483" s="81" t="s">
        <v>36</v>
      </c>
      <c r="V483" s="90" t="s">
        <v>35</v>
      </c>
      <c r="W483" s="81" t="s">
        <v>1038</v>
      </c>
      <c r="X483" s="90">
        <v>44427</v>
      </c>
      <c r="Y483" s="81" t="s">
        <v>38</v>
      </c>
      <c r="Z483" s="81">
        <v>0</v>
      </c>
      <c r="AA483" s="81"/>
      <c r="AB483" s="81">
        <v>0</v>
      </c>
      <c r="AC483" s="81"/>
      <c r="AD483" s="81">
        <v>0</v>
      </c>
      <c r="AE483" s="81"/>
      <c r="AF483" s="81" t="s">
        <v>39</v>
      </c>
      <c r="AG483" s="83">
        <v>155.02000000000001</v>
      </c>
      <c r="AH483" s="95">
        <v>1.02</v>
      </c>
      <c r="AI483" s="82" t="str">
        <f>CONCATENATE((TEXT(Tabela1[[#This Row],[Data entrega]],"mmmm")),"_",(YEAR(Tabela1[[#This Row],[Data entrega]])))</f>
        <v>abril_2022</v>
      </c>
      <c r="AJ483" s="77" t="str">
        <f>IFERROR(IF(Tabela1[[#This Row],[Programa]]="",Tabela1[[#This Row],[Peso bruto]],VLOOKUP(Tabela1[[#This Row],[Pedido]],'Saldo a Produzir'!$A:$D,4,0)),"")</f>
        <v/>
      </c>
      <c r="AM483" s="73">
        <v>7256.152</v>
      </c>
    </row>
    <row r="484" spans="1:39" ht="14.5" x14ac:dyDescent="0.35">
      <c r="A484" s="81">
        <v>15069</v>
      </c>
      <c r="B484" s="81" t="s">
        <v>297</v>
      </c>
      <c r="C484" s="81">
        <v>8326720000153</v>
      </c>
      <c r="D484" s="81" t="s">
        <v>220</v>
      </c>
      <c r="E484" s="81" t="s">
        <v>180</v>
      </c>
      <c r="F484" s="81" t="s">
        <v>181</v>
      </c>
      <c r="G484" s="81">
        <v>800747</v>
      </c>
      <c r="H484" s="81" t="s">
        <v>92</v>
      </c>
      <c r="I484" s="81" t="s">
        <v>976</v>
      </c>
      <c r="J484" s="81" t="s">
        <v>33</v>
      </c>
      <c r="K484" s="81" t="s">
        <v>34</v>
      </c>
      <c r="L484" s="81" t="s">
        <v>1037</v>
      </c>
      <c r="M484" s="81"/>
      <c r="N484" s="90">
        <v>44327</v>
      </c>
      <c r="O484" s="90">
        <v>44709</v>
      </c>
      <c r="P484" s="90">
        <v>44547</v>
      </c>
      <c r="Q484" s="90" t="s">
        <v>35</v>
      </c>
      <c r="R484" s="81">
        <v>0</v>
      </c>
      <c r="S484" s="90" t="s">
        <v>35</v>
      </c>
      <c r="T484" s="81">
        <v>0</v>
      </c>
      <c r="U484" s="81" t="s">
        <v>36</v>
      </c>
      <c r="V484" s="90" t="s">
        <v>35</v>
      </c>
      <c r="W484" s="81" t="s">
        <v>1038</v>
      </c>
      <c r="X484" s="90">
        <v>44427</v>
      </c>
      <c r="Y484" s="81" t="s">
        <v>38</v>
      </c>
      <c r="Z484" s="81">
        <v>0</v>
      </c>
      <c r="AA484" s="81"/>
      <c r="AB484" s="81">
        <v>0</v>
      </c>
      <c r="AC484" s="81"/>
      <c r="AD484" s="81">
        <v>0</v>
      </c>
      <c r="AE484" s="81"/>
      <c r="AF484" s="81" t="s">
        <v>39</v>
      </c>
      <c r="AG484" s="83">
        <v>173.47</v>
      </c>
      <c r="AH484" s="95">
        <v>-5.16</v>
      </c>
      <c r="AI484" s="82" t="str">
        <f>CONCATENATE((TEXT(Tabela1[[#This Row],[Data entrega]],"mmmm")),"_",(YEAR(Tabela1[[#This Row],[Data entrega]])))</f>
        <v>maio_2022</v>
      </c>
      <c r="AJ484" s="77" t="str">
        <f>IFERROR(IF(Tabela1[[#This Row],[Programa]]="",Tabela1[[#This Row],[Peso bruto]],VLOOKUP(Tabela1[[#This Row],[Pedido]],'Saldo a Produzir'!$A:$D,4,0)),"")</f>
        <v/>
      </c>
      <c r="AM484" s="73">
        <v>23268.378000000001</v>
      </c>
    </row>
    <row r="485" spans="1:39" ht="14.5" x14ac:dyDescent="0.35">
      <c r="A485" s="81">
        <v>15069</v>
      </c>
      <c r="B485" s="81" t="s">
        <v>297</v>
      </c>
      <c r="C485" s="81">
        <v>8326720000153</v>
      </c>
      <c r="D485" s="81" t="s">
        <v>220</v>
      </c>
      <c r="E485" s="81" t="s">
        <v>180</v>
      </c>
      <c r="F485" s="81" t="s">
        <v>181</v>
      </c>
      <c r="G485" s="81">
        <v>800745</v>
      </c>
      <c r="H485" s="81" t="s">
        <v>92</v>
      </c>
      <c r="I485" s="81" t="s">
        <v>976</v>
      </c>
      <c r="J485" s="81" t="s">
        <v>33</v>
      </c>
      <c r="K485" s="81" t="s">
        <v>34</v>
      </c>
      <c r="L485" s="81" t="s">
        <v>1037</v>
      </c>
      <c r="M485" s="81"/>
      <c r="N485" s="90">
        <v>44327</v>
      </c>
      <c r="O485" s="90">
        <v>44712</v>
      </c>
      <c r="P485" s="90">
        <v>44547</v>
      </c>
      <c r="Q485" s="90" t="s">
        <v>35</v>
      </c>
      <c r="R485" s="81">
        <v>0</v>
      </c>
      <c r="S485" s="90" t="s">
        <v>35</v>
      </c>
      <c r="T485" s="81">
        <v>0</v>
      </c>
      <c r="U485" s="81" t="s">
        <v>36</v>
      </c>
      <c r="V485" s="90" t="s">
        <v>35</v>
      </c>
      <c r="W485" s="81" t="s">
        <v>1038</v>
      </c>
      <c r="X485" s="90">
        <v>44427</v>
      </c>
      <c r="Y485" s="81" t="s">
        <v>38</v>
      </c>
      <c r="Z485" s="81">
        <v>0</v>
      </c>
      <c r="AA485" s="81"/>
      <c r="AB485" s="81">
        <v>0</v>
      </c>
      <c r="AC485" s="81"/>
      <c r="AD485" s="81">
        <v>0</v>
      </c>
      <c r="AE485" s="81"/>
      <c r="AF485" s="81" t="s">
        <v>39</v>
      </c>
      <c r="AG485" s="83">
        <v>145.18</v>
      </c>
      <c r="AH485" s="95">
        <v>-1.04</v>
      </c>
      <c r="AI485" s="82" t="str">
        <f>CONCATENATE((TEXT(Tabela1[[#This Row],[Data entrega]],"mmmm")),"_",(YEAR(Tabela1[[#This Row],[Data entrega]])))</f>
        <v>maio_2022</v>
      </c>
      <c r="AJ485" s="77" t="str">
        <f>IFERROR(IF(Tabela1[[#This Row],[Programa]]="",Tabela1[[#This Row],[Peso bruto]],VLOOKUP(Tabela1[[#This Row],[Pedido]],'Saldo a Produzir'!$A:$D,4,0)),"")</f>
        <v/>
      </c>
      <c r="AM485" s="73">
        <v>6951.268</v>
      </c>
    </row>
    <row r="486" spans="1:39" ht="14.5" x14ac:dyDescent="0.35">
      <c r="A486" s="81">
        <v>15070</v>
      </c>
      <c r="B486" s="81" t="s">
        <v>140</v>
      </c>
      <c r="C486" s="81">
        <v>77595395005025</v>
      </c>
      <c r="D486" s="81" t="s">
        <v>207</v>
      </c>
      <c r="E486" s="81" t="s">
        <v>208</v>
      </c>
      <c r="F486" s="81" t="s">
        <v>42</v>
      </c>
      <c r="G486" s="81">
        <v>800704</v>
      </c>
      <c r="H486" s="81" t="s">
        <v>91</v>
      </c>
      <c r="I486" s="81" t="s">
        <v>976</v>
      </c>
      <c r="J486" s="81" t="s">
        <v>33</v>
      </c>
      <c r="K486" s="81" t="s">
        <v>34</v>
      </c>
      <c r="L486" s="81" t="s">
        <v>1039</v>
      </c>
      <c r="M486" s="81">
        <v>2260950</v>
      </c>
      <c r="N486" s="90">
        <v>44285</v>
      </c>
      <c r="O486" s="90">
        <v>44739</v>
      </c>
      <c r="P486" s="90">
        <v>44494</v>
      </c>
      <c r="Q486" s="90" t="s">
        <v>35</v>
      </c>
      <c r="R486" s="81">
        <v>0</v>
      </c>
      <c r="S486" s="90" t="s">
        <v>35</v>
      </c>
      <c r="T486" s="81">
        <v>0</v>
      </c>
      <c r="U486" s="81" t="s">
        <v>36</v>
      </c>
      <c r="V486" s="90" t="s">
        <v>35</v>
      </c>
      <c r="W486" s="81" t="s">
        <v>218</v>
      </c>
      <c r="X486" s="90">
        <v>44330</v>
      </c>
      <c r="Y486" s="81" t="s">
        <v>38</v>
      </c>
      <c r="Z486" s="81">
        <v>0</v>
      </c>
      <c r="AA486" s="81"/>
      <c r="AB486" s="81">
        <v>0</v>
      </c>
      <c r="AC486" s="81"/>
      <c r="AD486" s="81">
        <v>0</v>
      </c>
      <c r="AE486" s="81" t="s">
        <v>153</v>
      </c>
      <c r="AF486" s="81" t="s">
        <v>39</v>
      </c>
      <c r="AG486" s="83">
        <v>23385.100000000002</v>
      </c>
      <c r="AH486" s="95">
        <v>-6.2</v>
      </c>
      <c r="AI486" s="82" t="str">
        <f>CONCATENATE((TEXT(Tabela1[[#This Row],[Data entrega]],"mmmm")),"_",(YEAR(Tabela1[[#This Row],[Data entrega]])))</f>
        <v>junho_2022</v>
      </c>
      <c r="AJ486" s="77">
        <f>IFERROR(IF(Tabela1[[#This Row],[Programa]]="",Tabela1[[#This Row],[Peso bruto]],VLOOKUP(Tabela1[[#This Row],[Pedido]],'Saldo a Produzir'!$A:$D,4,0)),"")</f>
        <v>19365.620000000003</v>
      </c>
      <c r="AM486" s="73">
        <v>42610.650999999998</v>
      </c>
    </row>
  </sheetData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e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152400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ar_Plan">
                <anchor moveWithCells="1" sizeWithCells="1">
                  <from>
                    <xdr:col>1</xdr:col>
                    <xdr:colOff>1524000</xdr:colOff>
                    <xdr:row>0</xdr:row>
                    <xdr:rowOff>0</xdr:rowOff>
                  </from>
                  <to>
                    <xdr:col>2</xdr:col>
                    <xdr:colOff>355600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impar">
                <anchor moveWithCells="1" sizeWithCells="1">
                  <from>
                    <xdr:col>1</xdr:col>
                    <xdr:colOff>228600</xdr:colOff>
                    <xdr:row>0</xdr:row>
                    <xdr:rowOff>0</xdr:rowOff>
                  </from>
                  <to>
                    <xdr:col>1</xdr:col>
                    <xdr:colOff>1384300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bre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152400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Formatar_Plan">
                <anchor moveWithCells="1" sizeWithCells="1">
                  <from>
                    <xdr:col>1</xdr:col>
                    <xdr:colOff>1524000</xdr:colOff>
                    <xdr:row>0</xdr:row>
                    <xdr:rowOff>0</xdr:rowOff>
                  </from>
                  <to>
                    <xdr:col>2</xdr:col>
                    <xdr:colOff>355600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impar">
                <anchor moveWithCells="1" sizeWithCells="1">
                  <from>
                    <xdr:col>1</xdr:col>
                    <xdr:colOff>228600</xdr:colOff>
                    <xdr:row>0</xdr:row>
                    <xdr:rowOff>0</xdr:rowOff>
                  </from>
                  <to>
                    <xdr:col>1</xdr:col>
                    <xdr:colOff>1384300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B7CDB-653A-420A-995D-ED7FABDD3B9C}">
  <sheetPr codeName="Planilha2"/>
  <dimension ref="A1:S30"/>
  <sheetViews>
    <sheetView showGridLines="0" workbookViewId="0">
      <selection activeCell="K7" sqref="K7"/>
    </sheetView>
  </sheetViews>
  <sheetFormatPr defaultRowHeight="14.5" x14ac:dyDescent="0.35"/>
  <cols>
    <col min="1" max="1" width="10.54296875" bestFit="1" customWidth="1"/>
    <col min="2" max="2" width="11" bestFit="1" customWidth="1"/>
    <col min="3" max="3" width="14.26953125" bestFit="1" customWidth="1"/>
    <col min="4" max="4" width="14.1796875" bestFit="1" customWidth="1"/>
    <col min="5" max="5" width="13.26953125" bestFit="1" customWidth="1"/>
    <col min="6" max="6" width="6.81640625" bestFit="1" customWidth="1"/>
    <col min="7" max="7" width="8.7265625" bestFit="1" customWidth="1"/>
    <col min="8" max="8" width="11" bestFit="1" customWidth="1"/>
    <col min="9" max="9" width="14.54296875" bestFit="1" customWidth="1"/>
    <col min="10" max="10" width="7.453125" bestFit="1" customWidth="1"/>
    <col min="11" max="11" width="11.1796875" bestFit="1" customWidth="1"/>
    <col min="13" max="13" width="7.453125" bestFit="1" customWidth="1"/>
    <col min="15" max="15" width="10.7265625" bestFit="1" customWidth="1"/>
    <col min="16" max="16" width="9.1796875" bestFit="1" customWidth="1"/>
    <col min="17" max="17" width="10" bestFit="1" customWidth="1"/>
    <col min="18" max="18" width="8.7265625" bestFit="1" customWidth="1"/>
    <col min="19" max="19" width="14.453125" bestFit="1" customWidth="1"/>
  </cols>
  <sheetData>
    <row r="1" spans="1:19" x14ac:dyDescent="0.35">
      <c r="B1" s="84">
        <f>SUBTOTAL(1,Tabela9[Comercial])</f>
        <v>3</v>
      </c>
      <c r="C1" s="84">
        <f>SUBTOTAL(1,Tabela9[Engenharia do Produto])</f>
        <v>11.409090909090908</v>
      </c>
      <c r="D1" s="84">
        <f>SUBTOTAL(1,Tabela9[Planejamento (MRP)])</f>
        <v>1</v>
      </c>
      <c r="E1" s="84">
        <f>SUBTOTAL(1,Tabela9[PCP])</f>
        <v>3</v>
      </c>
      <c r="F1" s="84">
        <f>SUBTOTAL(1,Tabela9[PCP])</f>
        <v>3</v>
      </c>
      <c r="G1" s="84">
        <f>SUBTOTAL(1,Tabela9[Fábrica])</f>
        <v>49.272727272727273</v>
      </c>
      <c r="H1" s="84">
        <f>SUBTOTAL(1,Tabela9[Expedição])</f>
        <v>7.3181818181818183</v>
      </c>
      <c r="I1" s="84">
        <f>SUBTOTAL(1,Tabela9[Expedição])</f>
        <v>7.3181818181818183</v>
      </c>
      <c r="J1" s="84">
        <f>SUBTOTAL(1,Tabela9[Total (dias)])</f>
        <v>85</v>
      </c>
      <c r="K1" s="84">
        <f>SUBTOTAL(1,Tabela9[Total (semanas)])</f>
        <v>12.681818181818182</v>
      </c>
      <c r="M1" s="102" t="s">
        <v>1483</v>
      </c>
      <c r="O1" s="103">
        <f ca="1">TODAY()</f>
        <v>44733</v>
      </c>
      <c r="P1" s="103"/>
      <c r="Q1" s="103"/>
      <c r="R1" s="103"/>
    </row>
    <row r="2" spans="1:19" x14ac:dyDescent="0.35">
      <c r="B2" s="104"/>
      <c r="C2" s="104"/>
      <c r="D2" s="104"/>
      <c r="E2" s="104"/>
      <c r="F2" s="104"/>
      <c r="G2" s="104"/>
      <c r="H2" s="104"/>
      <c r="I2" s="104"/>
      <c r="J2" s="104"/>
      <c r="K2" s="104"/>
      <c r="M2" s="102"/>
      <c r="O2" s="103"/>
      <c r="P2" s="103"/>
      <c r="Q2" s="103"/>
      <c r="R2" s="103"/>
    </row>
    <row r="3" spans="1:19" ht="30" customHeight="1" x14ac:dyDescent="0.35">
      <c r="A3" s="68" t="s">
        <v>1225</v>
      </c>
      <c r="B3" s="68" t="s">
        <v>1221</v>
      </c>
      <c r="C3" s="68" t="s">
        <v>1222</v>
      </c>
      <c r="D3" s="68" t="s">
        <v>1226</v>
      </c>
      <c r="E3" s="68" t="s">
        <v>1496</v>
      </c>
      <c r="F3" s="68" t="s">
        <v>1215</v>
      </c>
      <c r="G3" s="68" t="s">
        <v>1223</v>
      </c>
      <c r="H3" s="68" t="s">
        <v>1224</v>
      </c>
      <c r="I3" s="68" t="s">
        <v>1417</v>
      </c>
      <c r="J3" s="71" t="s">
        <v>1227</v>
      </c>
      <c r="K3" s="71" t="s">
        <v>1228</v>
      </c>
      <c r="P3" s="105" t="s">
        <v>1495</v>
      </c>
      <c r="Q3" s="106" t="s">
        <v>1415</v>
      </c>
      <c r="R3" s="106" t="s">
        <v>1494</v>
      </c>
      <c r="S3" s="106" t="s">
        <v>1493</v>
      </c>
    </row>
    <row r="4" spans="1:19" x14ac:dyDescent="0.35">
      <c r="A4" s="69" t="s">
        <v>87</v>
      </c>
      <c r="B4" s="69">
        <v>3</v>
      </c>
      <c r="C4" s="69">
        <v>1</v>
      </c>
      <c r="D4" s="69">
        <v>1</v>
      </c>
      <c r="E4" s="69">
        <v>3</v>
      </c>
      <c r="F4" s="101">
        <v>3</v>
      </c>
      <c r="G4" s="101">
        <v>21</v>
      </c>
      <c r="H4" s="70">
        <v>4</v>
      </c>
      <c r="I4" s="70">
        <v>7</v>
      </c>
      <c r="J4" s="88">
        <f>SUM(Tabela9[[#This Row],[Comercial]:[Tranpostadora]])</f>
        <v>43</v>
      </c>
      <c r="K4" s="72">
        <f t="shared" ref="K4:K25" si="0">ROUNDUP(J4/7,0)</f>
        <v>7</v>
      </c>
      <c r="O4" s="75"/>
      <c r="P4" s="90">
        <f ca="1">$O$1+SUM(Tabela9[[#This Row],[Comercial]:[Suprimentos/ USBER]])</f>
        <v>44741</v>
      </c>
      <c r="Q4" s="90">
        <f ca="1">$O$1+SUM(Tabela9[[#This Row],[Comercial]:[Fábrica]])</f>
        <v>44765</v>
      </c>
      <c r="R4" s="90">
        <f ca="1">$O$1+SUM(Tabela9[[#This Row],[Comercial]:[Expedição]])</f>
        <v>44769</v>
      </c>
      <c r="S4" s="90">
        <f ca="1">$O$1+Tabela9[[#This Row],[Total (dias)]]</f>
        <v>44776</v>
      </c>
    </row>
    <row r="5" spans="1:19" x14ac:dyDescent="0.35">
      <c r="A5" s="69" t="s">
        <v>88</v>
      </c>
      <c r="B5" s="69">
        <v>3</v>
      </c>
      <c r="C5" s="69">
        <v>2</v>
      </c>
      <c r="D5" s="69">
        <v>1</v>
      </c>
      <c r="E5" s="69">
        <v>3</v>
      </c>
      <c r="F5" s="101">
        <v>3</v>
      </c>
      <c r="G5" s="101">
        <v>36</v>
      </c>
      <c r="H5" s="70">
        <v>5</v>
      </c>
      <c r="I5" s="70">
        <v>7</v>
      </c>
      <c r="J5" s="88">
        <f>SUM(Tabela9[[#This Row],[Comercial]:[Tranpostadora]])</f>
        <v>60</v>
      </c>
      <c r="K5" s="72">
        <f t="shared" si="0"/>
        <v>9</v>
      </c>
      <c r="O5" s="75"/>
      <c r="P5" s="90">
        <f ca="1">$O$1+SUM(Tabela9[[#This Row],[Comercial]:[Suprimentos/ USBER]])</f>
        <v>44742</v>
      </c>
      <c r="Q5" s="90">
        <f ca="1">$O$1+SUM(Tabela9[[#This Row],[Comercial]:[Fábrica]])</f>
        <v>44781</v>
      </c>
      <c r="R5" s="90">
        <f ca="1">$O$1+SUM(Tabela9[[#This Row],[Comercial]:[Expedição]])</f>
        <v>44786</v>
      </c>
      <c r="S5" s="90">
        <f ca="1">$O$1+Tabela9[[#This Row],[Total (dias)]]</f>
        <v>44793</v>
      </c>
    </row>
    <row r="6" spans="1:19" x14ac:dyDescent="0.35">
      <c r="A6" s="69" t="s">
        <v>92</v>
      </c>
      <c r="B6" s="69">
        <v>3</v>
      </c>
      <c r="C6" s="69">
        <v>4</v>
      </c>
      <c r="D6" s="69">
        <v>1</v>
      </c>
      <c r="E6" s="69">
        <v>3</v>
      </c>
      <c r="F6" s="101">
        <v>3</v>
      </c>
      <c r="G6" s="101">
        <v>51</v>
      </c>
      <c r="H6" s="70">
        <v>5</v>
      </c>
      <c r="I6" s="70">
        <v>7</v>
      </c>
      <c r="J6" s="88">
        <f>SUM(Tabela9[[#This Row],[Comercial]:[Tranpostadora]])</f>
        <v>77</v>
      </c>
      <c r="K6" s="72">
        <f t="shared" si="0"/>
        <v>11</v>
      </c>
      <c r="O6" s="75"/>
      <c r="P6" s="90">
        <f ca="1">$O$1+SUM(Tabela9[[#This Row],[Comercial]:[Suprimentos/ USBER]])</f>
        <v>44744</v>
      </c>
      <c r="Q6" s="90">
        <f ca="1">$O$1+SUM(Tabela9[[#This Row],[Comercial]:[Fábrica]])</f>
        <v>44798</v>
      </c>
      <c r="R6" s="90">
        <f ca="1">$O$1+SUM(Tabela9[[#This Row],[Comercial]:[Expedição]])</f>
        <v>44803</v>
      </c>
      <c r="S6" s="90">
        <f ca="1">$O$1+Tabela9[[#This Row],[Total (dias)]]</f>
        <v>44810</v>
      </c>
    </row>
    <row r="7" spans="1:19" x14ac:dyDescent="0.35">
      <c r="A7" s="69" t="s">
        <v>90</v>
      </c>
      <c r="B7" s="69">
        <v>3</v>
      </c>
      <c r="C7" s="69">
        <v>1</v>
      </c>
      <c r="D7" s="69">
        <v>1</v>
      </c>
      <c r="E7" s="69">
        <v>3</v>
      </c>
      <c r="F7" s="101">
        <v>3</v>
      </c>
      <c r="G7" s="101">
        <v>36</v>
      </c>
      <c r="H7" s="70">
        <v>7</v>
      </c>
      <c r="I7" s="70">
        <v>7</v>
      </c>
      <c r="J7" s="88">
        <f>SUM(Tabela9[[#This Row],[Comercial]:[Tranpostadora]])</f>
        <v>61</v>
      </c>
      <c r="K7" s="72">
        <f t="shared" si="0"/>
        <v>9</v>
      </c>
      <c r="O7" s="75"/>
      <c r="P7" s="90">
        <f ca="1">$O$1+SUM(Tabela9[[#This Row],[Comercial]:[Suprimentos/ USBER]])</f>
        <v>44741</v>
      </c>
      <c r="Q7" s="90">
        <f ca="1">$O$1+SUM(Tabela9[[#This Row],[Comercial]:[Fábrica]])</f>
        <v>44780</v>
      </c>
      <c r="R7" s="90">
        <f ca="1">$O$1+SUM(Tabela9[[#This Row],[Comercial]:[Expedição]])</f>
        <v>44787</v>
      </c>
      <c r="S7" s="90">
        <f ca="1">$O$1+Tabela9[[#This Row],[Total (dias)]]</f>
        <v>44794</v>
      </c>
    </row>
    <row r="8" spans="1:19" x14ac:dyDescent="0.35">
      <c r="A8" s="69" t="s">
        <v>91</v>
      </c>
      <c r="B8" s="69">
        <v>3</v>
      </c>
      <c r="C8" s="69">
        <v>6</v>
      </c>
      <c r="D8" s="69">
        <v>1</v>
      </c>
      <c r="E8" s="69">
        <v>3</v>
      </c>
      <c r="F8" s="101">
        <v>3</v>
      </c>
      <c r="G8" s="101">
        <v>56</v>
      </c>
      <c r="H8" s="70">
        <v>7</v>
      </c>
      <c r="I8" s="70">
        <v>7</v>
      </c>
      <c r="J8" s="88">
        <f>SUM(Tabela9[[#This Row],[Comercial]:[Tranpostadora]])</f>
        <v>86</v>
      </c>
      <c r="K8" s="72">
        <f t="shared" si="0"/>
        <v>13</v>
      </c>
      <c r="O8" s="75"/>
      <c r="P8" s="90">
        <f ca="1">$O$1+SUM(Tabela9[[#This Row],[Comercial]:[Suprimentos/ USBER]])</f>
        <v>44746</v>
      </c>
      <c r="Q8" s="90">
        <f ca="1">$O$1+SUM(Tabela9[[#This Row],[Comercial]:[Fábrica]])</f>
        <v>44805</v>
      </c>
      <c r="R8" s="90">
        <f ca="1">$O$1+SUM(Tabela9[[#This Row],[Comercial]:[Expedição]])</f>
        <v>44812</v>
      </c>
      <c r="S8" s="90">
        <f ca="1">$O$1+Tabela9[[#This Row],[Total (dias)]]</f>
        <v>44819</v>
      </c>
    </row>
    <row r="9" spans="1:19" x14ac:dyDescent="0.35">
      <c r="A9" s="69" t="s">
        <v>1216</v>
      </c>
      <c r="B9" s="69">
        <v>3</v>
      </c>
      <c r="C9" s="69">
        <v>6</v>
      </c>
      <c r="D9" s="69">
        <v>1</v>
      </c>
      <c r="E9" s="69">
        <v>3</v>
      </c>
      <c r="F9" s="101">
        <v>3</v>
      </c>
      <c r="G9" s="101">
        <v>56</v>
      </c>
      <c r="H9" s="70">
        <v>7</v>
      </c>
      <c r="I9" s="70">
        <v>7</v>
      </c>
      <c r="J9" s="88">
        <f>SUM(Tabela9[[#This Row],[Comercial]:[Tranpostadora]])</f>
        <v>86</v>
      </c>
      <c r="K9" s="72">
        <f t="shared" si="0"/>
        <v>13</v>
      </c>
      <c r="O9" s="75"/>
      <c r="P9" s="90">
        <f ca="1">$O$1+SUM(Tabela9[[#This Row],[Comercial]:[Suprimentos/ USBER]])</f>
        <v>44746</v>
      </c>
      <c r="Q9" s="90">
        <f ca="1">$O$1+SUM(Tabela9[[#This Row],[Comercial]:[Fábrica]])</f>
        <v>44805</v>
      </c>
      <c r="R9" s="90">
        <f ca="1">$O$1+SUM(Tabela9[[#This Row],[Comercial]:[Expedição]])</f>
        <v>44812</v>
      </c>
      <c r="S9" s="90">
        <f ca="1">$O$1+Tabela9[[#This Row],[Total (dias)]]</f>
        <v>44819</v>
      </c>
    </row>
    <row r="10" spans="1:19" x14ac:dyDescent="0.35">
      <c r="A10" s="69" t="s">
        <v>131</v>
      </c>
      <c r="B10" s="69">
        <v>3</v>
      </c>
      <c r="C10" s="69">
        <v>10</v>
      </c>
      <c r="D10" s="69">
        <v>1</v>
      </c>
      <c r="E10" s="69">
        <v>3</v>
      </c>
      <c r="F10" s="101">
        <v>3</v>
      </c>
      <c r="G10" s="101">
        <v>52</v>
      </c>
      <c r="H10" s="70">
        <v>9</v>
      </c>
      <c r="I10" s="70">
        <v>7</v>
      </c>
      <c r="J10" s="88">
        <f>SUM(Tabela9[[#This Row],[Comercial]:[Tranpostadora]])</f>
        <v>88</v>
      </c>
      <c r="K10" s="72">
        <f t="shared" si="0"/>
        <v>13</v>
      </c>
      <c r="O10" s="75"/>
      <c r="P10" s="90">
        <f ca="1">$O$1+SUM(Tabela9[[#This Row],[Comercial]:[Suprimentos/ USBER]])</f>
        <v>44750</v>
      </c>
      <c r="Q10" s="90">
        <f ca="1">$O$1+SUM(Tabela9[[#This Row],[Comercial]:[Fábrica]])</f>
        <v>44805</v>
      </c>
      <c r="R10" s="90">
        <f ca="1">$O$1+SUM(Tabela9[[#This Row],[Comercial]:[Expedição]])</f>
        <v>44814</v>
      </c>
      <c r="S10" s="90">
        <f ca="1">$O$1+Tabela9[[#This Row],[Total (dias)]]</f>
        <v>44821</v>
      </c>
    </row>
    <row r="11" spans="1:19" x14ac:dyDescent="0.35">
      <c r="A11" s="69" t="s">
        <v>86</v>
      </c>
      <c r="B11" s="69">
        <v>3</v>
      </c>
      <c r="C11" s="69">
        <v>4</v>
      </c>
      <c r="D11" s="69">
        <v>1</v>
      </c>
      <c r="E11" s="69">
        <v>3</v>
      </c>
      <c r="F11" s="101">
        <v>3</v>
      </c>
      <c r="G11" s="101">
        <v>36</v>
      </c>
      <c r="H11" s="70">
        <v>8</v>
      </c>
      <c r="I11" s="70">
        <v>7</v>
      </c>
      <c r="J11" s="88">
        <f>SUM(Tabela9[[#This Row],[Comercial]:[Tranpostadora]])</f>
        <v>65</v>
      </c>
      <c r="K11" s="72">
        <f t="shared" si="0"/>
        <v>10</v>
      </c>
      <c r="O11" s="75"/>
      <c r="P11" s="90">
        <f ca="1">$O$1+SUM(Tabela9[[#This Row],[Comercial]:[Suprimentos/ USBER]])</f>
        <v>44744</v>
      </c>
      <c r="Q11" s="90">
        <f ca="1">$O$1+SUM(Tabela9[[#This Row],[Comercial]:[Fábrica]])</f>
        <v>44783</v>
      </c>
      <c r="R11" s="90">
        <f ca="1">$O$1+SUM(Tabela9[[#This Row],[Comercial]:[Expedição]])</f>
        <v>44791</v>
      </c>
      <c r="S11" s="90">
        <f ca="1">$O$1+Tabela9[[#This Row],[Total (dias)]]</f>
        <v>44798</v>
      </c>
    </row>
    <row r="12" spans="1:19" x14ac:dyDescent="0.35">
      <c r="A12" s="69" t="s">
        <v>89</v>
      </c>
      <c r="B12" s="69">
        <v>3</v>
      </c>
      <c r="C12" s="69">
        <v>9</v>
      </c>
      <c r="D12" s="69">
        <v>1</v>
      </c>
      <c r="E12" s="69">
        <v>3</v>
      </c>
      <c r="F12" s="101">
        <v>3</v>
      </c>
      <c r="G12" s="101">
        <v>47</v>
      </c>
      <c r="H12" s="70">
        <v>8</v>
      </c>
      <c r="I12" s="70">
        <v>7</v>
      </c>
      <c r="J12" s="88">
        <f>SUM(Tabela9[[#This Row],[Comercial]:[Tranpostadora]])</f>
        <v>81</v>
      </c>
      <c r="K12" s="72">
        <f t="shared" si="0"/>
        <v>12</v>
      </c>
      <c r="O12" s="75"/>
      <c r="P12" s="90">
        <f ca="1">$O$1+SUM(Tabela9[[#This Row],[Comercial]:[Suprimentos/ USBER]])</f>
        <v>44749</v>
      </c>
      <c r="Q12" s="90">
        <f ca="1">$O$1+SUM(Tabela9[[#This Row],[Comercial]:[Fábrica]])</f>
        <v>44799</v>
      </c>
      <c r="R12" s="90">
        <f ca="1">$O$1+SUM(Tabela9[[#This Row],[Comercial]:[Expedição]])</f>
        <v>44807</v>
      </c>
      <c r="S12" s="90">
        <f ca="1">$O$1+Tabela9[[#This Row],[Total (dias)]]</f>
        <v>44814</v>
      </c>
    </row>
    <row r="13" spans="1:19" x14ac:dyDescent="0.35">
      <c r="A13" s="69" t="s">
        <v>112</v>
      </c>
      <c r="B13" s="69">
        <v>3</v>
      </c>
      <c r="C13" s="69">
        <v>4</v>
      </c>
      <c r="D13" s="69">
        <v>1</v>
      </c>
      <c r="E13" s="69">
        <v>3</v>
      </c>
      <c r="F13" s="101">
        <v>3</v>
      </c>
      <c r="G13" s="101">
        <v>36</v>
      </c>
      <c r="H13" s="70">
        <v>7</v>
      </c>
      <c r="I13" s="70">
        <v>7</v>
      </c>
      <c r="J13" s="88">
        <f>SUM(Tabela9[[#This Row],[Comercial]:[Tranpostadora]])</f>
        <v>64</v>
      </c>
      <c r="K13" s="72">
        <f t="shared" si="0"/>
        <v>10</v>
      </c>
      <c r="O13" s="75"/>
      <c r="P13" s="90">
        <f ca="1">$O$1+SUM(Tabela9[[#This Row],[Comercial]:[Suprimentos/ USBER]])</f>
        <v>44744</v>
      </c>
      <c r="Q13" s="90">
        <f ca="1">$O$1+SUM(Tabela9[[#This Row],[Comercial]:[Fábrica]])</f>
        <v>44783</v>
      </c>
      <c r="R13" s="90">
        <f ca="1">$O$1+SUM(Tabela9[[#This Row],[Comercial]:[Expedição]])</f>
        <v>44790</v>
      </c>
      <c r="S13" s="90">
        <f ca="1">$O$1+Tabela9[[#This Row],[Total (dias)]]</f>
        <v>44797</v>
      </c>
    </row>
    <row r="14" spans="1:19" x14ac:dyDescent="0.35">
      <c r="A14" s="69" t="s">
        <v>1217</v>
      </c>
      <c r="B14" s="69">
        <v>3</v>
      </c>
      <c r="C14" s="69">
        <v>9</v>
      </c>
      <c r="D14" s="69">
        <v>1</v>
      </c>
      <c r="E14" s="69">
        <v>3</v>
      </c>
      <c r="F14" s="101">
        <v>3</v>
      </c>
      <c r="G14" s="101">
        <v>48</v>
      </c>
      <c r="H14" s="70">
        <v>7</v>
      </c>
      <c r="I14" s="70">
        <v>7</v>
      </c>
      <c r="J14" s="88">
        <f>SUM(Tabela9[[#This Row],[Comercial]:[Tranpostadora]])</f>
        <v>81</v>
      </c>
      <c r="K14" s="72">
        <f t="shared" si="0"/>
        <v>12</v>
      </c>
      <c r="O14" s="75"/>
      <c r="P14" s="90">
        <f ca="1">$O$1+SUM(Tabela9[[#This Row],[Comercial]:[Suprimentos/ USBER]])</f>
        <v>44749</v>
      </c>
      <c r="Q14" s="90">
        <f ca="1">$O$1+SUM(Tabela9[[#This Row],[Comercial]:[Fábrica]])</f>
        <v>44800</v>
      </c>
      <c r="R14" s="90">
        <f ca="1">$O$1+SUM(Tabela9[[#This Row],[Comercial]:[Expedição]])</f>
        <v>44807</v>
      </c>
      <c r="S14" s="90">
        <f ca="1">$O$1+Tabela9[[#This Row],[Total (dias)]]</f>
        <v>44814</v>
      </c>
    </row>
    <row r="15" spans="1:19" x14ac:dyDescent="0.35">
      <c r="A15" s="69" t="s">
        <v>95</v>
      </c>
      <c r="B15" s="69">
        <v>3</v>
      </c>
      <c r="C15" s="69">
        <v>10</v>
      </c>
      <c r="D15" s="69">
        <v>1</v>
      </c>
      <c r="E15" s="69">
        <v>3</v>
      </c>
      <c r="F15" s="101">
        <v>3</v>
      </c>
      <c r="G15" s="101">
        <v>52</v>
      </c>
      <c r="H15" s="70">
        <v>7</v>
      </c>
      <c r="I15" s="70">
        <v>7</v>
      </c>
      <c r="J15" s="88">
        <f>SUM(Tabela9[[#This Row],[Comercial]:[Tranpostadora]])</f>
        <v>86</v>
      </c>
      <c r="K15" s="72">
        <f t="shared" si="0"/>
        <v>13</v>
      </c>
      <c r="O15" s="75"/>
      <c r="P15" s="90">
        <f ca="1">$O$1+SUM(Tabela9[[#This Row],[Comercial]:[Suprimentos/ USBER]])</f>
        <v>44750</v>
      </c>
      <c r="Q15" s="90">
        <f ca="1">$O$1+SUM(Tabela9[[#This Row],[Comercial]:[Fábrica]])</f>
        <v>44805</v>
      </c>
      <c r="R15" s="90">
        <f ca="1">$O$1+SUM(Tabela9[[#This Row],[Comercial]:[Expedição]])</f>
        <v>44812</v>
      </c>
      <c r="S15" s="90">
        <f ca="1">$O$1+Tabela9[[#This Row],[Total (dias)]]</f>
        <v>44819</v>
      </c>
    </row>
    <row r="16" spans="1:19" x14ac:dyDescent="0.35">
      <c r="A16" s="69" t="s">
        <v>414</v>
      </c>
      <c r="B16" s="69">
        <v>3</v>
      </c>
      <c r="C16" s="69">
        <v>5</v>
      </c>
      <c r="D16" s="69">
        <v>1</v>
      </c>
      <c r="E16" s="69">
        <v>3</v>
      </c>
      <c r="F16" s="101">
        <v>3</v>
      </c>
      <c r="G16" s="101">
        <v>55</v>
      </c>
      <c r="H16" s="70">
        <v>7</v>
      </c>
      <c r="I16" s="70">
        <v>7</v>
      </c>
      <c r="J16" s="88">
        <f>SUM(Tabela9[[#This Row],[Comercial]:[Tranpostadora]])</f>
        <v>84</v>
      </c>
      <c r="K16" s="72">
        <f t="shared" si="0"/>
        <v>12</v>
      </c>
      <c r="O16" s="75"/>
      <c r="P16" s="90">
        <f ca="1">$O$1+SUM(Tabela9[[#This Row],[Comercial]:[Suprimentos/ USBER]])</f>
        <v>44745</v>
      </c>
      <c r="Q16" s="90">
        <f ca="1">$O$1+SUM(Tabela9[[#This Row],[Comercial]:[Fábrica]])</f>
        <v>44803</v>
      </c>
      <c r="R16" s="90">
        <f ca="1">$O$1+SUM(Tabela9[[#This Row],[Comercial]:[Expedição]])</f>
        <v>44810</v>
      </c>
      <c r="S16" s="90">
        <f ca="1">$O$1+Tabela9[[#This Row],[Total (dias)]]</f>
        <v>44817</v>
      </c>
    </row>
    <row r="17" spans="1:19" x14ac:dyDescent="0.35">
      <c r="A17" s="69" t="s">
        <v>93</v>
      </c>
      <c r="B17" s="69">
        <v>3</v>
      </c>
      <c r="C17" s="69">
        <v>12</v>
      </c>
      <c r="D17" s="69">
        <v>1</v>
      </c>
      <c r="E17" s="69">
        <v>3</v>
      </c>
      <c r="F17" s="101">
        <v>3</v>
      </c>
      <c r="G17" s="101">
        <v>35</v>
      </c>
      <c r="H17" s="70">
        <v>8</v>
      </c>
      <c r="I17" s="70">
        <v>7</v>
      </c>
      <c r="J17" s="88">
        <f>SUM(Tabela9[[#This Row],[Comercial]:[Tranpostadora]])</f>
        <v>72</v>
      </c>
      <c r="K17" s="72">
        <f t="shared" si="0"/>
        <v>11</v>
      </c>
      <c r="O17" s="75"/>
      <c r="P17" s="90">
        <f ca="1">$O$1+SUM(Tabela9[[#This Row],[Comercial]:[Suprimentos/ USBER]])</f>
        <v>44752</v>
      </c>
      <c r="Q17" s="90">
        <f ca="1">$O$1+SUM(Tabela9[[#This Row],[Comercial]:[Fábrica]])</f>
        <v>44790</v>
      </c>
      <c r="R17" s="90">
        <f ca="1">$O$1+SUM(Tabela9[[#This Row],[Comercial]:[Expedição]])</f>
        <v>44798</v>
      </c>
      <c r="S17" s="90">
        <f ca="1">$O$1+Tabela9[[#This Row],[Total (dias)]]</f>
        <v>44805</v>
      </c>
    </row>
    <row r="18" spans="1:19" x14ac:dyDescent="0.35">
      <c r="A18" s="69" t="s">
        <v>891</v>
      </c>
      <c r="B18" s="69">
        <v>3</v>
      </c>
      <c r="C18" s="69">
        <v>14</v>
      </c>
      <c r="D18" s="69">
        <v>1</v>
      </c>
      <c r="E18" s="69">
        <v>3</v>
      </c>
      <c r="F18" s="101">
        <v>3</v>
      </c>
      <c r="G18" s="101">
        <v>71</v>
      </c>
      <c r="H18" s="70">
        <v>10</v>
      </c>
      <c r="I18" s="70">
        <v>7</v>
      </c>
      <c r="J18" s="88">
        <f>SUM(Tabela9[[#This Row],[Comercial]:[Tranpostadora]])</f>
        <v>112</v>
      </c>
      <c r="K18" s="72">
        <f t="shared" si="0"/>
        <v>16</v>
      </c>
      <c r="O18" s="75"/>
      <c r="P18" s="90">
        <f ca="1">$O$1+SUM(Tabela9[[#This Row],[Comercial]:[Suprimentos/ USBER]])</f>
        <v>44754</v>
      </c>
      <c r="Q18" s="90">
        <f ca="1">$O$1+SUM(Tabela9[[#This Row],[Comercial]:[Fábrica]])</f>
        <v>44828</v>
      </c>
      <c r="R18" s="90">
        <f ca="1">$O$1+SUM(Tabela9[[#This Row],[Comercial]:[Expedição]])</f>
        <v>44838</v>
      </c>
      <c r="S18" s="90">
        <f ca="1">$O$1+Tabela9[[#This Row],[Total (dias)]]</f>
        <v>44845</v>
      </c>
    </row>
    <row r="19" spans="1:19" x14ac:dyDescent="0.35">
      <c r="A19" s="69" t="s">
        <v>124</v>
      </c>
      <c r="B19" s="69">
        <v>3</v>
      </c>
      <c r="C19" s="69">
        <v>38</v>
      </c>
      <c r="D19" s="69">
        <v>1</v>
      </c>
      <c r="E19" s="69">
        <v>3</v>
      </c>
      <c r="F19" s="101">
        <v>3</v>
      </c>
      <c r="G19" s="101">
        <v>63</v>
      </c>
      <c r="H19" s="70">
        <v>10</v>
      </c>
      <c r="I19" s="70">
        <v>7</v>
      </c>
      <c r="J19" s="88">
        <f>SUM(Tabela9[[#This Row],[Comercial]:[Tranpostadora]])</f>
        <v>128</v>
      </c>
      <c r="K19" s="72">
        <f t="shared" si="0"/>
        <v>19</v>
      </c>
      <c r="O19" s="75"/>
      <c r="P19" s="90">
        <f ca="1">$O$1+SUM(Tabela9[[#This Row],[Comercial]:[Suprimentos/ USBER]])</f>
        <v>44778</v>
      </c>
      <c r="Q19" s="90">
        <f ca="1">$O$1+SUM(Tabela9[[#This Row],[Comercial]:[Fábrica]])</f>
        <v>44844</v>
      </c>
      <c r="R19" s="90">
        <f ca="1">$O$1+SUM(Tabela9[[#This Row],[Comercial]:[Expedição]])</f>
        <v>44854</v>
      </c>
      <c r="S19" s="90">
        <f ca="1">$O$1+Tabela9[[#This Row],[Total (dias)]]</f>
        <v>44861</v>
      </c>
    </row>
    <row r="20" spans="1:19" x14ac:dyDescent="0.35">
      <c r="A20" s="69" t="s">
        <v>116</v>
      </c>
      <c r="B20" s="69">
        <v>3</v>
      </c>
      <c r="C20" s="69">
        <v>15</v>
      </c>
      <c r="D20" s="69">
        <v>1</v>
      </c>
      <c r="E20" s="69">
        <v>3</v>
      </c>
      <c r="F20" s="101">
        <v>3</v>
      </c>
      <c r="G20" s="101">
        <v>67</v>
      </c>
      <c r="H20" s="70">
        <v>7</v>
      </c>
      <c r="I20" s="70">
        <v>7</v>
      </c>
      <c r="J20" s="88">
        <f>SUM(Tabela9[[#This Row],[Comercial]:[Tranpostadora]])</f>
        <v>106</v>
      </c>
      <c r="K20" s="72">
        <f t="shared" si="0"/>
        <v>16</v>
      </c>
      <c r="O20" s="75"/>
      <c r="P20" s="90">
        <f ca="1">$O$1+SUM(Tabela9[[#This Row],[Comercial]:[Suprimentos/ USBER]])</f>
        <v>44755</v>
      </c>
      <c r="Q20" s="90">
        <f ca="1">$O$1+SUM(Tabela9[[#This Row],[Comercial]:[Fábrica]])</f>
        <v>44825</v>
      </c>
      <c r="R20" s="90">
        <f ca="1">$O$1+SUM(Tabela9[[#This Row],[Comercial]:[Expedição]])</f>
        <v>44832</v>
      </c>
      <c r="S20" s="90">
        <f ca="1">$O$1+Tabela9[[#This Row],[Total (dias)]]</f>
        <v>44839</v>
      </c>
    </row>
    <row r="21" spans="1:19" x14ac:dyDescent="0.35">
      <c r="A21" s="69" t="s">
        <v>1002</v>
      </c>
      <c r="B21" s="69">
        <v>3</v>
      </c>
      <c r="C21" s="69">
        <v>30</v>
      </c>
      <c r="D21" s="69">
        <v>1</v>
      </c>
      <c r="E21" s="69">
        <v>3</v>
      </c>
      <c r="F21" s="101">
        <v>3</v>
      </c>
      <c r="G21" s="101">
        <v>86</v>
      </c>
      <c r="H21" s="70">
        <v>8</v>
      </c>
      <c r="I21" s="70">
        <v>7</v>
      </c>
      <c r="J21" s="88">
        <f>SUM(Tabela9[[#This Row],[Comercial]:[Tranpostadora]])</f>
        <v>141</v>
      </c>
      <c r="K21" s="72">
        <f t="shared" si="0"/>
        <v>21</v>
      </c>
      <c r="O21" s="75"/>
      <c r="P21" s="90">
        <f ca="1">$O$1+SUM(Tabela9[[#This Row],[Comercial]:[Suprimentos/ USBER]])</f>
        <v>44770</v>
      </c>
      <c r="Q21" s="90">
        <f ca="1">$O$1+SUM(Tabela9[[#This Row],[Comercial]:[Fábrica]])</f>
        <v>44859</v>
      </c>
      <c r="R21" s="90">
        <f ca="1">$O$1+SUM(Tabela9[[#This Row],[Comercial]:[Expedição]])</f>
        <v>44867</v>
      </c>
      <c r="S21" s="90">
        <f ca="1">$O$1+Tabela9[[#This Row],[Total (dias)]]</f>
        <v>44874</v>
      </c>
    </row>
    <row r="22" spans="1:19" x14ac:dyDescent="0.35">
      <c r="A22" s="69" t="s">
        <v>134</v>
      </c>
      <c r="B22" s="69">
        <v>3</v>
      </c>
      <c r="C22" s="69">
        <v>15</v>
      </c>
      <c r="D22" s="69">
        <v>1</v>
      </c>
      <c r="E22" s="69">
        <v>3</v>
      </c>
      <c r="F22" s="101">
        <v>3</v>
      </c>
      <c r="G22" s="101">
        <v>42</v>
      </c>
      <c r="H22" s="70">
        <v>8</v>
      </c>
      <c r="I22" s="70">
        <v>7</v>
      </c>
      <c r="J22" s="88">
        <f>SUM(Tabela9[[#This Row],[Comercial]:[Tranpostadora]])</f>
        <v>82</v>
      </c>
      <c r="K22" s="72">
        <f t="shared" si="0"/>
        <v>12</v>
      </c>
      <c r="O22" s="75"/>
      <c r="P22" s="90">
        <f ca="1">$O$1+SUM(Tabela9[[#This Row],[Comercial]:[Suprimentos/ USBER]])</f>
        <v>44755</v>
      </c>
      <c r="Q22" s="90">
        <f ca="1">$O$1+SUM(Tabela9[[#This Row],[Comercial]:[Fábrica]])</f>
        <v>44800</v>
      </c>
      <c r="R22" s="90">
        <f ca="1">$O$1+SUM(Tabela9[[#This Row],[Comercial]:[Expedição]])</f>
        <v>44808</v>
      </c>
      <c r="S22" s="90">
        <f ca="1">$O$1+Tabela9[[#This Row],[Total (dias)]]</f>
        <v>44815</v>
      </c>
    </row>
    <row r="23" spans="1:19" x14ac:dyDescent="0.35">
      <c r="A23" s="69" t="s">
        <v>1218</v>
      </c>
      <c r="B23" s="69">
        <v>3</v>
      </c>
      <c r="C23" s="69">
        <v>20</v>
      </c>
      <c r="D23" s="69">
        <v>1</v>
      </c>
      <c r="E23" s="69">
        <v>3</v>
      </c>
      <c r="F23" s="101">
        <v>3</v>
      </c>
      <c r="G23" s="101">
        <v>42</v>
      </c>
      <c r="H23" s="70">
        <v>8</v>
      </c>
      <c r="I23" s="70">
        <v>7</v>
      </c>
      <c r="J23" s="88">
        <f>SUM(Tabela9[[#This Row],[Comercial]:[Tranpostadora]])</f>
        <v>87</v>
      </c>
      <c r="K23" s="72">
        <f t="shared" si="0"/>
        <v>13</v>
      </c>
      <c r="O23" s="75"/>
      <c r="P23" s="90">
        <f ca="1">$O$1+SUM(Tabela9[[#This Row],[Comercial]:[Suprimentos/ USBER]])</f>
        <v>44760</v>
      </c>
      <c r="Q23" s="90">
        <f ca="1">$O$1+SUM(Tabela9[[#This Row],[Comercial]:[Fábrica]])</f>
        <v>44805</v>
      </c>
      <c r="R23" s="90">
        <f ca="1">$O$1+SUM(Tabela9[[#This Row],[Comercial]:[Expedição]])</f>
        <v>44813</v>
      </c>
      <c r="S23" s="90">
        <f ca="1">$O$1+Tabela9[[#This Row],[Total (dias)]]</f>
        <v>44820</v>
      </c>
    </row>
    <row r="24" spans="1:19" x14ac:dyDescent="0.35">
      <c r="A24" s="69" t="s">
        <v>1219</v>
      </c>
      <c r="B24" s="69">
        <v>3</v>
      </c>
      <c r="C24" s="69">
        <v>24</v>
      </c>
      <c r="D24" s="69">
        <v>1</v>
      </c>
      <c r="E24" s="69">
        <v>3</v>
      </c>
      <c r="F24" s="101">
        <v>3</v>
      </c>
      <c r="G24" s="101">
        <v>54</v>
      </c>
      <c r="H24" s="70">
        <v>7</v>
      </c>
      <c r="I24" s="70">
        <v>7</v>
      </c>
      <c r="J24" s="88">
        <f>SUM(Tabela9[[#This Row],[Comercial]:[Tranpostadora]])</f>
        <v>102</v>
      </c>
      <c r="K24" s="72">
        <f t="shared" si="0"/>
        <v>15</v>
      </c>
      <c r="O24" s="75"/>
      <c r="P24" s="90">
        <f ca="1">$O$1+SUM(Tabela9[[#This Row],[Comercial]:[Suprimentos/ USBER]])</f>
        <v>44764</v>
      </c>
      <c r="Q24" s="90">
        <f ca="1">$O$1+SUM(Tabela9[[#This Row],[Comercial]:[Fábrica]])</f>
        <v>44821</v>
      </c>
      <c r="R24" s="90">
        <f ca="1">$O$1+SUM(Tabela9[[#This Row],[Comercial]:[Expedição]])</f>
        <v>44828</v>
      </c>
      <c r="S24" s="90">
        <f ca="1">$O$1+Tabela9[[#This Row],[Total (dias)]]</f>
        <v>44835</v>
      </c>
    </row>
    <row r="25" spans="1:19" x14ac:dyDescent="0.35">
      <c r="A25" s="69" t="s">
        <v>1220</v>
      </c>
      <c r="B25" s="69">
        <v>3</v>
      </c>
      <c r="C25" s="69">
        <v>12</v>
      </c>
      <c r="D25" s="69">
        <v>1</v>
      </c>
      <c r="E25" s="69">
        <v>3</v>
      </c>
      <c r="F25" s="101">
        <v>3</v>
      </c>
      <c r="G25" s="101">
        <v>42</v>
      </c>
      <c r="H25" s="70">
        <v>7</v>
      </c>
      <c r="I25" s="70">
        <v>7</v>
      </c>
      <c r="J25" s="88">
        <f>SUM(Tabela9[[#This Row],[Comercial]:[Tranpostadora]])</f>
        <v>78</v>
      </c>
      <c r="K25" s="72">
        <f t="shared" si="0"/>
        <v>12</v>
      </c>
      <c r="O25" s="75"/>
      <c r="P25" s="90">
        <f ca="1">$O$1+SUM(Tabela9[[#This Row],[Comercial]:[Suprimentos/ USBER]])</f>
        <v>44752</v>
      </c>
      <c r="Q25" s="90">
        <f ca="1">$O$1+SUM(Tabela9[[#This Row],[Comercial]:[Fábrica]])</f>
        <v>44797</v>
      </c>
      <c r="R25" s="90">
        <f ca="1">$O$1+SUM(Tabela9[[#This Row],[Comercial]:[Expedição]])</f>
        <v>44804</v>
      </c>
      <c r="S25" s="90">
        <f ca="1">$O$1+Tabela9[[#This Row],[Total (dias)]]</f>
        <v>44811</v>
      </c>
    </row>
    <row r="26" spans="1:19" ht="52" x14ac:dyDescent="0.35">
      <c r="A26" s="69"/>
      <c r="B26" s="98" t="s">
        <v>1476</v>
      </c>
      <c r="C26" s="97" t="s">
        <v>1477</v>
      </c>
      <c r="D26" s="97" t="s">
        <v>1478</v>
      </c>
      <c r="E26" s="98" t="s">
        <v>1497</v>
      </c>
      <c r="F26" s="99" t="s">
        <v>1479</v>
      </c>
      <c r="G26" s="100" t="s">
        <v>1480</v>
      </c>
      <c r="H26" s="99" t="s">
        <v>1481</v>
      </c>
      <c r="I26" s="100" t="s">
        <v>1482</v>
      </c>
      <c r="J26" s="88"/>
      <c r="K26" s="72"/>
      <c r="O26" s="75"/>
      <c r="P26" s="75"/>
      <c r="Q26" s="75"/>
      <c r="R26" s="75"/>
    </row>
    <row r="28" spans="1:19" ht="15" customHeight="1" x14ac:dyDescent="0.35">
      <c r="A28" s="107" t="s">
        <v>1229</v>
      </c>
      <c r="B28" s="107"/>
      <c r="C28" s="107"/>
      <c r="D28" s="107"/>
      <c r="E28" s="107"/>
      <c r="F28" s="107"/>
      <c r="G28" s="107"/>
      <c r="H28" s="107"/>
      <c r="I28" s="107"/>
      <c r="J28" s="107"/>
      <c r="K28" s="107"/>
    </row>
    <row r="29" spans="1:19" ht="15" customHeight="1" x14ac:dyDescent="0.3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</row>
    <row r="30" spans="1:19" ht="15" customHeight="1" x14ac:dyDescent="0.3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</row>
  </sheetData>
  <mergeCells count="1">
    <mergeCell ref="A28:K30"/>
  </mergeCell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B8322-4A45-483E-8BC8-C099E9043F83}">
  <sheetPr codeName="Planilha3"/>
  <dimension ref="A1:D337"/>
  <sheetViews>
    <sheetView showGridLines="0" workbookViewId="0">
      <selection activeCell="A3" sqref="A3:D322"/>
    </sheetView>
  </sheetViews>
  <sheetFormatPr defaultColWidth="9.54296875" defaultRowHeight="14.5" x14ac:dyDescent="0.35"/>
  <cols>
    <col min="1" max="1" width="10.54296875" bestFit="1" customWidth="1"/>
    <col min="2" max="2" width="20.81640625" bestFit="1" customWidth="1"/>
    <col min="3" max="3" width="20.26953125" bestFit="1" customWidth="1"/>
    <col min="4" max="4" width="14.7265625" bestFit="1" customWidth="1"/>
  </cols>
  <sheetData>
    <row r="1" spans="1:4" x14ac:dyDescent="0.35">
      <c r="C1">
        <f>SUBTOTAL(9,Tabela10[Soma de PBR Saldo])</f>
        <v>6161299.0800000057</v>
      </c>
      <c r="D1">
        <f>SUBTOTAL(9,Tabela10[Soma de PBR Saldo])</f>
        <v>6161299.0800000057</v>
      </c>
    </row>
    <row r="2" spans="1:4" x14ac:dyDescent="0.35">
      <c r="A2" t="s">
        <v>6</v>
      </c>
      <c r="B2" t="s">
        <v>1254</v>
      </c>
      <c r="C2" t="s">
        <v>1255</v>
      </c>
      <c r="D2" t="s">
        <v>1393</v>
      </c>
    </row>
    <row r="3" spans="1:4" x14ac:dyDescent="0.35">
      <c r="A3">
        <v>23434</v>
      </c>
      <c r="B3" t="s">
        <v>203</v>
      </c>
      <c r="C3" s="76">
        <v>6579.48</v>
      </c>
      <c r="D3" s="76">
        <v>0</v>
      </c>
    </row>
    <row r="4" spans="1:4" x14ac:dyDescent="0.35">
      <c r="A4">
        <v>23504</v>
      </c>
      <c r="B4" t="s">
        <v>1257</v>
      </c>
      <c r="C4" s="76">
        <v>3990.31</v>
      </c>
      <c r="D4" s="76">
        <v>3425.35</v>
      </c>
    </row>
    <row r="5" spans="1:4" x14ac:dyDescent="0.35">
      <c r="A5">
        <v>23505</v>
      </c>
      <c r="B5" t="s">
        <v>1257</v>
      </c>
      <c r="C5" s="76">
        <v>12258.74</v>
      </c>
      <c r="D5" s="76">
        <v>14280.94</v>
      </c>
    </row>
    <row r="6" spans="1:4" x14ac:dyDescent="0.35">
      <c r="A6">
        <v>23717</v>
      </c>
      <c r="B6" t="s">
        <v>1258</v>
      </c>
      <c r="C6" s="76">
        <v>566.65</v>
      </c>
      <c r="D6" s="76">
        <v>0</v>
      </c>
    </row>
    <row r="7" spans="1:4" x14ac:dyDescent="0.35">
      <c r="A7">
        <v>23776</v>
      </c>
      <c r="B7" t="s">
        <v>1398</v>
      </c>
      <c r="C7" s="76">
        <v>11.16</v>
      </c>
      <c r="D7" s="76">
        <v>0</v>
      </c>
    </row>
    <row r="8" spans="1:4" x14ac:dyDescent="0.35">
      <c r="A8">
        <v>23827</v>
      </c>
      <c r="B8" t="s">
        <v>1259</v>
      </c>
      <c r="C8" s="76">
        <v>4428.58</v>
      </c>
      <c r="D8" s="76">
        <v>3484.38</v>
      </c>
    </row>
    <row r="9" spans="1:4" x14ac:dyDescent="0.35">
      <c r="A9">
        <v>23828</v>
      </c>
      <c r="B9" t="s">
        <v>1259</v>
      </c>
      <c r="C9" s="76">
        <v>4630.7299999999996</v>
      </c>
      <c r="D9" s="76">
        <v>4646.7299999999996</v>
      </c>
    </row>
    <row r="10" spans="1:4" x14ac:dyDescent="0.35">
      <c r="A10">
        <v>23850</v>
      </c>
      <c r="B10" t="s">
        <v>1256</v>
      </c>
      <c r="C10" s="76">
        <v>280</v>
      </c>
      <c r="D10" s="76">
        <v>0</v>
      </c>
    </row>
    <row r="11" spans="1:4" x14ac:dyDescent="0.35">
      <c r="A11">
        <v>23851</v>
      </c>
      <c r="B11" t="s">
        <v>1256</v>
      </c>
      <c r="C11" s="76">
        <v>3385.51</v>
      </c>
      <c r="D11" s="76">
        <v>1048.97</v>
      </c>
    </row>
    <row r="12" spans="1:4" x14ac:dyDescent="0.35">
      <c r="A12">
        <v>23900</v>
      </c>
      <c r="B12" t="s">
        <v>1260</v>
      </c>
      <c r="C12" s="76">
        <v>24.69</v>
      </c>
      <c r="D12" s="76">
        <v>0</v>
      </c>
    </row>
    <row r="13" spans="1:4" x14ac:dyDescent="0.35">
      <c r="A13">
        <v>23923</v>
      </c>
      <c r="B13" t="s">
        <v>1261</v>
      </c>
      <c r="C13" s="76">
        <v>888.66</v>
      </c>
      <c r="D13" s="76">
        <v>49.5</v>
      </c>
    </row>
    <row r="14" spans="1:4" x14ac:dyDescent="0.35">
      <c r="A14">
        <v>24163</v>
      </c>
      <c r="B14" t="s">
        <v>1262</v>
      </c>
      <c r="C14" s="76">
        <v>457</v>
      </c>
      <c r="D14" s="76">
        <v>69.94</v>
      </c>
    </row>
    <row r="15" spans="1:4" x14ac:dyDescent="0.35">
      <c r="A15">
        <v>24225</v>
      </c>
      <c r="B15" t="s">
        <v>1264</v>
      </c>
      <c r="C15" s="76">
        <v>90194.01</v>
      </c>
      <c r="D15" s="76">
        <v>4326.55</v>
      </c>
    </row>
    <row r="16" spans="1:4" x14ac:dyDescent="0.35">
      <c r="A16">
        <v>24436</v>
      </c>
      <c r="B16" t="s">
        <v>1399</v>
      </c>
      <c r="C16" s="76">
        <v>193.17</v>
      </c>
      <c r="D16" s="76">
        <v>71.73</v>
      </c>
    </row>
    <row r="17" spans="1:4" x14ac:dyDescent="0.35">
      <c r="A17">
        <v>24502</v>
      </c>
      <c r="B17" t="s">
        <v>1265</v>
      </c>
      <c r="C17" s="76">
        <v>45539.9</v>
      </c>
      <c r="D17" s="76">
        <v>23983.940000000002</v>
      </c>
    </row>
    <row r="18" spans="1:4" x14ac:dyDescent="0.35">
      <c r="A18">
        <v>24515</v>
      </c>
      <c r="B18" t="s">
        <v>1266</v>
      </c>
      <c r="C18" s="76">
        <v>168.4</v>
      </c>
      <c r="D18" s="76">
        <v>257.57</v>
      </c>
    </row>
    <row r="19" spans="1:4" x14ac:dyDescent="0.35">
      <c r="A19">
        <v>24588</v>
      </c>
      <c r="B19" t="s">
        <v>306</v>
      </c>
      <c r="C19" s="76">
        <v>121528.37</v>
      </c>
      <c r="D19" s="76">
        <v>920.87</v>
      </c>
    </row>
    <row r="20" spans="1:4" x14ac:dyDescent="0.35">
      <c r="A20">
        <v>24646</v>
      </c>
      <c r="B20" t="s">
        <v>1267</v>
      </c>
      <c r="C20" s="76">
        <v>-238810.55</v>
      </c>
      <c r="D20" s="76">
        <v>22686.99</v>
      </c>
    </row>
    <row r="21" spans="1:4" x14ac:dyDescent="0.35">
      <c r="A21">
        <v>24803</v>
      </c>
      <c r="B21" t="s">
        <v>306</v>
      </c>
      <c r="C21" s="76">
        <v>3905.66</v>
      </c>
      <c r="D21" s="76">
        <v>814.39</v>
      </c>
    </row>
    <row r="22" spans="1:4" x14ac:dyDescent="0.35">
      <c r="A22">
        <v>24850</v>
      </c>
      <c r="B22" t="s">
        <v>1268</v>
      </c>
      <c r="C22" s="76">
        <v>21861.19</v>
      </c>
      <c r="D22" s="76">
        <v>85.47</v>
      </c>
    </row>
    <row r="23" spans="1:4" x14ac:dyDescent="0.35">
      <c r="A23">
        <v>24919</v>
      </c>
      <c r="B23" t="s">
        <v>1269</v>
      </c>
      <c r="C23" s="76">
        <v>133671.63</v>
      </c>
      <c r="D23" s="76">
        <v>62628.54</v>
      </c>
    </row>
    <row r="24" spans="1:4" x14ac:dyDescent="0.35">
      <c r="A24">
        <v>24920</v>
      </c>
      <c r="B24" t="s">
        <v>1269</v>
      </c>
      <c r="C24" s="76">
        <v>134643.75</v>
      </c>
      <c r="D24" s="76">
        <v>125411.15999999999</v>
      </c>
    </row>
    <row r="25" spans="1:4" x14ac:dyDescent="0.35">
      <c r="A25">
        <v>24921</v>
      </c>
      <c r="B25" t="s">
        <v>1269</v>
      </c>
      <c r="C25" s="76">
        <v>25433.33</v>
      </c>
      <c r="D25" s="76">
        <v>20683.190000000002</v>
      </c>
    </row>
    <row r="26" spans="1:4" x14ac:dyDescent="0.35">
      <c r="A26">
        <v>24922</v>
      </c>
      <c r="B26" t="s">
        <v>1269</v>
      </c>
      <c r="C26" s="76">
        <v>44734.39</v>
      </c>
      <c r="D26" s="76">
        <v>33399.64</v>
      </c>
    </row>
    <row r="27" spans="1:4" x14ac:dyDescent="0.35">
      <c r="A27">
        <v>24923</v>
      </c>
      <c r="B27" t="s">
        <v>1269</v>
      </c>
      <c r="C27" s="76">
        <v>113027.39</v>
      </c>
      <c r="D27" s="76">
        <v>16217.25</v>
      </c>
    </row>
    <row r="28" spans="1:4" x14ac:dyDescent="0.35">
      <c r="A28">
        <v>24924</v>
      </c>
      <c r="B28" t="s">
        <v>1269</v>
      </c>
      <c r="C28" s="76">
        <v>7552.94</v>
      </c>
      <c r="D28" s="76">
        <v>3612.079999999999</v>
      </c>
    </row>
    <row r="29" spans="1:4" x14ac:dyDescent="0.35">
      <c r="A29">
        <v>24925</v>
      </c>
      <c r="B29" t="s">
        <v>1269</v>
      </c>
      <c r="C29" s="76">
        <v>11361.12</v>
      </c>
      <c r="D29" s="76">
        <v>780.58999999999992</v>
      </c>
    </row>
    <row r="30" spans="1:4" x14ac:dyDescent="0.35">
      <c r="A30">
        <v>24930</v>
      </c>
      <c r="B30" t="s">
        <v>1270</v>
      </c>
      <c r="C30" s="76">
        <v>768.81</v>
      </c>
      <c r="D30" s="76">
        <v>0</v>
      </c>
    </row>
    <row r="31" spans="1:4" x14ac:dyDescent="0.35">
      <c r="A31">
        <v>24931</v>
      </c>
      <c r="B31" t="s">
        <v>1270</v>
      </c>
      <c r="C31" s="76">
        <v>9391.84</v>
      </c>
      <c r="D31" s="76">
        <v>20.05</v>
      </c>
    </row>
    <row r="32" spans="1:4" x14ac:dyDescent="0.35">
      <c r="A32">
        <v>24948</v>
      </c>
      <c r="B32" t="s">
        <v>1271</v>
      </c>
      <c r="C32" s="76">
        <v>742.53</v>
      </c>
      <c r="D32" s="76">
        <v>138.04</v>
      </c>
    </row>
    <row r="33" spans="1:4" x14ac:dyDescent="0.35">
      <c r="A33">
        <v>24951</v>
      </c>
      <c r="B33" t="s">
        <v>1326</v>
      </c>
      <c r="C33" s="76">
        <v>2692.04</v>
      </c>
      <c r="D33" s="76">
        <v>0</v>
      </c>
    </row>
    <row r="34" spans="1:4" x14ac:dyDescent="0.35">
      <c r="A34">
        <v>24978</v>
      </c>
      <c r="B34" t="s">
        <v>1274</v>
      </c>
      <c r="C34" s="76">
        <v>22358.76</v>
      </c>
      <c r="D34" s="76">
        <v>0</v>
      </c>
    </row>
    <row r="35" spans="1:4" x14ac:dyDescent="0.35">
      <c r="A35">
        <v>24995</v>
      </c>
      <c r="B35" t="s">
        <v>1400</v>
      </c>
      <c r="C35" s="76">
        <v>6400.43</v>
      </c>
      <c r="D35" s="76">
        <v>985.02</v>
      </c>
    </row>
    <row r="36" spans="1:4" x14ac:dyDescent="0.35">
      <c r="A36">
        <v>25003</v>
      </c>
      <c r="B36" t="s">
        <v>1272</v>
      </c>
      <c r="C36" s="76">
        <v>8338.9500000000007</v>
      </c>
      <c r="D36" s="76">
        <v>586.08000000000004</v>
      </c>
    </row>
    <row r="37" spans="1:4" x14ac:dyDescent="0.35">
      <c r="A37">
        <v>25036</v>
      </c>
      <c r="B37" t="s">
        <v>1273</v>
      </c>
      <c r="C37" s="76">
        <v>100984.99</v>
      </c>
      <c r="D37" s="76">
        <v>0</v>
      </c>
    </row>
    <row r="38" spans="1:4" x14ac:dyDescent="0.35">
      <c r="A38">
        <v>25043</v>
      </c>
      <c r="B38" t="s">
        <v>1274</v>
      </c>
      <c r="C38" s="76">
        <v>48229.53</v>
      </c>
      <c r="D38" s="76">
        <v>627.41999999999996</v>
      </c>
    </row>
    <row r="39" spans="1:4" x14ac:dyDescent="0.35">
      <c r="A39">
        <v>25048</v>
      </c>
      <c r="B39" t="s">
        <v>1401</v>
      </c>
      <c r="C39" s="76">
        <v>33969.74</v>
      </c>
      <c r="D39" s="76">
        <v>1647.76</v>
      </c>
    </row>
    <row r="40" spans="1:4" x14ac:dyDescent="0.35">
      <c r="A40">
        <v>25060</v>
      </c>
      <c r="B40" t="s">
        <v>1265</v>
      </c>
      <c r="C40" s="76">
        <v>53201.73</v>
      </c>
      <c r="D40" s="76">
        <v>21149.64</v>
      </c>
    </row>
    <row r="41" spans="1:4" x14ac:dyDescent="0.35">
      <c r="A41">
        <v>25061</v>
      </c>
      <c r="B41" t="s">
        <v>1265</v>
      </c>
      <c r="C41" s="76">
        <v>110524.07</v>
      </c>
      <c r="D41" s="76">
        <v>42376.98</v>
      </c>
    </row>
    <row r="42" spans="1:4" x14ac:dyDescent="0.35">
      <c r="A42">
        <v>25062</v>
      </c>
      <c r="B42" t="s">
        <v>1265</v>
      </c>
      <c r="C42" s="76">
        <v>109067.81</v>
      </c>
      <c r="D42" s="76">
        <v>90690.82</v>
      </c>
    </row>
    <row r="43" spans="1:4" x14ac:dyDescent="0.35">
      <c r="A43">
        <v>25063</v>
      </c>
      <c r="B43" t="s">
        <v>1265</v>
      </c>
      <c r="C43" s="76">
        <v>155689.10999999999</v>
      </c>
      <c r="D43" s="76">
        <v>139821.50999999998</v>
      </c>
    </row>
    <row r="44" spans="1:4" x14ac:dyDescent="0.35">
      <c r="A44">
        <v>25064</v>
      </c>
      <c r="B44" t="s">
        <v>1265</v>
      </c>
      <c r="C44" s="76">
        <v>133917</v>
      </c>
      <c r="D44" s="76">
        <v>120960.59</v>
      </c>
    </row>
    <row r="45" spans="1:4" x14ac:dyDescent="0.35">
      <c r="A45">
        <v>25115</v>
      </c>
      <c r="B45" t="s">
        <v>1276</v>
      </c>
      <c r="C45" s="76">
        <v>338.47</v>
      </c>
      <c r="D45" s="76">
        <v>0</v>
      </c>
    </row>
    <row r="46" spans="1:4" x14ac:dyDescent="0.35">
      <c r="A46">
        <v>25122</v>
      </c>
      <c r="B46" t="s">
        <v>1277</v>
      </c>
      <c r="C46" s="76">
        <v>170688.56</v>
      </c>
      <c r="D46" s="76">
        <v>9785.7000000000007</v>
      </c>
    </row>
    <row r="47" spans="1:4" x14ac:dyDescent="0.35">
      <c r="A47">
        <v>25123</v>
      </c>
      <c r="B47" t="s">
        <v>1277</v>
      </c>
      <c r="C47" s="76">
        <v>41903.83</v>
      </c>
      <c r="D47" s="76">
        <v>18206.12</v>
      </c>
    </row>
    <row r="48" spans="1:4" x14ac:dyDescent="0.35">
      <c r="A48">
        <v>25124</v>
      </c>
      <c r="B48" t="s">
        <v>1278</v>
      </c>
      <c r="C48" s="76">
        <v>9370.93</v>
      </c>
      <c r="D48" s="76">
        <v>178.52</v>
      </c>
    </row>
    <row r="49" spans="1:4" x14ac:dyDescent="0.35">
      <c r="A49">
        <v>25140</v>
      </c>
      <c r="B49" t="s">
        <v>1279</v>
      </c>
      <c r="C49" s="76">
        <v>54962.5</v>
      </c>
      <c r="D49" s="76">
        <v>1857.75</v>
      </c>
    </row>
    <row r="50" spans="1:4" x14ac:dyDescent="0.35">
      <c r="A50">
        <v>25144</v>
      </c>
      <c r="B50" t="s">
        <v>1274</v>
      </c>
      <c r="C50" s="76">
        <v>978.98</v>
      </c>
      <c r="D50" s="76">
        <v>0</v>
      </c>
    </row>
    <row r="51" spans="1:4" x14ac:dyDescent="0.35">
      <c r="A51">
        <v>25162</v>
      </c>
      <c r="B51" t="s">
        <v>1280</v>
      </c>
      <c r="C51" s="76">
        <v>13765.58</v>
      </c>
      <c r="D51" s="76">
        <v>938.85</v>
      </c>
    </row>
    <row r="52" spans="1:4" x14ac:dyDescent="0.35">
      <c r="A52">
        <v>25176</v>
      </c>
      <c r="B52" t="s">
        <v>1282</v>
      </c>
      <c r="C52" s="76">
        <v>215.5</v>
      </c>
      <c r="D52" s="76">
        <v>210.06</v>
      </c>
    </row>
    <row r="53" spans="1:4" x14ac:dyDescent="0.35">
      <c r="A53">
        <v>25249</v>
      </c>
      <c r="B53" t="s">
        <v>1402</v>
      </c>
      <c r="C53" s="76">
        <v>5371.64</v>
      </c>
      <c r="D53" s="76">
        <v>0</v>
      </c>
    </row>
    <row r="54" spans="1:4" x14ac:dyDescent="0.35">
      <c r="A54">
        <v>25310</v>
      </c>
      <c r="B54" t="s">
        <v>1283</v>
      </c>
      <c r="C54" s="76">
        <v>2048.0700000000002</v>
      </c>
      <c r="D54" s="76">
        <v>194.36</v>
      </c>
    </row>
    <row r="55" spans="1:4" x14ac:dyDescent="0.35">
      <c r="A55">
        <v>25317</v>
      </c>
      <c r="B55" t="s">
        <v>1284</v>
      </c>
      <c r="C55" s="76">
        <v>26789.74</v>
      </c>
      <c r="D55" s="76">
        <v>1454.3999999999999</v>
      </c>
    </row>
    <row r="56" spans="1:4" x14ac:dyDescent="0.35">
      <c r="A56">
        <v>25325</v>
      </c>
      <c r="B56" t="s">
        <v>1285</v>
      </c>
      <c r="C56" s="76">
        <v>2341.6799999999998</v>
      </c>
      <c r="D56" s="76">
        <v>266.13</v>
      </c>
    </row>
    <row r="57" spans="1:4" x14ac:dyDescent="0.35">
      <c r="A57">
        <v>25331</v>
      </c>
      <c r="B57" t="s">
        <v>1286</v>
      </c>
      <c r="C57" s="76">
        <v>7808.46</v>
      </c>
      <c r="D57" s="76">
        <v>627.97</v>
      </c>
    </row>
    <row r="58" spans="1:4" x14ac:dyDescent="0.35">
      <c r="A58">
        <v>25332</v>
      </c>
      <c r="B58" t="s">
        <v>1286</v>
      </c>
      <c r="C58" s="76">
        <v>3562.04</v>
      </c>
      <c r="D58" s="76">
        <v>0</v>
      </c>
    </row>
    <row r="59" spans="1:4" x14ac:dyDescent="0.35">
      <c r="A59">
        <v>25336</v>
      </c>
      <c r="B59" t="s">
        <v>1287</v>
      </c>
      <c r="C59" s="76">
        <v>468.04</v>
      </c>
      <c r="D59" s="76">
        <v>168.81</v>
      </c>
    </row>
    <row r="60" spans="1:4" x14ac:dyDescent="0.35">
      <c r="A60">
        <v>25337</v>
      </c>
      <c r="B60" t="s">
        <v>1287</v>
      </c>
      <c r="C60" s="76">
        <v>771.63</v>
      </c>
      <c r="D60" s="76">
        <v>190.17</v>
      </c>
    </row>
    <row r="61" spans="1:4" x14ac:dyDescent="0.35">
      <c r="A61">
        <v>25379</v>
      </c>
      <c r="B61" t="s">
        <v>1288</v>
      </c>
      <c r="C61" s="76">
        <v>1884.23</v>
      </c>
      <c r="D61" s="76">
        <v>84</v>
      </c>
    </row>
    <row r="62" spans="1:4" x14ac:dyDescent="0.35">
      <c r="A62">
        <v>25380</v>
      </c>
      <c r="B62" t="s">
        <v>1288</v>
      </c>
      <c r="C62" s="76">
        <v>244.66</v>
      </c>
      <c r="D62" s="76">
        <v>166.01</v>
      </c>
    </row>
    <row r="63" spans="1:4" x14ac:dyDescent="0.35">
      <c r="A63">
        <v>25421</v>
      </c>
      <c r="B63" t="s">
        <v>1289</v>
      </c>
      <c r="C63" s="76">
        <v>17379.919999999998</v>
      </c>
      <c r="D63" s="76">
        <v>2225.19</v>
      </c>
    </row>
    <row r="64" spans="1:4" x14ac:dyDescent="0.35">
      <c r="A64">
        <v>25434</v>
      </c>
      <c r="B64" t="s">
        <v>1290</v>
      </c>
      <c r="C64" s="76">
        <v>1950.69</v>
      </c>
      <c r="D64" s="76">
        <v>557.73</v>
      </c>
    </row>
    <row r="65" spans="1:4" x14ac:dyDescent="0.35">
      <c r="A65">
        <v>25458</v>
      </c>
      <c r="B65" t="s">
        <v>1291</v>
      </c>
      <c r="C65" s="76">
        <v>3352.98</v>
      </c>
      <c r="D65" s="76">
        <v>17.28</v>
      </c>
    </row>
    <row r="66" spans="1:4" x14ac:dyDescent="0.35">
      <c r="A66">
        <v>25468</v>
      </c>
      <c r="B66" t="s">
        <v>41</v>
      </c>
      <c r="C66" s="76">
        <v>63737.49</v>
      </c>
      <c r="D66" s="76">
        <v>14024.98</v>
      </c>
    </row>
    <row r="67" spans="1:4" x14ac:dyDescent="0.35">
      <c r="A67">
        <v>25477</v>
      </c>
      <c r="B67" t="s">
        <v>1398</v>
      </c>
      <c r="C67" s="76">
        <v>-3.86</v>
      </c>
      <c r="D67" s="76">
        <v>0</v>
      </c>
    </row>
    <row r="68" spans="1:4" x14ac:dyDescent="0.35">
      <c r="A68">
        <v>25479</v>
      </c>
      <c r="B68" t="s">
        <v>1292</v>
      </c>
      <c r="C68" s="76">
        <v>4732.67</v>
      </c>
      <c r="D68" s="76">
        <v>0</v>
      </c>
    </row>
    <row r="69" spans="1:4" x14ac:dyDescent="0.35">
      <c r="A69">
        <v>25483</v>
      </c>
      <c r="B69" t="s">
        <v>1293</v>
      </c>
      <c r="C69" s="76">
        <v>9184.31</v>
      </c>
      <c r="D69" s="76">
        <v>2035.67</v>
      </c>
    </row>
    <row r="70" spans="1:4" x14ac:dyDescent="0.35">
      <c r="A70">
        <v>25484</v>
      </c>
      <c r="B70" t="s">
        <v>1293</v>
      </c>
      <c r="C70" s="76">
        <v>7036.94</v>
      </c>
      <c r="D70" s="76">
        <v>1818.1800000000003</v>
      </c>
    </row>
    <row r="71" spans="1:4" x14ac:dyDescent="0.35">
      <c r="A71">
        <v>25489</v>
      </c>
      <c r="B71" t="s">
        <v>1294</v>
      </c>
      <c r="C71" s="76">
        <v>10810.65</v>
      </c>
      <c r="D71" s="76">
        <v>2263.12</v>
      </c>
    </row>
    <row r="72" spans="1:4" x14ac:dyDescent="0.35">
      <c r="A72">
        <v>25498</v>
      </c>
      <c r="B72" t="s">
        <v>1295</v>
      </c>
      <c r="C72" s="76">
        <v>6459.84</v>
      </c>
      <c r="D72" s="76">
        <v>175.28</v>
      </c>
    </row>
    <row r="73" spans="1:4" x14ac:dyDescent="0.35">
      <c r="A73">
        <v>25499</v>
      </c>
      <c r="B73" t="s">
        <v>1295</v>
      </c>
      <c r="C73" s="76">
        <v>1418.19</v>
      </c>
      <c r="D73" s="76">
        <v>660.04</v>
      </c>
    </row>
    <row r="74" spans="1:4" x14ac:dyDescent="0.35">
      <c r="A74">
        <v>25501</v>
      </c>
      <c r="B74" t="s">
        <v>1280</v>
      </c>
      <c r="C74" s="76">
        <v>2222.5300000000002</v>
      </c>
      <c r="D74" s="76">
        <v>1226.9000000000001</v>
      </c>
    </row>
    <row r="75" spans="1:4" x14ac:dyDescent="0.35">
      <c r="A75">
        <v>25502</v>
      </c>
      <c r="B75" t="s">
        <v>1280</v>
      </c>
      <c r="C75" s="76">
        <v>28844.79</v>
      </c>
      <c r="D75" s="76">
        <v>11890.75</v>
      </c>
    </row>
    <row r="76" spans="1:4" x14ac:dyDescent="0.35">
      <c r="A76">
        <v>25525</v>
      </c>
      <c r="B76" t="s">
        <v>139</v>
      </c>
      <c r="C76" s="76">
        <v>26771.78</v>
      </c>
      <c r="D76" s="76">
        <v>0</v>
      </c>
    </row>
    <row r="77" spans="1:4" x14ac:dyDescent="0.35">
      <c r="A77">
        <v>25527</v>
      </c>
      <c r="B77" t="s">
        <v>41</v>
      </c>
      <c r="C77" s="76">
        <v>1184.33</v>
      </c>
      <c r="D77" s="76">
        <v>529.27</v>
      </c>
    </row>
    <row r="78" spans="1:4" x14ac:dyDescent="0.35">
      <c r="A78">
        <v>25539</v>
      </c>
      <c r="B78" t="s">
        <v>1296</v>
      </c>
      <c r="C78" s="76">
        <v>98686.34</v>
      </c>
      <c r="D78" s="76">
        <v>6380.91</v>
      </c>
    </row>
    <row r="79" spans="1:4" x14ac:dyDescent="0.35">
      <c r="A79">
        <v>25547</v>
      </c>
      <c r="B79" t="s">
        <v>1297</v>
      </c>
      <c r="C79" s="76">
        <v>4725.55</v>
      </c>
      <c r="D79" s="76">
        <v>454.16</v>
      </c>
    </row>
    <row r="80" spans="1:4" x14ac:dyDescent="0.35">
      <c r="A80">
        <v>25548</v>
      </c>
      <c r="B80" t="s">
        <v>1298</v>
      </c>
      <c r="C80" s="76">
        <v>35130.75</v>
      </c>
      <c r="D80" s="76">
        <v>18462.560000000001</v>
      </c>
    </row>
    <row r="81" spans="1:4" x14ac:dyDescent="0.35">
      <c r="A81">
        <v>25555</v>
      </c>
      <c r="B81" t="s">
        <v>1299</v>
      </c>
      <c r="C81" s="76">
        <v>102113.24</v>
      </c>
      <c r="D81" s="76">
        <v>42560.510000000017</v>
      </c>
    </row>
    <row r="82" spans="1:4" x14ac:dyDescent="0.35">
      <c r="A82">
        <v>25557</v>
      </c>
      <c r="B82" t="s">
        <v>1296</v>
      </c>
      <c r="C82" s="76">
        <v>98687.25</v>
      </c>
      <c r="D82" s="76">
        <v>6971.7799999999988</v>
      </c>
    </row>
    <row r="83" spans="1:4" x14ac:dyDescent="0.35">
      <c r="A83">
        <v>25567</v>
      </c>
      <c r="B83" t="s">
        <v>1300</v>
      </c>
      <c r="C83" s="76">
        <v>788.41</v>
      </c>
      <c r="D83" s="76">
        <v>496.04999999999995</v>
      </c>
    </row>
    <row r="84" spans="1:4" x14ac:dyDescent="0.35">
      <c r="A84">
        <v>25574</v>
      </c>
      <c r="B84" t="s">
        <v>1301</v>
      </c>
      <c r="C84" s="76">
        <v>1545.66</v>
      </c>
      <c r="D84" s="76">
        <v>193.88</v>
      </c>
    </row>
    <row r="85" spans="1:4" x14ac:dyDescent="0.35">
      <c r="A85">
        <v>25586</v>
      </c>
      <c r="B85" t="s">
        <v>306</v>
      </c>
      <c r="C85" s="76">
        <v>22927.62</v>
      </c>
      <c r="D85" s="76">
        <v>10686.18</v>
      </c>
    </row>
    <row r="86" spans="1:4" x14ac:dyDescent="0.35">
      <c r="A86">
        <v>25591</v>
      </c>
      <c r="B86" t="s">
        <v>1403</v>
      </c>
      <c r="C86" s="76">
        <v>20347.060000000001</v>
      </c>
      <c r="D86" s="76">
        <v>1310.7499999999998</v>
      </c>
    </row>
    <row r="87" spans="1:4" x14ac:dyDescent="0.35">
      <c r="A87">
        <v>25602</v>
      </c>
      <c r="B87" t="s">
        <v>1270</v>
      </c>
      <c r="C87" s="76">
        <v>482.23</v>
      </c>
      <c r="D87" s="76">
        <v>0</v>
      </c>
    </row>
    <row r="88" spans="1:4" x14ac:dyDescent="0.35">
      <c r="A88">
        <v>25612</v>
      </c>
      <c r="B88" t="s">
        <v>1302</v>
      </c>
      <c r="C88" s="76">
        <v>10706.69</v>
      </c>
      <c r="D88" s="76">
        <v>5741.15</v>
      </c>
    </row>
    <row r="89" spans="1:4" x14ac:dyDescent="0.35">
      <c r="A89">
        <v>25615</v>
      </c>
      <c r="B89" t="s">
        <v>1404</v>
      </c>
      <c r="C89" s="76">
        <v>2292.46</v>
      </c>
      <c r="D89" s="76">
        <v>1140.03</v>
      </c>
    </row>
    <row r="90" spans="1:4" x14ac:dyDescent="0.35">
      <c r="A90">
        <v>25657</v>
      </c>
      <c r="B90" t="s">
        <v>1405</v>
      </c>
      <c r="C90" s="76">
        <v>1171.3599999999999</v>
      </c>
      <c r="D90" s="76">
        <v>0</v>
      </c>
    </row>
    <row r="91" spans="1:4" x14ac:dyDescent="0.35">
      <c r="A91">
        <v>25667</v>
      </c>
      <c r="B91" t="s">
        <v>1303</v>
      </c>
      <c r="C91" s="76">
        <v>673.16</v>
      </c>
      <c r="D91" s="76">
        <v>350.13</v>
      </c>
    </row>
    <row r="92" spans="1:4" x14ac:dyDescent="0.35">
      <c r="A92">
        <v>25669</v>
      </c>
      <c r="B92" t="s">
        <v>1304</v>
      </c>
      <c r="C92" s="76">
        <v>28172.16</v>
      </c>
      <c r="D92" s="76">
        <v>16630.39</v>
      </c>
    </row>
    <row r="93" spans="1:4" x14ac:dyDescent="0.35">
      <c r="A93">
        <v>25671</v>
      </c>
      <c r="B93" t="s">
        <v>1304</v>
      </c>
      <c r="C93" s="76">
        <v>110812.37</v>
      </c>
      <c r="D93" s="76">
        <v>107243.15000000001</v>
      </c>
    </row>
    <row r="94" spans="1:4" x14ac:dyDescent="0.35">
      <c r="A94">
        <v>25672</v>
      </c>
      <c r="B94" t="s">
        <v>1304</v>
      </c>
      <c r="C94" s="76">
        <v>110976.66</v>
      </c>
      <c r="D94" s="76">
        <v>102919.61</v>
      </c>
    </row>
    <row r="95" spans="1:4" x14ac:dyDescent="0.35">
      <c r="A95">
        <v>25673</v>
      </c>
      <c r="B95" t="s">
        <v>1305</v>
      </c>
      <c r="C95" s="76">
        <v>2482.71</v>
      </c>
      <c r="D95" s="76">
        <v>122.03</v>
      </c>
    </row>
    <row r="96" spans="1:4" x14ac:dyDescent="0.35">
      <c r="A96">
        <v>25674</v>
      </c>
      <c r="B96" t="s">
        <v>1305</v>
      </c>
      <c r="C96" s="76">
        <v>2657.38</v>
      </c>
      <c r="D96" s="76">
        <v>599.97</v>
      </c>
    </row>
    <row r="97" spans="1:4" x14ac:dyDescent="0.35">
      <c r="A97">
        <v>25687</v>
      </c>
      <c r="B97" t="s">
        <v>1406</v>
      </c>
      <c r="C97" s="76">
        <v>140</v>
      </c>
      <c r="D97" s="76">
        <v>0</v>
      </c>
    </row>
    <row r="98" spans="1:4" x14ac:dyDescent="0.35">
      <c r="A98">
        <v>25689</v>
      </c>
      <c r="B98" t="s">
        <v>1306</v>
      </c>
      <c r="C98" s="76">
        <v>3063.05</v>
      </c>
      <c r="D98" s="76">
        <v>429.75</v>
      </c>
    </row>
    <row r="99" spans="1:4" x14ac:dyDescent="0.35">
      <c r="A99">
        <v>25690</v>
      </c>
      <c r="B99" t="s">
        <v>1307</v>
      </c>
      <c r="C99" s="76">
        <v>56.61</v>
      </c>
      <c r="D99" s="76">
        <v>0</v>
      </c>
    </row>
    <row r="100" spans="1:4" x14ac:dyDescent="0.35">
      <c r="A100">
        <v>25691</v>
      </c>
      <c r="B100" t="s">
        <v>1308</v>
      </c>
      <c r="C100" s="76">
        <v>66.569999999999993</v>
      </c>
      <c r="D100" s="76">
        <v>0</v>
      </c>
    </row>
    <row r="101" spans="1:4" x14ac:dyDescent="0.35">
      <c r="A101">
        <v>25707</v>
      </c>
      <c r="B101" t="s">
        <v>1309</v>
      </c>
      <c r="C101" s="76">
        <v>2676.76</v>
      </c>
      <c r="D101" s="76">
        <v>184.99</v>
      </c>
    </row>
    <row r="102" spans="1:4" x14ac:dyDescent="0.35">
      <c r="A102">
        <v>25708</v>
      </c>
      <c r="B102" t="s">
        <v>1309</v>
      </c>
      <c r="C102" s="76">
        <v>2057.87</v>
      </c>
      <c r="D102" s="76">
        <v>410.98</v>
      </c>
    </row>
    <row r="103" spans="1:4" x14ac:dyDescent="0.35">
      <c r="A103">
        <v>25709</v>
      </c>
      <c r="B103" t="s">
        <v>1309</v>
      </c>
      <c r="C103" s="76">
        <v>13133.49</v>
      </c>
      <c r="D103" s="76">
        <v>3670.7400000000002</v>
      </c>
    </row>
    <row r="104" spans="1:4" x14ac:dyDescent="0.35">
      <c r="A104">
        <v>25721</v>
      </c>
      <c r="B104" t="s">
        <v>1310</v>
      </c>
      <c r="C104" s="76">
        <v>574.98</v>
      </c>
      <c r="D104" s="76">
        <v>133.4</v>
      </c>
    </row>
    <row r="105" spans="1:4" x14ac:dyDescent="0.35">
      <c r="A105">
        <v>25722</v>
      </c>
      <c r="B105" t="s">
        <v>1274</v>
      </c>
      <c r="C105" s="76">
        <v>667.52</v>
      </c>
      <c r="D105" s="76">
        <v>563.68999999999994</v>
      </c>
    </row>
    <row r="106" spans="1:4" x14ac:dyDescent="0.35">
      <c r="A106">
        <v>25728</v>
      </c>
      <c r="B106" t="s">
        <v>1311</v>
      </c>
      <c r="C106" s="76">
        <v>102.22</v>
      </c>
      <c r="D106" s="76">
        <v>8.64</v>
      </c>
    </row>
    <row r="107" spans="1:4" x14ac:dyDescent="0.35">
      <c r="A107">
        <v>25740</v>
      </c>
      <c r="B107" t="s">
        <v>1312</v>
      </c>
      <c r="C107" s="76">
        <v>126194.06</v>
      </c>
      <c r="D107" s="76">
        <v>53511.55000000001</v>
      </c>
    </row>
    <row r="108" spans="1:4" x14ac:dyDescent="0.35">
      <c r="A108">
        <v>25744</v>
      </c>
      <c r="B108" t="s">
        <v>1407</v>
      </c>
      <c r="C108" s="76">
        <v>3693.91</v>
      </c>
      <c r="D108" s="76">
        <v>1899.16</v>
      </c>
    </row>
    <row r="109" spans="1:4" x14ac:dyDescent="0.35">
      <c r="A109">
        <v>25745</v>
      </c>
      <c r="B109" t="s">
        <v>1313</v>
      </c>
      <c r="C109" s="76">
        <v>984</v>
      </c>
      <c r="D109" s="76">
        <v>244.8</v>
      </c>
    </row>
    <row r="110" spans="1:4" x14ac:dyDescent="0.35">
      <c r="A110">
        <v>25748</v>
      </c>
      <c r="B110" t="s">
        <v>1304</v>
      </c>
      <c r="C110" s="76">
        <v>69665.06</v>
      </c>
      <c r="D110" s="76">
        <v>66420.899999999994</v>
      </c>
    </row>
    <row r="111" spans="1:4" x14ac:dyDescent="0.35">
      <c r="A111">
        <v>25754</v>
      </c>
      <c r="B111" t="s">
        <v>1314</v>
      </c>
      <c r="C111" s="76">
        <v>37384.85</v>
      </c>
      <c r="D111" s="76">
        <v>20667.719999999998</v>
      </c>
    </row>
    <row r="112" spans="1:4" x14ac:dyDescent="0.35">
      <c r="A112">
        <v>25758</v>
      </c>
      <c r="B112" t="s">
        <v>1315</v>
      </c>
      <c r="C112" s="76">
        <v>124972.71</v>
      </c>
      <c r="D112" s="76">
        <v>119871.80000000002</v>
      </c>
    </row>
    <row r="113" spans="1:4" x14ac:dyDescent="0.35">
      <c r="A113">
        <v>25765</v>
      </c>
      <c r="B113" t="s">
        <v>1316</v>
      </c>
      <c r="C113" s="76">
        <v>2863.18</v>
      </c>
      <c r="D113" s="76">
        <v>2015.19</v>
      </c>
    </row>
    <row r="114" spans="1:4" x14ac:dyDescent="0.35">
      <c r="A114">
        <v>25766</v>
      </c>
      <c r="B114" t="s">
        <v>1296</v>
      </c>
      <c r="C114" s="76">
        <v>8683.27</v>
      </c>
      <c r="D114" s="76">
        <v>648.29999999999995</v>
      </c>
    </row>
    <row r="115" spans="1:4" x14ac:dyDescent="0.35">
      <c r="A115">
        <v>25767</v>
      </c>
      <c r="B115" t="s">
        <v>647</v>
      </c>
      <c r="C115" s="76">
        <v>148024.84</v>
      </c>
      <c r="D115" s="76">
        <v>143606.01</v>
      </c>
    </row>
    <row r="116" spans="1:4" x14ac:dyDescent="0.35">
      <c r="A116">
        <v>25768</v>
      </c>
      <c r="B116" t="s">
        <v>647</v>
      </c>
      <c r="C116" s="76">
        <v>155235.04</v>
      </c>
      <c r="D116" s="76">
        <v>151552.59000000003</v>
      </c>
    </row>
    <row r="117" spans="1:4" x14ac:dyDescent="0.35">
      <c r="A117">
        <v>25775</v>
      </c>
      <c r="B117" t="s">
        <v>1317</v>
      </c>
      <c r="C117" s="76">
        <v>17329.259999999998</v>
      </c>
      <c r="D117" s="76">
        <v>12854.87</v>
      </c>
    </row>
    <row r="118" spans="1:4" x14ac:dyDescent="0.35">
      <c r="A118">
        <v>25777</v>
      </c>
      <c r="B118" t="s">
        <v>1264</v>
      </c>
      <c r="C118" s="76">
        <v>423.12</v>
      </c>
      <c r="D118" s="76">
        <v>0</v>
      </c>
    </row>
    <row r="119" spans="1:4" x14ac:dyDescent="0.35">
      <c r="A119">
        <v>25778</v>
      </c>
      <c r="B119" t="s">
        <v>1264</v>
      </c>
      <c r="C119" s="76">
        <v>346.66</v>
      </c>
      <c r="D119" s="76">
        <v>0</v>
      </c>
    </row>
    <row r="120" spans="1:4" x14ac:dyDescent="0.35">
      <c r="A120">
        <v>25787</v>
      </c>
      <c r="B120" t="s">
        <v>1299</v>
      </c>
      <c r="C120" s="76">
        <v>78203.22</v>
      </c>
      <c r="D120" s="76">
        <v>44893.88</v>
      </c>
    </row>
    <row r="121" spans="1:4" x14ac:dyDescent="0.35">
      <c r="A121">
        <v>25791</v>
      </c>
      <c r="B121" t="s">
        <v>1318</v>
      </c>
      <c r="C121" s="76">
        <v>8416.2000000000007</v>
      </c>
      <c r="D121" s="76">
        <v>3733.4500000000003</v>
      </c>
    </row>
    <row r="122" spans="1:4" x14ac:dyDescent="0.35">
      <c r="A122">
        <v>25794</v>
      </c>
      <c r="B122" t="s">
        <v>1319</v>
      </c>
      <c r="C122" s="76">
        <v>4608.1000000000004</v>
      </c>
      <c r="D122" s="76">
        <v>2380.81</v>
      </c>
    </row>
    <row r="123" spans="1:4" x14ac:dyDescent="0.35">
      <c r="A123">
        <v>25796</v>
      </c>
      <c r="B123" t="s">
        <v>1320</v>
      </c>
      <c r="C123" s="76">
        <v>289.27999999999997</v>
      </c>
      <c r="D123" s="76">
        <v>19.350000000000001</v>
      </c>
    </row>
    <row r="124" spans="1:4" x14ac:dyDescent="0.35">
      <c r="A124">
        <v>25801</v>
      </c>
      <c r="B124" t="s">
        <v>675</v>
      </c>
      <c r="C124" s="76">
        <v>8568.4599999999991</v>
      </c>
      <c r="D124" s="76">
        <v>4609.2999999999993</v>
      </c>
    </row>
    <row r="125" spans="1:4" x14ac:dyDescent="0.35">
      <c r="A125">
        <v>25804</v>
      </c>
      <c r="B125" t="s">
        <v>1321</v>
      </c>
      <c r="C125" s="76">
        <v>1970.81</v>
      </c>
      <c r="D125" s="76">
        <v>467.25</v>
      </c>
    </row>
    <row r="126" spans="1:4" x14ac:dyDescent="0.35">
      <c r="A126">
        <v>25806</v>
      </c>
      <c r="B126" t="s">
        <v>1322</v>
      </c>
      <c r="C126" s="76">
        <v>5224.32</v>
      </c>
      <c r="D126" s="76">
        <v>2184.31</v>
      </c>
    </row>
    <row r="127" spans="1:4" x14ac:dyDescent="0.35">
      <c r="A127">
        <v>25807</v>
      </c>
      <c r="B127" t="s">
        <v>1323</v>
      </c>
      <c r="C127" s="76">
        <v>15172.81</v>
      </c>
      <c r="D127" s="76">
        <v>3058.67</v>
      </c>
    </row>
    <row r="128" spans="1:4" x14ac:dyDescent="0.35">
      <c r="A128">
        <v>25809</v>
      </c>
      <c r="B128" t="s">
        <v>1324</v>
      </c>
      <c r="C128" s="76">
        <v>65852.67</v>
      </c>
      <c r="D128" s="76">
        <v>20790.309999999998</v>
      </c>
    </row>
    <row r="129" spans="1:4" x14ac:dyDescent="0.35">
      <c r="A129">
        <v>25813</v>
      </c>
      <c r="B129" t="s">
        <v>1325</v>
      </c>
      <c r="C129" s="76">
        <v>2679.78</v>
      </c>
      <c r="D129" s="76">
        <v>204.17000000000002</v>
      </c>
    </row>
    <row r="130" spans="1:4" x14ac:dyDescent="0.35">
      <c r="A130">
        <v>25818</v>
      </c>
      <c r="B130" t="s">
        <v>1326</v>
      </c>
      <c r="C130" s="76">
        <v>5451.83</v>
      </c>
      <c r="D130" s="76">
        <v>1074.9000000000001</v>
      </c>
    </row>
    <row r="131" spans="1:4" x14ac:dyDescent="0.35">
      <c r="A131">
        <v>25826</v>
      </c>
      <c r="B131" t="s">
        <v>1327</v>
      </c>
      <c r="C131" s="76">
        <v>82086.97</v>
      </c>
      <c r="D131" s="76">
        <v>75290.099999999991</v>
      </c>
    </row>
    <row r="132" spans="1:4" x14ac:dyDescent="0.35">
      <c r="A132">
        <v>25839</v>
      </c>
      <c r="B132" t="s">
        <v>1328</v>
      </c>
      <c r="C132" s="76">
        <v>1833</v>
      </c>
      <c r="D132" s="76">
        <v>204.89</v>
      </c>
    </row>
    <row r="133" spans="1:4" x14ac:dyDescent="0.35">
      <c r="A133">
        <v>25842</v>
      </c>
      <c r="B133" t="s">
        <v>1329</v>
      </c>
      <c r="C133" s="76">
        <v>75535.73</v>
      </c>
      <c r="D133" s="76">
        <v>71071.789999999994</v>
      </c>
    </row>
    <row r="134" spans="1:4" x14ac:dyDescent="0.35">
      <c r="A134">
        <v>25848</v>
      </c>
      <c r="B134" t="s">
        <v>721</v>
      </c>
      <c r="C134" s="76">
        <v>3712.49</v>
      </c>
      <c r="D134" s="76">
        <v>0</v>
      </c>
    </row>
    <row r="135" spans="1:4" x14ac:dyDescent="0.35">
      <c r="A135">
        <v>25849</v>
      </c>
      <c r="B135" t="s">
        <v>721</v>
      </c>
      <c r="C135" s="76">
        <v>-20414.88</v>
      </c>
      <c r="D135" s="76">
        <v>0</v>
      </c>
    </row>
    <row r="136" spans="1:4" x14ac:dyDescent="0.35">
      <c r="A136">
        <v>25850</v>
      </c>
      <c r="B136" t="s">
        <v>721</v>
      </c>
      <c r="C136" s="76">
        <v>32893.660000000003</v>
      </c>
      <c r="D136" s="76">
        <v>3732.7</v>
      </c>
    </row>
    <row r="137" spans="1:4" x14ac:dyDescent="0.35">
      <c r="A137">
        <v>25852</v>
      </c>
      <c r="B137" t="s">
        <v>721</v>
      </c>
      <c r="C137" s="76">
        <v>2804.62</v>
      </c>
      <c r="D137" s="76">
        <v>0</v>
      </c>
    </row>
    <row r="138" spans="1:4" x14ac:dyDescent="0.35">
      <c r="A138">
        <v>25853</v>
      </c>
      <c r="B138" t="s">
        <v>721</v>
      </c>
      <c r="C138" s="76">
        <v>2960.78</v>
      </c>
      <c r="D138" s="76">
        <v>0</v>
      </c>
    </row>
    <row r="139" spans="1:4" x14ac:dyDescent="0.35">
      <c r="A139">
        <v>25854</v>
      </c>
      <c r="B139" t="s">
        <v>721</v>
      </c>
      <c r="C139" s="76">
        <v>2641.36</v>
      </c>
      <c r="D139" s="76">
        <v>2641.36</v>
      </c>
    </row>
    <row r="140" spans="1:4" x14ac:dyDescent="0.35">
      <c r="A140">
        <v>25861</v>
      </c>
      <c r="B140" t="s">
        <v>1408</v>
      </c>
      <c r="C140" s="76">
        <v>9.2899999999999991</v>
      </c>
      <c r="D140" s="76">
        <v>9.25</v>
      </c>
    </row>
    <row r="141" spans="1:4" x14ac:dyDescent="0.35">
      <c r="A141">
        <v>25863</v>
      </c>
      <c r="B141" t="s">
        <v>721</v>
      </c>
      <c r="C141" s="76">
        <v>37721.699999999997</v>
      </c>
      <c r="D141" s="76">
        <v>3266.11</v>
      </c>
    </row>
    <row r="142" spans="1:4" x14ac:dyDescent="0.35">
      <c r="A142">
        <v>25864</v>
      </c>
      <c r="B142" t="s">
        <v>721</v>
      </c>
      <c r="C142" s="76">
        <v>5829.39</v>
      </c>
      <c r="D142" s="76">
        <v>3179.7</v>
      </c>
    </row>
    <row r="143" spans="1:4" x14ac:dyDescent="0.35">
      <c r="A143">
        <v>25865</v>
      </c>
      <c r="B143" t="s">
        <v>721</v>
      </c>
      <c r="C143" s="76">
        <v>3121.32</v>
      </c>
      <c r="D143" s="76">
        <v>2641.36</v>
      </c>
    </row>
    <row r="144" spans="1:4" x14ac:dyDescent="0.35">
      <c r="A144">
        <v>25866</v>
      </c>
      <c r="B144" t="s">
        <v>721</v>
      </c>
      <c r="C144" s="76">
        <v>4546.58</v>
      </c>
      <c r="D144" s="76">
        <v>2592.15</v>
      </c>
    </row>
    <row r="145" spans="1:4" x14ac:dyDescent="0.35">
      <c r="A145">
        <v>25867</v>
      </c>
      <c r="B145" t="s">
        <v>721</v>
      </c>
      <c r="C145" s="76">
        <v>36170.53</v>
      </c>
      <c r="D145" s="76">
        <v>33736.14</v>
      </c>
    </row>
    <row r="146" spans="1:4" x14ac:dyDescent="0.35">
      <c r="A146">
        <v>25868</v>
      </c>
      <c r="B146" t="s">
        <v>721</v>
      </c>
      <c r="C146" s="76">
        <v>2769.39</v>
      </c>
      <c r="D146" s="76">
        <v>2704.3</v>
      </c>
    </row>
    <row r="147" spans="1:4" x14ac:dyDescent="0.35">
      <c r="A147">
        <v>25872</v>
      </c>
      <c r="B147" t="s">
        <v>1330</v>
      </c>
      <c r="C147" s="76">
        <v>973.34</v>
      </c>
      <c r="D147" s="76">
        <v>96.39</v>
      </c>
    </row>
    <row r="148" spans="1:4" x14ac:dyDescent="0.35">
      <c r="A148">
        <v>25874</v>
      </c>
      <c r="B148" t="s">
        <v>1331</v>
      </c>
      <c r="C148" s="76">
        <v>332.92</v>
      </c>
      <c r="D148" s="76">
        <v>322.15999999999997</v>
      </c>
    </row>
    <row r="149" spans="1:4" x14ac:dyDescent="0.35">
      <c r="A149">
        <v>25875</v>
      </c>
      <c r="B149" t="s">
        <v>1275</v>
      </c>
      <c r="C149" s="76">
        <v>768.34</v>
      </c>
      <c r="D149" s="76">
        <v>0</v>
      </c>
    </row>
    <row r="150" spans="1:4" x14ac:dyDescent="0.35">
      <c r="A150">
        <v>25878</v>
      </c>
      <c r="B150" t="s">
        <v>1332</v>
      </c>
      <c r="C150" s="76">
        <v>450.86</v>
      </c>
      <c r="D150" s="76">
        <v>0</v>
      </c>
    </row>
    <row r="151" spans="1:4" x14ac:dyDescent="0.35">
      <c r="A151">
        <v>25879</v>
      </c>
      <c r="B151" t="s">
        <v>1333</v>
      </c>
      <c r="C151" s="76">
        <v>5816.02</v>
      </c>
      <c r="D151" s="76">
        <v>1839.6499999999999</v>
      </c>
    </row>
    <row r="152" spans="1:4" x14ac:dyDescent="0.35">
      <c r="A152">
        <v>25880</v>
      </c>
      <c r="B152" t="s">
        <v>1409</v>
      </c>
      <c r="C152" s="76">
        <v>8904.7000000000007</v>
      </c>
      <c r="D152" s="76">
        <v>398.17</v>
      </c>
    </row>
    <row r="153" spans="1:4" x14ac:dyDescent="0.35">
      <c r="A153">
        <v>25887</v>
      </c>
      <c r="B153" t="s">
        <v>995</v>
      </c>
      <c r="C153" s="76">
        <v>890.26</v>
      </c>
      <c r="D153" s="76">
        <v>649.20000000000005</v>
      </c>
    </row>
    <row r="154" spans="1:4" x14ac:dyDescent="0.35">
      <c r="A154">
        <v>25893</v>
      </c>
      <c r="B154" t="s">
        <v>1334</v>
      </c>
      <c r="C154" s="76">
        <v>15888.42</v>
      </c>
      <c r="D154" s="76">
        <v>1370.8400000000001</v>
      </c>
    </row>
    <row r="155" spans="1:4" x14ac:dyDescent="0.35">
      <c r="A155">
        <v>25899</v>
      </c>
      <c r="B155" t="s">
        <v>1336</v>
      </c>
      <c r="C155" s="76">
        <v>2286.5500000000002</v>
      </c>
      <c r="D155" s="76">
        <v>1581.62</v>
      </c>
    </row>
    <row r="156" spans="1:4" x14ac:dyDescent="0.35">
      <c r="A156">
        <v>25901</v>
      </c>
      <c r="B156" t="s">
        <v>1390</v>
      </c>
      <c r="C156" s="76">
        <v>-263.88</v>
      </c>
      <c r="D156" s="76">
        <v>0</v>
      </c>
    </row>
    <row r="157" spans="1:4" x14ac:dyDescent="0.35">
      <c r="A157">
        <v>25907</v>
      </c>
      <c r="B157" t="s">
        <v>1337</v>
      </c>
      <c r="C157" s="76">
        <v>1794.18</v>
      </c>
      <c r="D157" s="76">
        <v>39.930000000000007</v>
      </c>
    </row>
    <row r="158" spans="1:4" x14ac:dyDescent="0.35">
      <c r="A158">
        <v>25934</v>
      </c>
      <c r="B158" t="s">
        <v>1338</v>
      </c>
      <c r="C158" s="76">
        <v>894.6</v>
      </c>
      <c r="D158" s="76">
        <v>104.59</v>
      </c>
    </row>
    <row r="159" spans="1:4" x14ac:dyDescent="0.35">
      <c r="A159">
        <v>25935</v>
      </c>
      <c r="B159" t="s">
        <v>788</v>
      </c>
      <c r="C159" s="76">
        <v>11156.66</v>
      </c>
      <c r="D159" s="76">
        <v>10152.57</v>
      </c>
    </row>
    <row r="160" spans="1:4" x14ac:dyDescent="0.35">
      <c r="A160">
        <v>25937</v>
      </c>
      <c r="B160" t="s">
        <v>1339</v>
      </c>
      <c r="C160" s="76">
        <v>4954.78</v>
      </c>
      <c r="D160" s="76">
        <v>3279.3999999999996</v>
      </c>
    </row>
    <row r="161" spans="1:4" x14ac:dyDescent="0.35">
      <c r="A161">
        <v>25940</v>
      </c>
      <c r="B161" t="s">
        <v>1410</v>
      </c>
      <c r="C161" s="76">
        <v>1466.05</v>
      </c>
      <c r="D161" s="76">
        <v>131.9</v>
      </c>
    </row>
    <row r="162" spans="1:4" x14ac:dyDescent="0.35">
      <c r="A162">
        <v>25945</v>
      </c>
      <c r="B162" t="s">
        <v>1340</v>
      </c>
      <c r="C162" s="76">
        <v>4047.32</v>
      </c>
      <c r="D162" s="76">
        <v>2261.0099999999998</v>
      </c>
    </row>
    <row r="163" spans="1:4" x14ac:dyDescent="0.35">
      <c r="A163">
        <v>25947</v>
      </c>
      <c r="B163" t="s">
        <v>1341</v>
      </c>
      <c r="C163" s="76">
        <v>7606.07</v>
      </c>
      <c r="D163" s="76">
        <v>2417.98</v>
      </c>
    </row>
    <row r="164" spans="1:4" x14ac:dyDescent="0.35">
      <c r="A164">
        <v>25948</v>
      </c>
      <c r="B164" t="s">
        <v>1342</v>
      </c>
      <c r="C164" s="76">
        <v>605.57000000000005</v>
      </c>
      <c r="D164" s="76">
        <v>99.3</v>
      </c>
    </row>
    <row r="165" spans="1:4" x14ac:dyDescent="0.35">
      <c r="A165">
        <v>25949</v>
      </c>
      <c r="B165" t="s">
        <v>1343</v>
      </c>
      <c r="C165" s="76">
        <v>5577.44</v>
      </c>
      <c r="D165" s="76">
        <v>4066.3799999999997</v>
      </c>
    </row>
    <row r="166" spans="1:4" x14ac:dyDescent="0.35">
      <c r="A166">
        <v>25952</v>
      </c>
      <c r="B166" t="s">
        <v>1344</v>
      </c>
      <c r="C166" s="76">
        <v>793.54</v>
      </c>
      <c r="D166" s="76">
        <v>0</v>
      </c>
    </row>
    <row r="167" spans="1:4" x14ac:dyDescent="0.35">
      <c r="A167">
        <v>25962</v>
      </c>
      <c r="B167" t="s">
        <v>1324</v>
      </c>
      <c r="C167" s="76">
        <v>1492.42</v>
      </c>
      <c r="D167" s="76">
        <v>537.1400000000001</v>
      </c>
    </row>
    <row r="168" spans="1:4" x14ac:dyDescent="0.35">
      <c r="A168">
        <v>25965</v>
      </c>
      <c r="B168" t="s">
        <v>80</v>
      </c>
      <c r="C168" s="76">
        <v>135.69</v>
      </c>
      <c r="D168" s="76">
        <v>0</v>
      </c>
    </row>
    <row r="169" spans="1:4" x14ac:dyDescent="0.35">
      <c r="A169">
        <v>25968</v>
      </c>
      <c r="B169" t="s">
        <v>1345</v>
      </c>
      <c r="C169" s="76">
        <v>523.83000000000004</v>
      </c>
      <c r="D169" s="76">
        <v>45</v>
      </c>
    </row>
    <row r="170" spans="1:4" x14ac:dyDescent="0.35">
      <c r="A170">
        <v>25970</v>
      </c>
      <c r="B170" t="s">
        <v>1411</v>
      </c>
      <c r="C170" s="76">
        <v>901.43</v>
      </c>
      <c r="D170" s="76">
        <v>871.31000000000006</v>
      </c>
    </row>
    <row r="171" spans="1:4" x14ac:dyDescent="0.35">
      <c r="A171">
        <v>25971</v>
      </c>
      <c r="B171" t="s">
        <v>1346</v>
      </c>
      <c r="C171" s="76">
        <v>44910.25</v>
      </c>
      <c r="D171" s="76">
        <v>14738.369999999999</v>
      </c>
    </row>
    <row r="172" spans="1:4" x14ac:dyDescent="0.35">
      <c r="A172">
        <v>25973</v>
      </c>
      <c r="B172" t="s">
        <v>1346</v>
      </c>
      <c r="C172" s="76">
        <v>29891.57</v>
      </c>
      <c r="D172" s="76">
        <v>83</v>
      </c>
    </row>
    <row r="173" spans="1:4" x14ac:dyDescent="0.35">
      <c r="A173">
        <v>25974</v>
      </c>
      <c r="B173" t="s">
        <v>1346</v>
      </c>
      <c r="C173" s="76">
        <v>4701.42</v>
      </c>
      <c r="D173" s="76">
        <v>6.64</v>
      </c>
    </row>
    <row r="174" spans="1:4" x14ac:dyDescent="0.35">
      <c r="A174">
        <v>25975</v>
      </c>
      <c r="B174" t="s">
        <v>1346</v>
      </c>
      <c r="C174" s="76">
        <v>5063.3599999999997</v>
      </c>
      <c r="D174" s="76">
        <v>2024.6200000000003</v>
      </c>
    </row>
    <row r="175" spans="1:4" x14ac:dyDescent="0.35">
      <c r="A175">
        <v>25979</v>
      </c>
      <c r="B175" t="s">
        <v>1289</v>
      </c>
      <c r="C175" s="76">
        <v>20754.61</v>
      </c>
      <c r="D175" s="76">
        <v>20754.61</v>
      </c>
    </row>
    <row r="176" spans="1:4" x14ac:dyDescent="0.35">
      <c r="A176">
        <v>25984</v>
      </c>
      <c r="B176" t="s">
        <v>1347</v>
      </c>
      <c r="C176" s="76">
        <v>10527.39</v>
      </c>
      <c r="D176" s="76">
        <v>497.41</v>
      </c>
    </row>
    <row r="177" spans="1:4" x14ac:dyDescent="0.35">
      <c r="A177">
        <v>25988</v>
      </c>
      <c r="B177" t="s">
        <v>1348</v>
      </c>
      <c r="C177" s="76">
        <v>90.31</v>
      </c>
      <c r="D177" s="76">
        <v>22.66</v>
      </c>
    </row>
    <row r="178" spans="1:4" x14ac:dyDescent="0.35">
      <c r="A178">
        <v>25992</v>
      </c>
      <c r="B178" t="s">
        <v>845</v>
      </c>
      <c r="C178" s="76">
        <v>177859.19</v>
      </c>
      <c r="D178" s="76">
        <v>157984.33000000002</v>
      </c>
    </row>
    <row r="179" spans="1:4" x14ac:dyDescent="0.35">
      <c r="A179">
        <v>25993</v>
      </c>
      <c r="B179" t="s">
        <v>845</v>
      </c>
      <c r="C179" s="76">
        <v>97546.13</v>
      </c>
      <c r="D179" s="76">
        <v>82961.039999999994</v>
      </c>
    </row>
    <row r="180" spans="1:4" x14ac:dyDescent="0.35">
      <c r="A180">
        <v>25994</v>
      </c>
      <c r="B180" t="s">
        <v>845</v>
      </c>
      <c r="C180" s="76">
        <v>115242.49</v>
      </c>
      <c r="D180" s="76">
        <v>111144.63000000002</v>
      </c>
    </row>
    <row r="181" spans="1:4" x14ac:dyDescent="0.35">
      <c r="A181">
        <v>25995</v>
      </c>
      <c r="B181" t="s">
        <v>845</v>
      </c>
      <c r="C181" s="76">
        <v>94701.74</v>
      </c>
      <c r="D181" s="76">
        <v>83544.639999999999</v>
      </c>
    </row>
    <row r="182" spans="1:4" x14ac:dyDescent="0.35">
      <c r="A182">
        <v>25997</v>
      </c>
      <c r="B182" t="s">
        <v>1349</v>
      </c>
      <c r="C182" s="76">
        <v>1140.27</v>
      </c>
      <c r="D182" s="76">
        <v>553.26</v>
      </c>
    </row>
    <row r="183" spans="1:4" x14ac:dyDescent="0.35">
      <c r="A183">
        <v>25998</v>
      </c>
      <c r="B183" t="s">
        <v>1349</v>
      </c>
      <c r="C183" s="76">
        <v>477.11</v>
      </c>
      <c r="D183" s="76">
        <v>108.77000000000001</v>
      </c>
    </row>
    <row r="184" spans="1:4" x14ac:dyDescent="0.35">
      <c r="A184">
        <v>25999</v>
      </c>
      <c r="B184" t="s">
        <v>1412</v>
      </c>
      <c r="C184" s="76">
        <v>126.22</v>
      </c>
      <c r="D184" s="76">
        <v>0</v>
      </c>
    </row>
    <row r="185" spans="1:4" x14ac:dyDescent="0.35">
      <c r="A185">
        <v>26008</v>
      </c>
      <c r="B185" t="s">
        <v>1350</v>
      </c>
      <c r="C185" s="76">
        <v>41330.86</v>
      </c>
      <c r="D185" s="76">
        <v>19977.449999999997</v>
      </c>
    </row>
    <row r="186" spans="1:4" x14ac:dyDescent="0.35">
      <c r="A186">
        <v>26010</v>
      </c>
      <c r="B186" t="s">
        <v>1351</v>
      </c>
      <c r="C186" s="76">
        <v>65030.85</v>
      </c>
      <c r="D186" s="76">
        <v>1610.74</v>
      </c>
    </row>
    <row r="187" spans="1:4" x14ac:dyDescent="0.35">
      <c r="A187">
        <v>26011</v>
      </c>
      <c r="B187" t="s">
        <v>1349</v>
      </c>
      <c r="C187" s="76">
        <v>1142.93</v>
      </c>
      <c r="D187" s="76">
        <v>144.13</v>
      </c>
    </row>
    <row r="188" spans="1:4" x14ac:dyDescent="0.35">
      <c r="A188">
        <v>26014</v>
      </c>
      <c r="B188" t="s">
        <v>1352</v>
      </c>
      <c r="C188" s="76">
        <v>38.61</v>
      </c>
      <c r="D188" s="76">
        <v>36.020000000000003</v>
      </c>
    </row>
    <row r="189" spans="1:4" x14ac:dyDescent="0.35">
      <c r="A189">
        <v>26018</v>
      </c>
      <c r="B189" t="s">
        <v>1353</v>
      </c>
      <c r="C189" s="76">
        <v>22142.14</v>
      </c>
      <c r="D189" s="76">
        <v>10414.59</v>
      </c>
    </row>
    <row r="190" spans="1:4" x14ac:dyDescent="0.35">
      <c r="A190">
        <v>26019</v>
      </c>
      <c r="B190" t="s">
        <v>1354</v>
      </c>
      <c r="C190" s="76">
        <v>5143.3100000000004</v>
      </c>
      <c r="D190" s="76">
        <v>2486.4500000000003</v>
      </c>
    </row>
    <row r="191" spans="1:4" x14ac:dyDescent="0.35">
      <c r="A191">
        <v>26021</v>
      </c>
      <c r="B191" t="s">
        <v>1355</v>
      </c>
      <c r="C191" s="76">
        <v>7616.25</v>
      </c>
      <c r="D191" s="76">
        <v>4955.8999999999996</v>
      </c>
    </row>
    <row r="192" spans="1:4" x14ac:dyDescent="0.35">
      <c r="A192">
        <v>26023</v>
      </c>
      <c r="B192" t="s">
        <v>1356</v>
      </c>
      <c r="C192" s="76">
        <v>15174.81</v>
      </c>
      <c r="D192" s="76">
        <v>7184.13</v>
      </c>
    </row>
    <row r="193" spans="1:4" x14ac:dyDescent="0.35">
      <c r="A193">
        <v>26027</v>
      </c>
      <c r="B193" t="s">
        <v>1268</v>
      </c>
      <c r="C193" s="76">
        <v>28612.59</v>
      </c>
      <c r="D193" s="76">
        <v>181.79</v>
      </c>
    </row>
    <row r="194" spans="1:4" x14ac:dyDescent="0.35">
      <c r="A194">
        <v>26028</v>
      </c>
      <c r="B194" t="s">
        <v>1357</v>
      </c>
      <c r="C194" s="76">
        <v>93452.56</v>
      </c>
      <c r="D194" s="76">
        <v>11252.230000000001</v>
      </c>
    </row>
    <row r="195" spans="1:4" x14ac:dyDescent="0.35">
      <c r="A195">
        <v>26029</v>
      </c>
      <c r="B195" t="s">
        <v>1357</v>
      </c>
      <c r="C195" s="76">
        <v>44514.3</v>
      </c>
      <c r="D195" s="76">
        <v>3804.2799999999997</v>
      </c>
    </row>
    <row r="196" spans="1:4" x14ac:dyDescent="0.35">
      <c r="A196">
        <v>26031</v>
      </c>
      <c r="B196" t="s">
        <v>1264</v>
      </c>
      <c r="C196" s="76">
        <v>10766.69</v>
      </c>
      <c r="D196" s="76">
        <v>9953.92</v>
      </c>
    </row>
    <row r="197" spans="1:4" x14ac:dyDescent="0.35">
      <c r="A197">
        <v>26032</v>
      </c>
      <c r="B197" t="s">
        <v>1358</v>
      </c>
      <c r="C197" s="76">
        <v>-1184.71</v>
      </c>
      <c r="D197" s="76">
        <v>276.51</v>
      </c>
    </row>
    <row r="198" spans="1:4" x14ac:dyDescent="0.35">
      <c r="A198">
        <v>26034</v>
      </c>
      <c r="B198" t="s">
        <v>1359</v>
      </c>
      <c r="C198" s="76">
        <v>8450.68</v>
      </c>
      <c r="D198" s="76">
        <v>2844.63</v>
      </c>
    </row>
    <row r="199" spans="1:4" x14ac:dyDescent="0.35">
      <c r="A199">
        <v>26035</v>
      </c>
      <c r="B199" t="s">
        <v>1359</v>
      </c>
      <c r="C199" s="76">
        <v>1274.44</v>
      </c>
      <c r="D199" s="76">
        <v>562.82000000000005</v>
      </c>
    </row>
    <row r="200" spans="1:4" x14ac:dyDescent="0.35">
      <c r="A200">
        <v>26038</v>
      </c>
      <c r="B200" t="s">
        <v>137</v>
      </c>
      <c r="C200" s="76">
        <v>1966.69</v>
      </c>
      <c r="D200" s="76">
        <v>520.59</v>
      </c>
    </row>
    <row r="201" spans="1:4" x14ac:dyDescent="0.35">
      <c r="A201">
        <v>26047</v>
      </c>
      <c r="B201" t="s">
        <v>1264</v>
      </c>
      <c r="C201" s="76">
        <v>20366.88</v>
      </c>
      <c r="D201" s="76">
        <v>1427.25</v>
      </c>
    </row>
    <row r="202" spans="1:4" x14ac:dyDescent="0.35">
      <c r="A202">
        <v>26051</v>
      </c>
      <c r="B202" t="s">
        <v>878</v>
      </c>
      <c r="C202" s="76">
        <v>5430.34</v>
      </c>
      <c r="D202" s="76">
        <v>3786.77</v>
      </c>
    </row>
    <row r="203" spans="1:4" x14ac:dyDescent="0.35">
      <c r="A203">
        <v>26052</v>
      </c>
      <c r="B203" t="s">
        <v>1413</v>
      </c>
      <c r="C203" s="76">
        <v>62.4</v>
      </c>
      <c r="D203" s="76">
        <v>60.48</v>
      </c>
    </row>
    <row r="204" spans="1:4" x14ac:dyDescent="0.35">
      <c r="A204">
        <v>26055</v>
      </c>
      <c r="B204" t="s">
        <v>1287</v>
      </c>
      <c r="C204" s="76">
        <v>24.6</v>
      </c>
      <c r="D204" s="76">
        <v>0</v>
      </c>
    </row>
    <row r="205" spans="1:4" x14ac:dyDescent="0.35">
      <c r="A205">
        <v>26058</v>
      </c>
      <c r="B205" t="s">
        <v>1360</v>
      </c>
      <c r="C205" s="76">
        <v>143.57</v>
      </c>
      <c r="D205" s="76">
        <v>136.04999999999998</v>
      </c>
    </row>
    <row r="206" spans="1:4" x14ac:dyDescent="0.35">
      <c r="A206">
        <v>26059</v>
      </c>
      <c r="B206" t="s">
        <v>811</v>
      </c>
      <c r="C206" s="76">
        <v>1787.86</v>
      </c>
      <c r="D206" s="76">
        <v>1136.72</v>
      </c>
    </row>
    <row r="207" spans="1:4" x14ac:dyDescent="0.35">
      <c r="A207">
        <v>26060</v>
      </c>
      <c r="B207" t="s">
        <v>811</v>
      </c>
      <c r="C207" s="76">
        <v>36973.730000000003</v>
      </c>
      <c r="D207" s="76">
        <v>34045.69</v>
      </c>
    </row>
    <row r="208" spans="1:4" x14ac:dyDescent="0.35">
      <c r="A208">
        <v>26068</v>
      </c>
      <c r="B208" t="s">
        <v>1358</v>
      </c>
      <c r="C208" s="76">
        <v>13592.85</v>
      </c>
      <c r="D208" s="76">
        <v>13566.2</v>
      </c>
    </row>
    <row r="209" spans="1:4" x14ac:dyDescent="0.35">
      <c r="A209">
        <v>26070</v>
      </c>
      <c r="B209" t="s">
        <v>1361</v>
      </c>
      <c r="C209" s="76">
        <v>3969.6</v>
      </c>
      <c r="D209" s="76">
        <v>3122.52</v>
      </c>
    </row>
    <row r="210" spans="1:4" x14ac:dyDescent="0.35">
      <c r="A210">
        <v>26071</v>
      </c>
      <c r="B210" t="s">
        <v>80</v>
      </c>
      <c r="C210" s="76">
        <v>294.08</v>
      </c>
      <c r="D210" s="76">
        <v>0</v>
      </c>
    </row>
    <row r="211" spans="1:4" x14ac:dyDescent="0.35">
      <c r="A211">
        <v>26075</v>
      </c>
      <c r="B211" t="s">
        <v>1362</v>
      </c>
      <c r="C211" s="76">
        <v>11739.15</v>
      </c>
      <c r="D211" s="76">
        <v>5403.3399999999992</v>
      </c>
    </row>
    <row r="212" spans="1:4" x14ac:dyDescent="0.35">
      <c r="A212">
        <v>26076</v>
      </c>
      <c r="B212" t="s">
        <v>1264</v>
      </c>
      <c r="C212" s="76">
        <v>288.31</v>
      </c>
      <c r="D212" s="76">
        <v>0</v>
      </c>
    </row>
    <row r="213" spans="1:4" x14ac:dyDescent="0.35">
      <c r="A213">
        <v>26085</v>
      </c>
      <c r="B213" t="s">
        <v>928</v>
      </c>
      <c r="C213" s="76">
        <v>2380.79</v>
      </c>
      <c r="D213" s="76">
        <v>647.9799999999999</v>
      </c>
    </row>
    <row r="214" spans="1:4" x14ac:dyDescent="0.35">
      <c r="A214">
        <v>26093</v>
      </c>
      <c r="B214" t="s">
        <v>1363</v>
      </c>
      <c r="C214" s="76">
        <v>11022.51</v>
      </c>
      <c r="D214" s="76">
        <v>6597.13</v>
      </c>
    </row>
    <row r="215" spans="1:4" x14ac:dyDescent="0.35">
      <c r="A215">
        <v>26095</v>
      </c>
      <c r="B215" t="s">
        <v>1364</v>
      </c>
      <c r="C215" s="76">
        <v>437.34</v>
      </c>
      <c r="D215" s="76">
        <v>55.7</v>
      </c>
    </row>
    <row r="216" spans="1:4" x14ac:dyDescent="0.35">
      <c r="A216">
        <v>26102</v>
      </c>
      <c r="B216" t="s">
        <v>1365</v>
      </c>
      <c r="C216" s="76">
        <v>1513.33</v>
      </c>
      <c r="D216" s="76">
        <v>216.58999999999997</v>
      </c>
    </row>
    <row r="217" spans="1:4" x14ac:dyDescent="0.35">
      <c r="A217">
        <v>26104</v>
      </c>
      <c r="B217" t="s">
        <v>1366</v>
      </c>
      <c r="C217" s="76">
        <v>342.04</v>
      </c>
      <c r="D217" s="76">
        <v>164.29000000000002</v>
      </c>
    </row>
    <row r="218" spans="1:4" x14ac:dyDescent="0.35">
      <c r="A218">
        <v>26105</v>
      </c>
      <c r="B218" t="s">
        <v>1367</v>
      </c>
      <c r="C218" s="76">
        <v>13858.84</v>
      </c>
      <c r="D218" s="76">
        <v>13726.969999999998</v>
      </c>
    </row>
    <row r="219" spans="1:4" x14ac:dyDescent="0.35">
      <c r="A219">
        <v>26106</v>
      </c>
      <c r="B219" t="s">
        <v>1368</v>
      </c>
      <c r="C219" s="76">
        <v>1500.75</v>
      </c>
      <c r="D219" s="76">
        <v>462.87</v>
      </c>
    </row>
    <row r="220" spans="1:4" x14ac:dyDescent="0.35">
      <c r="A220">
        <v>26108</v>
      </c>
      <c r="B220" t="s">
        <v>1369</v>
      </c>
      <c r="C220" s="76">
        <v>445.75</v>
      </c>
      <c r="D220" s="76">
        <v>17.239999999999998</v>
      </c>
    </row>
    <row r="221" spans="1:4" x14ac:dyDescent="0.35">
      <c r="A221">
        <v>26113</v>
      </c>
      <c r="B221" t="s">
        <v>1370</v>
      </c>
      <c r="C221" s="76">
        <v>1498.73</v>
      </c>
      <c r="D221" s="76">
        <v>591.78000000000009</v>
      </c>
    </row>
    <row r="222" spans="1:4" x14ac:dyDescent="0.35">
      <c r="A222">
        <v>26115</v>
      </c>
      <c r="B222" t="s">
        <v>1295</v>
      </c>
      <c r="C222" s="76">
        <v>77.48</v>
      </c>
      <c r="D222" s="76">
        <v>17.259999999999998</v>
      </c>
    </row>
    <row r="223" spans="1:4" x14ac:dyDescent="0.35">
      <c r="A223">
        <v>26118</v>
      </c>
      <c r="B223" t="s">
        <v>1371</v>
      </c>
      <c r="C223" s="76">
        <v>5116.59</v>
      </c>
      <c r="D223" s="76">
        <v>607.31999999999994</v>
      </c>
    </row>
    <row r="224" spans="1:4" x14ac:dyDescent="0.35">
      <c r="A224">
        <v>26119</v>
      </c>
      <c r="B224" t="s">
        <v>1372</v>
      </c>
      <c r="C224" s="76">
        <v>2863.93</v>
      </c>
      <c r="D224" s="76">
        <v>998.88</v>
      </c>
    </row>
    <row r="225" spans="1:4" x14ac:dyDescent="0.35">
      <c r="A225">
        <v>26120</v>
      </c>
      <c r="B225" t="s">
        <v>1373</v>
      </c>
      <c r="C225" s="76">
        <v>739.2</v>
      </c>
      <c r="D225" s="76">
        <v>124.57000000000001</v>
      </c>
    </row>
    <row r="226" spans="1:4" x14ac:dyDescent="0.35">
      <c r="A226">
        <v>26121</v>
      </c>
      <c r="B226" t="s">
        <v>1374</v>
      </c>
      <c r="C226" s="76">
        <v>247.45</v>
      </c>
      <c r="D226" s="76">
        <v>150.67000000000002</v>
      </c>
    </row>
    <row r="227" spans="1:4" x14ac:dyDescent="0.35">
      <c r="A227">
        <v>26122</v>
      </c>
      <c r="B227" t="s">
        <v>1375</v>
      </c>
      <c r="C227" s="76">
        <v>127.2</v>
      </c>
      <c r="D227" s="76">
        <v>127.2</v>
      </c>
    </row>
    <row r="228" spans="1:4" x14ac:dyDescent="0.35">
      <c r="A228">
        <v>26124</v>
      </c>
      <c r="B228" t="s">
        <v>1206</v>
      </c>
      <c r="C228" s="76">
        <v>6366.96</v>
      </c>
      <c r="D228" s="76">
        <v>3152.62</v>
      </c>
    </row>
    <row r="229" spans="1:4" x14ac:dyDescent="0.35">
      <c r="A229">
        <v>26125</v>
      </c>
      <c r="B229" t="s">
        <v>1356</v>
      </c>
      <c r="C229" s="76">
        <v>6196.14</v>
      </c>
      <c r="D229" s="76">
        <v>1180.3</v>
      </c>
    </row>
    <row r="230" spans="1:4" x14ac:dyDescent="0.35">
      <c r="A230">
        <v>26126</v>
      </c>
      <c r="B230" t="s">
        <v>1376</v>
      </c>
      <c r="C230" s="76">
        <v>419.27</v>
      </c>
      <c r="D230" s="76">
        <v>410.66999999999996</v>
      </c>
    </row>
    <row r="231" spans="1:4" x14ac:dyDescent="0.35">
      <c r="A231">
        <v>26128</v>
      </c>
      <c r="B231" t="s">
        <v>1498</v>
      </c>
      <c r="C231" s="76">
        <v>316.95999999999998</v>
      </c>
      <c r="D231" s="76">
        <v>0</v>
      </c>
    </row>
    <row r="232" spans="1:4" x14ac:dyDescent="0.35">
      <c r="A232">
        <v>26130</v>
      </c>
      <c r="B232" t="s">
        <v>1271</v>
      </c>
      <c r="C232" s="76">
        <v>745.58</v>
      </c>
      <c r="D232" s="76">
        <v>264.24</v>
      </c>
    </row>
    <row r="233" spans="1:4" x14ac:dyDescent="0.35">
      <c r="A233">
        <v>26135</v>
      </c>
      <c r="B233" t="s">
        <v>80</v>
      </c>
      <c r="C233" s="76">
        <v>-11929.87</v>
      </c>
      <c r="D233" s="76">
        <v>0</v>
      </c>
    </row>
    <row r="234" spans="1:4" x14ac:dyDescent="0.35">
      <c r="A234">
        <v>26143</v>
      </c>
      <c r="B234" t="s">
        <v>1377</v>
      </c>
      <c r="C234" s="76">
        <v>397.61</v>
      </c>
      <c r="D234" s="76">
        <v>92.33</v>
      </c>
    </row>
    <row r="235" spans="1:4" x14ac:dyDescent="0.35">
      <c r="A235">
        <v>26146</v>
      </c>
      <c r="B235" t="s">
        <v>1378</v>
      </c>
      <c r="C235" s="76">
        <v>92495.14</v>
      </c>
      <c r="D235" s="76">
        <v>51265.87</v>
      </c>
    </row>
    <row r="236" spans="1:4" x14ac:dyDescent="0.35">
      <c r="A236">
        <v>26147</v>
      </c>
      <c r="B236" t="s">
        <v>1379</v>
      </c>
      <c r="C236" s="76">
        <v>1915.61</v>
      </c>
      <c r="D236" s="76">
        <v>1386.29</v>
      </c>
    </row>
    <row r="237" spans="1:4" x14ac:dyDescent="0.35">
      <c r="A237">
        <v>26152</v>
      </c>
      <c r="B237" t="s">
        <v>721</v>
      </c>
      <c r="C237" s="76">
        <v>137463.06</v>
      </c>
      <c r="D237" s="76">
        <v>308</v>
      </c>
    </row>
    <row r="238" spans="1:4" x14ac:dyDescent="0.35">
      <c r="A238">
        <v>26153</v>
      </c>
      <c r="B238" t="s">
        <v>721</v>
      </c>
      <c r="C238" s="76">
        <v>75689.95</v>
      </c>
      <c r="D238" s="76">
        <v>73497.409999999989</v>
      </c>
    </row>
    <row r="239" spans="1:4" x14ac:dyDescent="0.35">
      <c r="A239">
        <v>26154</v>
      </c>
      <c r="B239" t="s">
        <v>721</v>
      </c>
      <c r="C239" s="76">
        <v>130515</v>
      </c>
      <c r="D239" s="76">
        <v>413.98000000000008</v>
      </c>
    </row>
    <row r="240" spans="1:4" x14ac:dyDescent="0.35">
      <c r="A240">
        <v>26157</v>
      </c>
      <c r="B240" t="s">
        <v>721</v>
      </c>
      <c r="C240" s="76">
        <v>137463.06</v>
      </c>
      <c r="D240" s="76">
        <v>308</v>
      </c>
    </row>
    <row r="241" spans="1:4" x14ac:dyDescent="0.35">
      <c r="A241">
        <v>26158</v>
      </c>
      <c r="B241" t="s">
        <v>721</v>
      </c>
      <c r="C241" s="76">
        <v>75689.95</v>
      </c>
      <c r="D241" s="76">
        <v>75198.7</v>
      </c>
    </row>
    <row r="242" spans="1:4" x14ac:dyDescent="0.35">
      <c r="A242">
        <v>26159</v>
      </c>
      <c r="B242" t="s">
        <v>721</v>
      </c>
      <c r="C242" s="76">
        <v>130515</v>
      </c>
      <c r="D242" s="76">
        <v>413.98000000000008</v>
      </c>
    </row>
    <row r="243" spans="1:4" x14ac:dyDescent="0.35">
      <c r="A243">
        <v>26161</v>
      </c>
      <c r="B243" t="s">
        <v>1380</v>
      </c>
      <c r="C243" s="76">
        <v>3459.91</v>
      </c>
      <c r="D243" s="76">
        <v>1199.01</v>
      </c>
    </row>
    <row r="244" spans="1:4" x14ac:dyDescent="0.35">
      <c r="A244">
        <v>26164</v>
      </c>
      <c r="B244" t="s">
        <v>1289</v>
      </c>
      <c r="C244" s="76">
        <v>1291.6199999999999</v>
      </c>
      <c r="D244" s="76">
        <v>0</v>
      </c>
    </row>
    <row r="245" spans="1:4" x14ac:dyDescent="0.35">
      <c r="A245">
        <v>26167</v>
      </c>
      <c r="B245" t="s">
        <v>1057</v>
      </c>
      <c r="C245" s="76">
        <v>128.76</v>
      </c>
      <c r="D245" s="76">
        <v>127.19</v>
      </c>
    </row>
    <row r="246" spans="1:4" x14ac:dyDescent="0.35">
      <c r="A246">
        <v>26169</v>
      </c>
      <c r="B246" t="s">
        <v>1381</v>
      </c>
      <c r="C246" s="76">
        <v>169.63</v>
      </c>
      <c r="D246" s="76">
        <v>2.2800000000000002</v>
      </c>
    </row>
    <row r="247" spans="1:4" x14ac:dyDescent="0.35">
      <c r="A247">
        <v>26170</v>
      </c>
      <c r="B247" t="s">
        <v>1381</v>
      </c>
      <c r="C247" s="76">
        <v>1267.5899999999999</v>
      </c>
      <c r="D247" s="76">
        <v>851.66000000000008</v>
      </c>
    </row>
    <row r="248" spans="1:4" x14ac:dyDescent="0.35">
      <c r="A248">
        <v>26172</v>
      </c>
      <c r="B248" t="s">
        <v>1266</v>
      </c>
      <c r="C248" s="76">
        <v>175.52</v>
      </c>
      <c r="D248" s="76">
        <v>177.83</v>
      </c>
    </row>
    <row r="249" spans="1:4" x14ac:dyDescent="0.35">
      <c r="A249">
        <v>26174</v>
      </c>
      <c r="B249" t="s">
        <v>1382</v>
      </c>
      <c r="C249" s="76">
        <v>3734.87</v>
      </c>
      <c r="D249" s="76">
        <v>2621.2799999999997</v>
      </c>
    </row>
    <row r="250" spans="1:4" x14ac:dyDescent="0.35">
      <c r="A250">
        <v>26175</v>
      </c>
      <c r="B250" t="s">
        <v>1383</v>
      </c>
      <c r="C250" s="76">
        <v>6350.14</v>
      </c>
      <c r="D250" s="76">
        <v>1766.68</v>
      </c>
    </row>
    <row r="251" spans="1:4" x14ac:dyDescent="0.35">
      <c r="A251">
        <v>26177</v>
      </c>
      <c r="B251" t="s">
        <v>1070</v>
      </c>
      <c r="C251" s="76">
        <v>5969.12</v>
      </c>
      <c r="D251" s="76">
        <v>1544.98</v>
      </c>
    </row>
    <row r="252" spans="1:4" x14ac:dyDescent="0.35">
      <c r="A252">
        <v>26178</v>
      </c>
      <c r="B252" t="s">
        <v>1070</v>
      </c>
      <c r="C252" s="76">
        <v>1108.1400000000001</v>
      </c>
      <c r="D252" s="76">
        <v>258.33000000000004</v>
      </c>
    </row>
    <row r="253" spans="1:4" x14ac:dyDescent="0.35">
      <c r="A253">
        <v>26179</v>
      </c>
      <c r="B253" t="s">
        <v>1499</v>
      </c>
      <c r="C253" s="76">
        <v>332.2</v>
      </c>
      <c r="D253" s="76">
        <v>0</v>
      </c>
    </row>
    <row r="254" spans="1:4" x14ac:dyDescent="0.35">
      <c r="A254">
        <v>26181</v>
      </c>
      <c r="B254" t="s">
        <v>1384</v>
      </c>
      <c r="C254" s="76">
        <v>126.69</v>
      </c>
      <c r="D254" s="76">
        <v>5.7700000000000005</v>
      </c>
    </row>
    <row r="255" spans="1:4" x14ac:dyDescent="0.35">
      <c r="A255">
        <v>26183</v>
      </c>
      <c r="B255" t="s">
        <v>1298</v>
      </c>
      <c r="C255" s="76">
        <v>301.05</v>
      </c>
      <c r="D255" s="76">
        <v>300.54000000000002</v>
      </c>
    </row>
    <row r="256" spans="1:4" x14ac:dyDescent="0.35">
      <c r="A256">
        <v>26186</v>
      </c>
      <c r="B256" t="s">
        <v>1385</v>
      </c>
      <c r="C256" s="76">
        <v>706.83</v>
      </c>
      <c r="D256" s="76">
        <v>251.91</v>
      </c>
    </row>
    <row r="257" spans="1:4" x14ac:dyDescent="0.35">
      <c r="A257">
        <v>26187</v>
      </c>
      <c r="B257" t="s">
        <v>1341</v>
      </c>
      <c r="C257" s="76">
        <v>2136.4</v>
      </c>
      <c r="D257" s="76">
        <v>274.44000000000005</v>
      </c>
    </row>
    <row r="258" spans="1:4" x14ac:dyDescent="0.35">
      <c r="A258">
        <v>26188</v>
      </c>
      <c r="B258" t="s">
        <v>1484</v>
      </c>
      <c r="C258" s="76">
        <v>955.47</v>
      </c>
      <c r="D258" s="76">
        <v>649.30999999999995</v>
      </c>
    </row>
    <row r="259" spans="1:4" x14ac:dyDescent="0.35">
      <c r="A259">
        <v>26189</v>
      </c>
      <c r="B259" t="s">
        <v>1386</v>
      </c>
      <c r="C259" s="76">
        <v>1965.41</v>
      </c>
      <c r="D259" s="76">
        <v>1075.72</v>
      </c>
    </row>
    <row r="260" spans="1:4" x14ac:dyDescent="0.35">
      <c r="A260">
        <v>26199</v>
      </c>
      <c r="B260" t="s">
        <v>1387</v>
      </c>
      <c r="C260" s="76">
        <v>81609.48</v>
      </c>
      <c r="D260" s="76">
        <v>37997.870000000003</v>
      </c>
    </row>
    <row r="261" spans="1:4" x14ac:dyDescent="0.35">
      <c r="A261">
        <v>26201</v>
      </c>
      <c r="B261" t="s">
        <v>1088</v>
      </c>
      <c r="C261" s="76">
        <v>3768.74</v>
      </c>
      <c r="D261" s="76">
        <v>730.52</v>
      </c>
    </row>
    <row r="262" spans="1:4" x14ac:dyDescent="0.35">
      <c r="A262">
        <v>26205</v>
      </c>
      <c r="B262" t="s">
        <v>1388</v>
      </c>
      <c r="C262" s="76">
        <v>281.12</v>
      </c>
      <c r="D262" s="76">
        <v>13.120000000000001</v>
      </c>
    </row>
    <row r="263" spans="1:4" x14ac:dyDescent="0.35">
      <c r="A263">
        <v>26208</v>
      </c>
      <c r="B263" t="s">
        <v>1500</v>
      </c>
      <c r="C263" s="76">
        <v>252.9</v>
      </c>
      <c r="D263" s="76">
        <v>1.71</v>
      </c>
    </row>
    <row r="264" spans="1:4" x14ac:dyDescent="0.35">
      <c r="A264">
        <v>26210</v>
      </c>
      <c r="B264" t="s">
        <v>1500</v>
      </c>
      <c r="C264" s="76">
        <v>432</v>
      </c>
      <c r="D264" s="76">
        <v>10.29</v>
      </c>
    </row>
    <row r="265" spans="1:4" x14ac:dyDescent="0.35">
      <c r="A265">
        <v>26221</v>
      </c>
      <c r="B265" t="s">
        <v>1389</v>
      </c>
      <c r="C265" s="76">
        <v>1863.66</v>
      </c>
      <c r="D265" s="76">
        <v>406.97</v>
      </c>
    </row>
    <row r="266" spans="1:4" x14ac:dyDescent="0.35">
      <c r="A266">
        <v>26227</v>
      </c>
      <c r="B266" t="s">
        <v>1485</v>
      </c>
      <c r="C266" s="76">
        <v>356.53</v>
      </c>
      <c r="D266" s="76">
        <v>0.43</v>
      </c>
    </row>
    <row r="267" spans="1:4" x14ac:dyDescent="0.35">
      <c r="A267">
        <v>26228</v>
      </c>
      <c r="B267" t="s">
        <v>1486</v>
      </c>
      <c r="C267" s="76">
        <v>827.1</v>
      </c>
      <c r="D267" s="76">
        <v>89.28</v>
      </c>
    </row>
    <row r="268" spans="1:4" x14ac:dyDescent="0.35">
      <c r="A268">
        <v>26231</v>
      </c>
      <c r="B268" t="s">
        <v>1309</v>
      </c>
      <c r="C268" s="76">
        <v>291.73</v>
      </c>
      <c r="D268" s="76">
        <v>174.29000000000002</v>
      </c>
    </row>
    <row r="269" spans="1:4" x14ac:dyDescent="0.35">
      <c r="A269">
        <v>26236</v>
      </c>
      <c r="B269" t="s">
        <v>1394</v>
      </c>
      <c r="C269" s="76">
        <v>19028.38</v>
      </c>
      <c r="D269" s="76">
        <v>1106.8400000000001</v>
      </c>
    </row>
    <row r="270" spans="1:4" x14ac:dyDescent="0.35">
      <c r="A270">
        <v>26237</v>
      </c>
      <c r="B270" t="s">
        <v>1386</v>
      </c>
      <c r="C270" s="76">
        <v>5748.33</v>
      </c>
      <c r="D270" s="76">
        <v>3300.92</v>
      </c>
    </row>
    <row r="271" spans="1:4" x14ac:dyDescent="0.35">
      <c r="A271">
        <v>26240</v>
      </c>
      <c r="B271" t="s">
        <v>1287</v>
      </c>
      <c r="C271" s="76">
        <v>70.95</v>
      </c>
      <c r="D271" s="76">
        <v>0</v>
      </c>
    </row>
    <row r="272" spans="1:4" x14ac:dyDescent="0.35">
      <c r="A272">
        <v>26242</v>
      </c>
      <c r="B272" t="s">
        <v>1395</v>
      </c>
      <c r="C272" s="76">
        <v>3003.04</v>
      </c>
      <c r="D272" s="76">
        <v>1507.02</v>
      </c>
    </row>
    <row r="273" spans="1:4" x14ac:dyDescent="0.35">
      <c r="A273">
        <v>26243</v>
      </c>
      <c r="B273" t="s">
        <v>1487</v>
      </c>
      <c r="C273" s="76">
        <v>804.03</v>
      </c>
      <c r="D273" s="76">
        <v>393.66999999999996</v>
      </c>
    </row>
    <row r="274" spans="1:4" x14ac:dyDescent="0.35">
      <c r="A274">
        <v>26250</v>
      </c>
      <c r="B274" t="s">
        <v>1397</v>
      </c>
      <c r="C274" s="76">
        <v>438.87</v>
      </c>
      <c r="D274" s="76">
        <v>0</v>
      </c>
    </row>
    <row r="275" spans="1:4" x14ac:dyDescent="0.35">
      <c r="A275">
        <v>26255</v>
      </c>
      <c r="B275" t="s">
        <v>1300</v>
      </c>
      <c r="C275" s="76">
        <v>63.32</v>
      </c>
      <c r="D275" s="76">
        <v>0</v>
      </c>
    </row>
    <row r="276" spans="1:4" x14ac:dyDescent="0.35">
      <c r="A276">
        <v>26256</v>
      </c>
      <c r="B276" t="s">
        <v>1501</v>
      </c>
      <c r="C276" s="76">
        <v>1374.67</v>
      </c>
      <c r="D276" s="76">
        <v>0</v>
      </c>
    </row>
    <row r="277" spans="1:4" x14ac:dyDescent="0.35">
      <c r="A277">
        <v>26257</v>
      </c>
      <c r="B277" t="s">
        <v>1502</v>
      </c>
      <c r="C277" s="76">
        <v>452.38</v>
      </c>
      <c r="D277" s="76">
        <v>0.61</v>
      </c>
    </row>
    <row r="278" spans="1:4" x14ac:dyDescent="0.35">
      <c r="A278">
        <v>26265</v>
      </c>
      <c r="B278" t="s">
        <v>1398</v>
      </c>
      <c r="C278" s="76">
        <v>45.23</v>
      </c>
      <c r="D278" s="76">
        <v>0</v>
      </c>
    </row>
    <row r="279" spans="1:4" x14ac:dyDescent="0.35">
      <c r="A279">
        <v>26268</v>
      </c>
      <c r="B279" t="s">
        <v>1488</v>
      </c>
      <c r="C279" s="76">
        <v>14042.34</v>
      </c>
      <c r="D279" s="76">
        <v>13669.76</v>
      </c>
    </row>
    <row r="280" spans="1:4" x14ac:dyDescent="0.35">
      <c r="A280">
        <v>26269</v>
      </c>
      <c r="B280" t="s">
        <v>1396</v>
      </c>
      <c r="C280" s="76">
        <v>16997.169999999998</v>
      </c>
      <c r="D280" s="76">
        <v>1050.53</v>
      </c>
    </row>
    <row r="281" spans="1:4" x14ac:dyDescent="0.35">
      <c r="A281">
        <v>26271</v>
      </c>
      <c r="B281" t="s">
        <v>1396</v>
      </c>
      <c r="C281" s="76">
        <v>3993.25</v>
      </c>
      <c r="D281" s="76">
        <v>232.57</v>
      </c>
    </row>
    <row r="282" spans="1:4" x14ac:dyDescent="0.35">
      <c r="A282">
        <v>26273</v>
      </c>
      <c r="B282" t="s">
        <v>1396</v>
      </c>
      <c r="C282" s="76">
        <v>1968.62</v>
      </c>
      <c r="D282" s="76">
        <v>212.43</v>
      </c>
    </row>
    <row r="283" spans="1:4" x14ac:dyDescent="0.35">
      <c r="A283">
        <v>26274</v>
      </c>
      <c r="B283" t="s">
        <v>1414</v>
      </c>
      <c r="C283" s="76">
        <v>13.5</v>
      </c>
      <c r="D283" s="76">
        <v>0</v>
      </c>
    </row>
    <row r="284" spans="1:4" x14ac:dyDescent="0.35">
      <c r="A284">
        <v>26277</v>
      </c>
      <c r="B284" t="s">
        <v>1503</v>
      </c>
      <c r="C284" s="76">
        <v>122.65</v>
      </c>
      <c r="D284" s="76">
        <v>0.18</v>
      </c>
    </row>
    <row r="285" spans="1:4" x14ac:dyDescent="0.35">
      <c r="A285">
        <v>26282</v>
      </c>
      <c r="B285" t="s">
        <v>1504</v>
      </c>
      <c r="C285" s="76">
        <v>16477.740000000002</v>
      </c>
      <c r="D285" s="76">
        <v>8915.9</v>
      </c>
    </row>
    <row r="286" spans="1:4" x14ac:dyDescent="0.35">
      <c r="A286">
        <v>26283</v>
      </c>
      <c r="B286" t="s">
        <v>1489</v>
      </c>
      <c r="C286" s="76">
        <v>682.07</v>
      </c>
      <c r="D286" s="76">
        <v>296.04000000000002</v>
      </c>
    </row>
    <row r="287" spans="1:4" x14ac:dyDescent="0.35">
      <c r="A287">
        <v>26285</v>
      </c>
      <c r="B287" t="s">
        <v>1391</v>
      </c>
      <c r="C287" s="76">
        <v>200.68</v>
      </c>
      <c r="D287" s="76">
        <v>51.44</v>
      </c>
    </row>
    <row r="288" spans="1:4" x14ac:dyDescent="0.35">
      <c r="A288">
        <v>26287</v>
      </c>
      <c r="B288" t="s">
        <v>1335</v>
      </c>
      <c r="C288" s="76">
        <v>31194.98</v>
      </c>
      <c r="D288" s="76">
        <v>1674.68</v>
      </c>
    </row>
    <row r="289" spans="1:4" x14ac:dyDescent="0.35">
      <c r="A289">
        <v>26290</v>
      </c>
      <c r="B289" t="s">
        <v>1490</v>
      </c>
      <c r="C289" s="76">
        <v>60075.86</v>
      </c>
      <c r="D289" s="76">
        <v>30390.23</v>
      </c>
    </row>
    <row r="290" spans="1:4" x14ac:dyDescent="0.35">
      <c r="A290">
        <v>26291</v>
      </c>
      <c r="B290" t="s">
        <v>1505</v>
      </c>
      <c r="C290" s="76">
        <v>1245.98</v>
      </c>
      <c r="D290" s="76">
        <v>43.540000000000006</v>
      </c>
    </row>
    <row r="291" spans="1:4" x14ac:dyDescent="0.35">
      <c r="A291">
        <v>26292</v>
      </c>
      <c r="B291" t="s">
        <v>1506</v>
      </c>
      <c r="C291" s="76">
        <v>3664.28</v>
      </c>
      <c r="D291" s="76">
        <v>164.17000000000002</v>
      </c>
    </row>
    <row r="292" spans="1:4" x14ac:dyDescent="0.35">
      <c r="A292">
        <v>26298</v>
      </c>
      <c r="B292" t="s">
        <v>1491</v>
      </c>
      <c r="C292" s="76">
        <v>3633.61</v>
      </c>
      <c r="D292" s="76">
        <v>1869.89</v>
      </c>
    </row>
    <row r="293" spans="1:4" x14ac:dyDescent="0.35">
      <c r="A293">
        <v>26300</v>
      </c>
      <c r="B293" t="s">
        <v>1492</v>
      </c>
      <c r="C293" s="76">
        <v>484.41</v>
      </c>
      <c r="D293" s="76">
        <v>253.52</v>
      </c>
    </row>
    <row r="294" spans="1:4" x14ac:dyDescent="0.35">
      <c r="A294">
        <v>26301</v>
      </c>
      <c r="B294" t="s">
        <v>1507</v>
      </c>
      <c r="C294" s="76">
        <v>73234.759999999995</v>
      </c>
      <c r="D294" s="76">
        <v>37880.590000000004</v>
      </c>
    </row>
    <row r="295" spans="1:4" x14ac:dyDescent="0.35">
      <c r="A295">
        <v>26302</v>
      </c>
      <c r="B295" t="s">
        <v>1240</v>
      </c>
      <c r="C295" s="76">
        <v>28671.57</v>
      </c>
      <c r="D295" s="76">
        <v>1742.98</v>
      </c>
    </row>
    <row r="296" spans="1:4" x14ac:dyDescent="0.35">
      <c r="A296">
        <v>26308</v>
      </c>
      <c r="B296" t="s">
        <v>1281</v>
      </c>
      <c r="C296" s="76">
        <v>2470.58</v>
      </c>
      <c r="D296" s="76">
        <v>2194.59</v>
      </c>
    </row>
    <row r="297" spans="1:4" x14ac:dyDescent="0.35">
      <c r="A297">
        <v>26310</v>
      </c>
      <c r="B297" t="s">
        <v>1298</v>
      </c>
      <c r="C297" s="76">
        <v>301.05</v>
      </c>
      <c r="D297" s="76">
        <v>7.38</v>
      </c>
    </row>
    <row r="298" spans="1:4" x14ac:dyDescent="0.35">
      <c r="A298">
        <v>26311</v>
      </c>
      <c r="B298" t="s">
        <v>1341</v>
      </c>
      <c r="C298" s="76">
        <v>1364.29</v>
      </c>
      <c r="D298" s="76">
        <v>2.57</v>
      </c>
    </row>
    <row r="299" spans="1:4" x14ac:dyDescent="0.35">
      <c r="A299">
        <v>26316</v>
      </c>
      <c r="B299" t="s">
        <v>1397</v>
      </c>
      <c r="C299" s="76">
        <v>122.87</v>
      </c>
      <c r="D299" s="76">
        <v>0</v>
      </c>
    </row>
    <row r="300" spans="1:4" x14ac:dyDescent="0.35">
      <c r="A300">
        <v>26319</v>
      </c>
      <c r="B300" t="s">
        <v>1390</v>
      </c>
      <c r="C300" s="76">
        <v>1634.94</v>
      </c>
      <c r="D300" s="76">
        <v>0</v>
      </c>
    </row>
    <row r="301" spans="1:4" x14ac:dyDescent="0.35">
      <c r="A301">
        <v>26320</v>
      </c>
      <c r="B301" t="s">
        <v>1508</v>
      </c>
      <c r="C301" s="76">
        <v>155.47999999999999</v>
      </c>
      <c r="D301" s="76">
        <v>0</v>
      </c>
    </row>
    <row r="302" spans="1:4" x14ac:dyDescent="0.35">
      <c r="A302">
        <v>26323</v>
      </c>
      <c r="B302" t="s">
        <v>1436</v>
      </c>
      <c r="C302" s="76">
        <v>5454.64</v>
      </c>
      <c r="D302" s="76">
        <v>0</v>
      </c>
    </row>
    <row r="303" spans="1:4" x14ac:dyDescent="0.35">
      <c r="A303">
        <v>26327</v>
      </c>
      <c r="B303" t="s">
        <v>1509</v>
      </c>
      <c r="C303" s="76">
        <v>1133.32</v>
      </c>
      <c r="D303" s="76">
        <v>0</v>
      </c>
    </row>
    <row r="304" spans="1:4" x14ac:dyDescent="0.35">
      <c r="A304">
        <v>26332</v>
      </c>
      <c r="B304" t="s">
        <v>1263</v>
      </c>
      <c r="C304" s="76">
        <v>2149.12</v>
      </c>
      <c r="D304" s="76">
        <v>0</v>
      </c>
    </row>
    <row r="305" spans="1:4" x14ac:dyDescent="0.35">
      <c r="A305">
        <v>26333</v>
      </c>
      <c r="B305" t="s">
        <v>675</v>
      </c>
      <c r="C305" s="76">
        <v>185.75</v>
      </c>
      <c r="D305" s="76">
        <v>0</v>
      </c>
    </row>
    <row r="306" spans="1:4" x14ac:dyDescent="0.35">
      <c r="A306">
        <v>26338</v>
      </c>
      <c r="B306" t="s">
        <v>80</v>
      </c>
      <c r="C306" s="76">
        <v>16847.439999999999</v>
      </c>
      <c r="D306" s="76">
        <v>0</v>
      </c>
    </row>
    <row r="307" spans="1:4" x14ac:dyDescent="0.35">
      <c r="A307">
        <v>26339</v>
      </c>
      <c r="B307" t="s">
        <v>1464</v>
      </c>
      <c r="C307" s="76">
        <v>730.34</v>
      </c>
      <c r="D307" s="76">
        <v>0</v>
      </c>
    </row>
    <row r="308" spans="1:4" x14ac:dyDescent="0.35">
      <c r="A308">
        <v>26341</v>
      </c>
      <c r="B308" t="s">
        <v>1510</v>
      </c>
      <c r="C308" s="76">
        <v>530.73</v>
      </c>
      <c r="D308" s="76">
        <v>527.54999999999995</v>
      </c>
    </row>
    <row r="309" spans="1:4" x14ac:dyDescent="0.35">
      <c r="A309">
        <v>26342</v>
      </c>
      <c r="B309" t="s">
        <v>1511</v>
      </c>
      <c r="C309" s="76">
        <v>21.96</v>
      </c>
      <c r="D309" s="76">
        <v>0</v>
      </c>
    </row>
    <row r="310" spans="1:4" x14ac:dyDescent="0.35">
      <c r="A310">
        <v>26350</v>
      </c>
      <c r="B310" t="s">
        <v>1512</v>
      </c>
      <c r="C310" s="76">
        <v>18173.98</v>
      </c>
      <c r="D310" s="76">
        <v>11084.12</v>
      </c>
    </row>
    <row r="311" spans="1:4" x14ac:dyDescent="0.35">
      <c r="A311">
        <v>26351</v>
      </c>
      <c r="B311" t="s">
        <v>1512</v>
      </c>
      <c r="C311" s="76">
        <v>10044.700000000001</v>
      </c>
      <c r="D311" s="76">
        <v>6159.9900000000007</v>
      </c>
    </row>
    <row r="312" spans="1:4" x14ac:dyDescent="0.35">
      <c r="A312">
        <v>26360</v>
      </c>
      <c r="B312" t="s">
        <v>1513</v>
      </c>
      <c r="C312" s="76">
        <v>2617.0100000000002</v>
      </c>
      <c r="D312" s="76">
        <v>0</v>
      </c>
    </row>
    <row r="313" spans="1:4" x14ac:dyDescent="0.35">
      <c r="A313">
        <v>26362</v>
      </c>
      <c r="B313" t="s">
        <v>1514</v>
      </c>
      <c r="C313" s="76">
        <v>0.1</v>
      </c>
      <c r="D313" s="76">
        <v>0</v>
      </c>
    </row>
    <row r="314" spans="1:4" x14ac:dyDescent="0.35">
      <c r="A314">
        <v>26373</v>
      </c>
      <c r="B314" t="s">
        <v>1515</v>
      </c>
      <c r="C314" s="76">
        <v>24.47</v>
      </c>
      <c r="D314" s="76">
        <v>0</v>
      </c>
    </row>
    <row r="315" spans="1:4" x14ac:dyDescent="0.35">
      <c r="A315">
        <v>26377</v>
      </c>
      <c r="B315" t="s">
        <v>1263</v>
      </c>
      <c r="C315" s="76">
        <v>11.4</v>
      </c>
      <c r="D315" s="76">
        <v>0</v>
      </c>
    </row>
    <row r="316" spans="1:4" x14ac:dyDescent="0.35">
      <c r="A316">
        <v>26392</v>
      </c>
      <c r="B316" t="s">
        <v>1516</v>
      </c>
      <c r="C316" s="76">
        <v>45.68</v>
      </c>
      <c r="D316" s="76">
        <v>0</v>
      </c>
    </row>
    <row r="317" spans="1:4" x14ac:dyDescent="0.35">
      <c r="A317">
        <v>800001</v>
      </c>
      <c r="B317" t="s">
        <v>1397</v>
      </c>
      <c r="C317" s="76">
        <v>462.31</v>
      </c>
      <c r="D317" s="76">
        <v>0</v>
      </c>
    </row>
    <row r="318" spans="1:4" x14ac:dyDescent="0.35">
      <c r="A318">
        <v>800472</v>
      </c>
      <c r="B318" t="s">
        <v>1260</v>
      </c>
      <c r="C318" s="76">
        <v>584.74</v>
      </c>
      <c r="D318" s="76">
        <v>0</v>
      </c>
    </row>
    <row r="319" spans="1:4" x14ac:dyDescent="0.35">
      <c r="A319">
        <v>800522</v>
      </c>
      <c r="B319" t="s">
        <v>1260</v>
      </c>
      <c r="C319" s="76">
        <v>86.29</v>
      </c>
      <c r="D319" s="76">
        <v>0</v>
      </c>
    </row>
    <row r="320" spans="1:4" x14ac:dyDescent="0.35">
      <c r="A320">
        <v>800631</v>
      </c>
      <c r="B320" t="s">
        <v>80</v>
      </c>
      <c r="C320" s="76">
        <v>-2189.0500000000002</v>
      </c>
      <c r="D320" s="76">
        <v>0</v>
      </c>
    </row>
    <row r="321" spans="1:4" x14ac:dyDescent="0.35">
      <c r="A321">
        <v>800664</v>
      </c>
      <c r="B321" t="s">
        <v>1260</v>
      </c>
      <c r="C321" s="76">
        <v>27.86</v>
      </c>
      <c r="D321" s="76">
        <v>0</v>
      </c>
    </row>
    <row r="322" spans="1:4" x14ac:dyDescent="0.35">
      <c r="A322">
        <v>800704</v>
      </c>
      <c r="B322" t="s">
        <v>1257</v>
      </c>
      <c r="C322" s="76">
        <v>21346.07</v>
      </c>
      <c r="D322" s="76">
        <v>19365.620000000003</v>
      </c>
    </row>
    <row r="323" spans="1:4" x14ac:dyDescent="0.35">
      <c r="C323" s="76"/>
      <c r="D323" s="76"/>
    </row>
    <row r="324" spans="1:4" x14ac:dyDescent="0.35">
      <c r="C324" s="76"/>
      <c r="D324" s="76"/>
    </row>
    <row r="325" spans="1:4" x14ac:dyDescent="0.35">
      <c r="C325" s="76"/>
      <c r="D325" s="76"/>
    </row>
    <row r="326" spans="1:4" x14ac:dyDescent="0.35">
      <c r="C326" s="76"/>
      <c r="D326" s="76"/>
    </row>
    <row r="327" spans="1:4" x14ac:dyDescent="0.35">
      <c r="C327" s="76"/>
      <c r="D327" s="76"/>
    </row>
    <row r="328" spans="1:4" x14ac:dyDescent="0.35">
      <c r="C328" s="76"/>
      <c r="D328" s="76"/>
    </row>
    <row r="329" spans="1:4" x14ac:dyDescent="0.35">
      <c r="C329" s="76"/>
      <c r="D329" s="76"/>
    </row>
    <row r="330" spans="1:4" x14ac:dyDescent="0.35">
      <c r="C330" s="76"/>
      <c r="D330" s="76"/>
    </row>
    <row r="331" spans="1:4" x14ac:dyDescent="0.35">
      <c r="C331" s="76"/>
      <c r="D331" s="76"/>
    </row>
    <row r="332" spans="1:4" x14ac:dyDescent="0.35">
      <c r="C332" s="76"/>
      <c r="D332" s="76"/>
    </row>
    <row r="333" spans="1:4" x14ac:dyDescent="0.35">
      <c r="C333" s="76"/>
      <c r="D333" s="76"/>
    </row>
    <row r="334" spans="1:4" x14ac:dyDescent="0.35">
      <c r="C334" s="76"/>
      <c r="D334" s="76"/>
    </row>
    <row r="335" spans="1:4" x14ac:dyDescent="0.35">
      <c r="C335" s="76"/>
      <c r="D335" s="76"/>
    </row>
    <row r="336" spans="1:4" x14ac:dyDescent="0.35">
      <c r="C336" s="76"/>
      <c r="D336" s="76"/>
    </row>
    <row r="337" spans="3:4" x14ac:dyDescent="0.35">
      <c r="C337" s="76"/>
      <c r="D337" s="7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70C3D-2C15-4DEB-8D14-9266C1500E3C}">
  <sheetPr codeName="Plan5">
    <tabColor rgb="FF00B050"/>
  </sheetPr>
  <dimension ref="A1:AL152"/>
  <sheetViews>
    <sheetView showGridLines="0" topLeftCell="I1" zoomScale="70" zoomScaleNormal="70" workbookViewId="0">
      <selection activeCell="U28" sqref="U28"/>
    </sheetView>
  </sheetViews>
  <sheetFormatPr defaultColWidth="9.1796875" defaultRowHeight="14.5" x14ac:dyDescent="0.35"/>
  <cols>
    <col min="1" max="1" width="13.1796875" style="12" customWidth="1"/>
    <col min="2" max="2" width="19.7265625" style="12" bestFit="1" customWidth="1"/>
    <col min="3" max="3" width="17.7265625" style="20" bestFit="1" customWidth="1"/>
    <col min="4" max="4" width="19.6328125" style="12" bestFit="1" customWidth="1"/>
    <col min="5" max="5" width="17.7265625" style="12" bestFit="1" customWidth="1"/>
    <col min="6" max="6" width="18.7265625" style="12" hidden="1" customWidth="1"/>
    <col min="7" max="7" width="18.7265625" style="12" customWidth="1"/>
    <col min="8" max="8" width="34.26953125" style="12" bestFit="1" customWidth="1"/>
    <col min="9" max="9" width="18" style="12" customWidth="1"/>
    <col min="10" max="26" width="17.26953125" style="12" customWidth="1"/>
    <col min="27" max="27" width="18.81640625" style="12" customWidth="1"/>
    <col min="28" max="29" width="13.26953125" style="12" customWidth="1"/>
    <col min="30" max="30" width="17.7265625" style="12" bestFit="1" customWidth="1"/>
    <col min="31" max="31" width="16.453125" style="12" bestFit="1" customWidth="1"/>
    <col min="32" max="38" width="13.26953125" style="12" customWidth="1"/>
    <col min="39" max="16384" width="9.1796875" style="12"/>
  </cols>
  <sheetData>
    <row r="1" spans="1:8" x14ac:dyDescent="0.35">
      <c r="A1" s="12" t="s">
        <v>117</v>
      </c>
      <c r="B1" s="12" t="s">
        <v>120</v>
      </c>
      <c r="C1" s="20" t="s">
        <v>118</v>
      </c>
      <c r="D1" s="12" t="s">
        <v>119</v>
      </c>
      <c r="E1" s="12" t="s">
        <v>370</v>
      </c>
      <c r="F1" s="12" t="s">
        <v>178</v>
      </c>
      <c r="G1" s="12" t="s">
        <v>183</v>
      </c>
      <c r="H1" s="12" t="s">
        <v>369</v>
      </c>
    </row>
    <row r="2" spans="1:8" x14ac:dyDescent="0.35">
      <c r="A2" s="13">
        <v>44197</v>
      </c>
      <c r="B2" s="19" t="s">
        <v>345</v>
      </c>
      <c r="C2" s="21">
        <v>0</v>
      </c>
      <c r="D2" s="14">
        <f>IFERROR(GETPIVOTDATA("Soma de Peso bruto",$B$33,"Semana",TabelaTOTAL[[#This Row],[Semana]]),0)-TabelaTOTAL[[#This Row],[Atrasado]]+TabelaTOTAL[[#This Row],[CONSULTA PARA VENDA]]</f>
        <v>0</v>
      </c>
      <c r="E2" s="14">
        <f t="shared" ref="E2:E25" si="0">C2-G2</f>
        <v>0</v>
      </c>
      <c r="F2" s="15">
        <v>0</v>
      </c>
      <c r="G2" s="16">
        <v>0</v>
      </c>
    </row>
    <row r="3" spans="1:8" x14ac:dyDescent="0.35">
      <c r="A3" s="13">
        <v>44200</v>
      </c>
      <c r="B3" s="19" t="s">
        <v>346</v>
      </c>
      <c r="C3" s="22">
        <v>0</v>
      </c>
      <c r="D3" s="25">
        <f>IFERROR(GETPIVOTDATA("Soma de Peso bruto",$B$33,"Semana",TabelaTOTAL[[#This Row],[Semana]]),0)-TabelaTOTAL[[#This Row],[Atrasado]]+TabelaTOTAL[[#This Row],[CONSULTA PARA VENDA]]</f>
        <v>0</v>
      </c>
      <c r="E3" s="25">
        <f t="shared" si="0"/>
        <v>0</v>
      </c>
      <c r="F3" s="17">
        <v>0</v>
      </c>
      <c r="G3" s="16">
        <v>0</v>
      </c>
    </row>
    <row r="4" spans="1:8" x14ac:dyDescent="0.35">
      <c r="A4" s="13">
        <v>44207</v>
      </c>
      <c r="B4" s="19" t="s">
        <v>347</v>
      </c>
      <c r="C4" s="22">
        <v>0</v>
      </c>
      <c r="D4" s="25">
        <f>IFERROR(GETPIVOTDATA("Soma de Peso bruto",$B$33,"Semana",TabelaTOTAL[[#This Row],[Semana]]),0)-TabelaTOTAL[[#This Row],[Atrasado]]+TabelaTOTAL[[#This Row],[CONSULTA PARA VENDA]]</f>
        <v>281.64299999999997</v>
      </c>
      <c r="E4" s="25">
        <f t="shared" si="0"/>
        <v>0</v>
      </c>
      <c r="F4" s="17">
        <v>0</v>
      </c>
      <c r="G4" s="16">
        <v>0</v>
      </c>
    </row>
    <row r="5" spans="1:8" x14ac:dyDescent="0.35">
      <c r="A5" s="13">
        <v>44214</v>
      </c>
      <c r="B5" s="19" t="s">
        <v>348</v>
      </c>
      <c r="C5" s="22">
        <v>0</v>
      </c>
      <c r="D5" s="25">
        <f>IFERROR(GETPIVOTDATA("Soma de Peso bruto",$B$33,"Semana",TabelaTOTAL[[#This Row],[Semana]]),0)-TabelaTOTAL[[#This Row],[Atrasado]]+TabelaTOTAL[[#This Row],[CONSULTA PARA VENDA]]</f>
        <v>0</v>
      </c>
      <c r="E5" s="25">
        <f t="shared" si="0"/>
        <v>0</v>
      </c>
      <c r="F5" s="17">
        <v>0</v>
      </c>
      <c r="G5" s="16">
        <v>0</v>
      </c>
    </row>
    <row r="6" spans="1:8" x14ac:dyDescent="0.35">
      <c r="A6" s="13">
        <v>44221</v>
      </c>
      <c r="B6" s="19" t="s">
        <v>349</v>
      </c>
      <c r="C6" s="22">
        <v>0</v>
      </c>
      <c r="D6" s="25">
        <f>IFERROR(GETPIVOTDATA("Soma de Peso bruto",$B$33,"Semana",TabelaTOTAL[[#This Row],[Semana]]),0)-TabelaTOTAL[[#This Row],[Atrasado]]+TabelaTOTAL[[#This Row],[CONSULTA PARA VENDA]]</f>
        <v>0</v>
      </c>
      <c r="E6" s="25">
        <f t="shared" si="0"/>
        <v>0</v>
      </c>
      <c r="F6" s="17">
        <v>0</v>
      </c>
      <c r="G6" s="16">
        <v>0</v>
      </c>
    </row>
    <row r="7" spans="1:8" x14ac:dyDescent="0.35">
      <c r="A7" s="13">
        <v>44228</v>
      </c>
      <c r="B7" s="19" t="s">
        <v>350</v>
      </c>
      <c r="C7" s="22">
        <v>0</v>
      </c>
      <c r="D7" s="25">
        <f>IFERROR(GETPIVOTDATA("Soma de Peso bruto",$B$33,"Semana",TabelaTOTAL[[#This Row],[Semana]]),0)-TabelaTOTAL[[#This Row],[Atrasado]]+TabelaTOTAL[[#This Row],[CONSULTA PARA VENDA]]</f>
        <v>0</v>
      </c>
      <c r="E7" s="25">
        <f t="shared" si="0"/>
        <v>0</v>
      </c>
      <c r="F7" s="17">
        <v>0</v>
      </c>
      <c r="G7" s="16">
        <v>0</v>
      </c>
    </row>
    <row r="8" spans="1:8" x14ac:dyDescent="0.35">
      <c r="A8" s="13">
        <v>44235</v>
      </c>
      <c r="B8" s="19" t="s">
        <v>351</v>
      </c>
      <c r="C8" s="22">
        <v>0</v>
      </c>
      <c r="D8" s="25">
        <f>IFERROR(GETPIVOTDATA("Soma de Peso bruto",$B$33,"Semana",TabelaTOTAL[[#This Row],[Semana]]),0)-TabelaTOTAL[[#This Row],[Atrasado]]+TabelaTOTAL[[#This Row],[CONSULTA PARA VENDA]]</f>
        <v>0</v>
      </c>
      <c r="E8" s="25">
        <f t="shared" si="0"/>
        <v>0</v>
      </c>
      <c r="F8" s="17">
        <v>0</v>
      </c>
      <c r="G8" s="16">
        <v>0</v>
      </c>
    </row>
    <row r="9" spans="1:8" x14ac:dyDescent="0.35">
      <c r="A9" s="13">
        <v>44242</v>
      </c>
      <c r="B9" s="19" t="s">
        <v>352</v>
      </c>
      <c r="C9" s="22">
        <v>0</v>
      </c>
      <c r="D9" s="25">
        <f>IFERROR(GETPIVOTDATA("Soma de Peso bruto",$B$33,"Semana",TabelaTOTAL[[#This Row],[Semana]]),0)-TabelaTOTAL[[#This Row],[Atrasado]]+TabelaTOTAL[[#This Row],[CONSULTA PARA VENDA]]</f>
        <v>0</v>
      </c>
      <c r="E9" s="25">
        <f t="shared" si="0"/>
        <v>0</v>
      </c>
      <c r="F9" s="17">
        <v>0</v>
      </c>
      <c r="G9" s="16">
        <f>IF(SUM($G$2:G8)&gt;$D$27,0,IF(SUM($G$2:G8)+C9&gt;$D$27,$D$27-SUM($G$2:G8),VALUE(C9)))</f>
        <v>0</v>
      </c>
    </row>
    <row r="10" spans="1:8" x14ac:dyDescent="0.35">
      <c r="A10" s="13">
        <v>44249</v>
      </c>
      <c r="B10" s="19" t="s">
        <v>353</v>
      </c>
      <c r="C10" s="22">
        <v>0</v>
      </c>
      <c r="D10" s="25">
        <f>IFERROR(GETPIVOTDATA("Soma de Peso bruto",$B$33,"Semana",TabelaTOTAL[[#This Row],[Semana]]),0)-TabelaTOTAL[[#This Row],[Atrasado]]+TabelaTOTAL[[#This Row],[CONSULTA PARA VENDA]]</f>
        <v>0</v>
      </c>
      <c r="E10" s="25">
        <f t="shared" si="0"/>
        <v>0</v>
      </c>
      <c r="F10" s="17">
        <v>0</v>
      </c>
      <c r="G10" s="16">
        <f>IF(SUM($G$2:G9)&gt;$D$27,0,IF(SUM($G$2:G9)+C10&gt;$D$27,$D$27-SUM($G$2:G9),VALUE(C10)))</f>
        <v>0</v>
      </c>
    </row>
    <row r="11" spans="1:8" x14ac:dyDescent="0.35">
      <c r="A11" s="13">
        <v>44256</v>
      </c>
      <c r="B11" s="19" t="s">
        <v>354</v>
      </c>
      <c r="C11" s="22">
        <v>0</v>
      </c>
      <c r="D11" s="25">
        <f>IFERROR(GETPIVOTDATA("Soma de Peso bruto",$B$33,"Semana",TabelaTOTAL[[#This Row],[Semana]]),0)-TabelaTOTAL[[#This Row],[Atrasado]]+TabelaTOTAL[[#This Row],[CONSULTA PARA VENDA]]</f>
        <v>0</v>
      </c>
      <c r="E11" s="25">
        <f t="shared" si="0"/>
        <v>0</v>
      </c>
      <c r="F11" s="17">
        <v>0</v>
      </c>
      <c r="G11" s="16">
        <v>0</v>
      </c>
    </row>
    <row r="12" spans="1:8" x14ac:dyDescent="0.35">
      <c r="A12" s="13">
        <v>44263</v>
      </c>
      <c r="B12" s="19" t="s">
        <v>355</v>
      </c>
      <c r="C12" s="22">
        <v>0</v>
      </c>
      <c r="D12" s="25">
        <f>IFERROR(GETPIVOTDATA("Soma de Peso bruto",$B$33,"Semana",TabelaTOTAL[[#This Row],[Semana]]),0)-TabelaTOTAL[[#This Row],[Atrasado]]+TabelaTOTAL[[#This Row],[CONSULTA PARA VENDA]]</f>
        <v>0</v>
      </c>
      <c r="E12" s="25">
        <f t="shared" si="0"/>
        <v>0</v>
      </c>
      <c r="F12" s="17">
        <v>0</v>
      </c>
      <c r="G12" s="16">
        <f>IF(SUM($G$2:G11)&gt;$D$27,0,IF(SUM($G$2:G11)+C12&gt;$D$27,$D$27-SUM($G$2:G11),VALUE(C12)))</f>
        <v>0</v>
      </c>
    </row>
    <row r="13" spans="1:8" x14ac:dyDescent="0.35">
      <c r="A13" s="13">
        <v>44270</v>
      </c>
      <c r="B13" s="19" t="s">
        <v>356</v>
      </c>
      <c r="C13" s="22">
        <v>0</v>
      </c>
      <c r="D13" s="25">
        <f>IFERROR(GETPIVOTDATA("Soma de Peso bruto",$B$33,"Semana",TabelaTOTAL[[#This Row],[Semana]]),0)-TabelaTOTAL[[#This Row],[Atrasado]]+TabelaTOTAL[[#This Row],[CONSULTA PARA VENDA]]</f>
        <v>0</v>
      </c>
      <c r="E13" s="25">
        <f t="shared" si="0"/>
        <v>0</v>
      </c>
      <c r="F13" s="17">
        <v>0</v>
      </c>
      <c r="G13" s="16">
        <f>IF(SUM($G$2:G12)&gt;$D$27,0,IF(SUM($G$2:G12)+C13&gt;$D$27,$D$27-SUM($G$2:G12),VALUE(C13)))</f>
        <v>0</v>
      </c>
    </row>
    <row r="14" spans="1:8" x14ac:dyDescent="0.35">
      <c r="A14" s="13">
        <v>44277</v>
      </c>
      <c r="B14" s="19" t="s">
        <v>357</v>
      </c>
      <c r="C14" s="20">
        <v>0</v>
      </c>
      <c r="D14" s="25">
        <f>IFERROR(GETPIVOTDATA("Soma de Peso bruto",$B$33,"Semana",TabelaTOTAL[[#This Row],[Semana]]),0)-TabelaTOTAL[[#This Row],[Atrasado]]+TabelaTOTAL[[#This Row],[CONSULTA PARA VENDA]]</f>
        <v>0</v>
      </c>
      <c r="E14" s="25">
        <f t="shared" si="0"/>
        <v>0</v>
      </c>
      <c r="F14" s="17">
        <v>0</v>
      </c>
      <c r="G14" s="16">
        <f>IF(SUM($G$2:G13)&gt;$D$27,0,IF(SUM($G$2:G13)+C14&gt;$D$27,$D$27-SUM($G$2:G13),VALUE(C14)))</f>
        <v>0</v>
      </c>
    </row>
    <row r="15" spans="1:8" x14ac:dyDescent="0.35">
      <c r="A15" s="13">
        <v>44284</v>
      </c>
      <c r="B15" s="19" t="s">
        <v>358</v>
      </c>
      <c r="C15" s="22">
        <v>0</v>
      </c>
      <c r="D15" s="25">
        <f>IFERROR(GETPIVOTDATA("Soma de Peso bruto",$B$33,"Semana",TabelaTOTAL[[#This Row],[Semana]]),0)-TabelaTOTAL[[#This Row],[Atrasado]]+TabelaTOTAL[[#This Row],[CONSULTA PARA VENDA]]</f>
        <v>0</v>
      </c>
      <c r="E15" s="25">
        <f t="shared" si="0"/>
        <v>0</v>
      </c>
      <c r="F15" s="17">
        <v>0</v>
      </c>
      <c r="G15" s="16">
        <f>IF(SUM($G$2:G14)&gt;$D$27,0,IF(SUM($G$2:G14)+C15&gt;$D$27,$D$27-SUM($G$2:G14),VALUE(C15)))</f>
        <v>0</v>
      </c>
    </row>
    <row r="16" spans="1:8" x14ac:dyDescent="0.35">
      <c r="A16" s="13">
        <v>44291</v>
      </c>
      <c r="B16" s="19" t="s">
        <v>359</v>
      </c>
      <c r="C16" s="22">
        <v>0</v>
      </c>
      <c r="D16" s="25">
        <f>IFERROR(GETPIVOTDATA("Soma de Peso bruto",$B$33,"Semana",TabelaTOTAL[[#This Row],[Semana]]),0)-TabelaTOTAL[[#This Row],[Atrasado]]+TabelaTOTAL[[#This Row],[CONSULTA PARA VENDA]]</f>
        <v>814.39</v>
      </c>
      <c r="E16" s="25">
        <f t="shared" si="0"/>
        <v>0</v>
      </c>
      <c r="F16" s="17">
        <v>0</v>
      </c>
      <c r="G16" s="16">
        <f>IF(SUM($G$2:G15)&gt;$D$27,0,IF(SUM($G$2:G15)+C16&gt;$D$27,$D$27-SUM($G$2:G15),VALUE(C16)))</f>
        <v>0</v>
      </c>
    </row>
    <row r="17" spans="1:38" x14ac:dyDescent="0.35">
      <c r="A17" s="13">
        <v>44298</v>
      </c>
      <c r="B17" s="19" t="s">
        <v>360</v>
      </c>
      <c r="C17" s="22">
        <v>0</v>
      </c>
      <c r="D17" s="25">
        <f>IFERROR(GETPIVOTDATA("Soma de Peso bruto",$B$33,"Semana",TabelaTOTAL[[#This Row],[Semana]]),0)-TabelaTOTAL[[#This Row],[Atrasado]]+TabelaTOTAL[[#This Row],[CONSULTA PARA VENDA]]</f>
        <v>71082.561000000002</v>
      </c>
      <c r="E17" s="25">
        <f t="shared" si="0"/>
        <v>0</v>
      </c>
      <c r="F17" s="17">
        <v>0</v>
      </c>
      <c r="G17" s="16">
        <f>IF(SUM($G$2:G16)&gt;$D$27,0,IF(SUM($G$2:G16)+C17&gt;$D$27,$D$27-SUM($G$2:G16),VALUE(C17)))</f>
        <v>0</v>
      </c>
    </row>
    <row r="18" spans="1:38" x14ac:dyDescent="0.35">
      <c r="A18" s="13">
        <v>44305</v>
      </c>
      <c r="B18" s="19" t="s">
        <v>361</v>
      </c>
      <c r="C18" s="22">
        <v>0</v>
      </c>
      <c r="D18" s="25">
        <f>IFERROR(GETPIVOTDATA("Soma de Peso bruto",$B$33,"Semana",TabelaTOTAL[[#This Row],[Semana]]),0)-TabelaTOTAL[[#This Row],[Atrasado]]+TabelaTOTAL[[#This Row],[CONSULTA PARA VENDA]]</f>
        <v>213593.90399999995</v>
      </c>
      <c r="E18" s="25">
        <f t="shared" si="0"/>
        <v>0</v>
      </c>
      <c r="F18" s="17">
        <v>0</v>
      </c>
      <c r="G18" s="16">
        <f>IF(SUM($G$2:G17)&gt;$D$27,0,IF(SUM($G$2:G17)+C18&gt;$D$27,$D$27-SUM($G$2:G17),VALUE(C18)))</f>
        <v>0</v>
      </c>
    </row>
    <row r="19" spans="1:38" x14ac:dyDescent="0.35">
      <c r="A19" s="13">
        <v>44312</v>
      </c>
      <c r="B19" s="19" t="s">
        <v>362</v>
      </c>
      <c r="C19" s="22">
        <f>T40</f>
        <v>2479000</v>
      </c>
      <c r="D19" s="25">
        <f>IFERROR(GETPIVOTDATA("Soma de Peso bruto",$B$33,"Semana",TabelaTOTAL[[#This Row],[Semana]]),0)-TabelaTOTAL[[#This Row],[Atrasado]]+TabelaTOTAL[[#This Row],[CONSULTA PARA VENDA]]</f>
        <v>951381.63400000019</v>
      </c>
      <c r="E19" s="25">
        <f t="shared" si="0"/>
        <v>0</v>
      </c>
      <c r="F19" s="17">
        <v>0</v>
      </c>
      <c r="G19" s="16">
        <f>IF(SUM($G$2:G18)&gt;$D$27,0,IF(SUM($G$2:G18)+C19&gt;$D$27,$D$27-SUM($G$2:G18),VALUE(C19)))</f>
        <v>2479000</v>
      </c>
      <c r="AD19" s="20">
        <v>1626000</v>
      </c>
      <c r="AE19" s="42">
        <v>1626000</v>
      </c>
    </row>
    <row r="20" spans="1:38" x14ac:dyDescent="0.35">
      <c r="A20" s="13">
        <v>44319</v>
      </c>
      <c r="B20" s="19" t="s">
        <v>363</v>
      </c>
      <c r="C20" s="22">
        <f>U40</f>
        <v>2141000</v>
      </c>
      <c r="D20" s="25">
        <f>IFERROR(GETPIVOTDATA("Soma de Peso bruto",$B$33,"Semana",TabelaTOTAL[[#This Row],[Semana]]),0)-TabelaTOTAL[[#This Row],[Atrasado]]+TabelaTOTAL[[#This Row],[CONSULTA PARA VENDA]]</f>
        <v>1169508.497</v>
      </c>
      <c r="E20" s="25">
        <f t="shared" si="0"/>
        <v>0</v>
      </c>
      <c r="F20" s="17">
        <v>0</v>
      </c>
      <c r="G20" s="16">
        <f>IF(SUM($G$2:G19)&gt;$D$27,0,IF(SUM($G$2:G19)+C20&gt;$D$27,$D$27-SUM($G$2:G19),VALUE(C20)))</f>
        <v>2141000</v>
      </c>
      <c r="AD20" s="20">
        <v>2264000</v>
      </c>
      <c r="AE20" s="42">
        <v>2264000</v>
      </c>
    </row>
    <row r="21" spans="1:38" x14ac:dyDescent="0.35">
      <c r="A21" s="13">
        <v>44326</v>
      </c>
      <c r="B21" s="19" t="s">
        <v>364</v>
      </c>
      <c r="C21" s="22">
        <f>V40</f>
        <v>2616000</v>
      </c>
      <c r="D21" s="25">
        <f>IFERROR(GETPIVOTDATA("Soma de Peso bruto",$B$33,"Semana",TabelaTOTAL[[#This Row],[Semana]]),0)-TabelaTOTAL[[#This Row],[Atrasado]]+TabelaTOTAL[[#This Row],[CONSULTA PARA VENDA]]</f>
        <v>1516779.2409999995</v>
      </c>
      <c r="E21" s="25">
        <f t="shared" si="0"/>
        <v>2230374.9910000013</v>
      </c>
      <c r="F21" s="17">
        <v>0</v>
      </c>
      <c r="G21" s="16">
        <f>IF(SUM($G$2:G20)&gt;$D$27,0,IF(SUM($G$2:G20)+C21&gt;$D$27,$D$27-SUM($G$2:G20),VALUE(C21)))</f>
        <v>385625.00899999868</v>
      </c>
      <c r="AD21" s="20">
        <v>2447000</v>
      </c>
      <c r="AE21" s="42">
        <v>2447000</v>
      </c>
    </row>
    <row r="22" spans="1:38" x14ac:dyDescent="0.35">
      <c r="A22" s="13">
        <v>44333</v>
      </c>
      <c r="B22" s="19" t="s">
        <v>365</v>
      </c>
      <c r="C22" s="22">
        <f>W40</f>
        <v>2571000</v>
      </c>
      <c r="D22" s="25">
        <f>IFERROR(GETPIVOTDATA("Soma de Peso bruto",$B$33,"Semana",TabelaTOTAL[[#This Row],[Semana]]),0)-TabelaTOTAL[[#This Row],[Atrasado]]+TabelaTOTAL[[#This Row],[CONSULTA PARA VENDA]]</f>
        <v>1009979.2989999995</v>
      </c>
      <c r="E22" s="25">
        <f t="shared" si="0"/>
        <v>2571000</v>
      </c>
      <c r="F22" s="17">
        <v>0</v>
      </c>
      <c r="G22" s="16">
        <f>IF(SUM($G$2:G21)&gt;$D$27,0,IF(SUM($G$2:G21)+C22&gt;$D$27,$D$27-SUM($G$2:G21),VALUE(C22)))</f>
        <v>0</v>
      </c>
      <c r="AD22" s="20">
        <v>2080000</v>
      </c>
      <c r="AE22" s="42">
        <v>2080000</v>
      </c>
    </row>
    <row r="23" spans="1:38" x14ac:dyDescent="0.35">
      <c r="A23" s="13">
        <v>44340</v>
      </c>
      <c r="B23" s="19" t="s">
        <v>366</v>
      </c>
      <c r="C23" s="22">
        <f>X40</f>
        <v>2441000</v>
      </c>
      <c r="D23" s="25">
        <f>IFERROR(GETPIVOTDATA("Soma de Peso bruto",$B$33,"Semana",TabelaTOTAL[[#This Row],[Semana]]),0)-TabelaTOTAL[[#This Row],[Atrasado]]+TabelaTOTAL[[#This Row],[CONSULTA PARA VENDA]]</f>
        <v>19358.84</v>
      </c>
      <c r="E23" s="25">
        <f t="shared" si="0"/>
        <v>2441000</v>
      </c>
      <c r="F23" s="17">
        <v>0</v>
      </c>
      <c r="G23" s="16">
        <f>IF(SUM($G$2:G22)&gt;$D$27,0,IF(SUM($G$2:G22)+C23&gt;$D$27,$D$27-SUM($G$2:G22),VALUE(C23)))</f>
        <v>0</v>
      </c>
      <c r="AD23" s="20">
        <v>2354000</v>
      </c>
      <c r="AE23" s="42">
        <v>2354000</v>
      </c>
    </row>
    <row r="24" spans="1:38" x14ac:dyDescent="0.35">
      <c r="A24" s="13">
        <v>44347</v>
      </c>
      <c r="B24" s="19" t="s">
        <v>367</v>
      </c>
      <c r="C24" s="22">
        <f>Y40</f>
        <v>2571000</v>
      </c>
      <c r="D24" s="25">
        <f>IFERROR(GETPIVOTDATA("Soma de Peso bruto",$B$33,"Semana",TabelaTOTAL[[#This Row],[Semana]]),0)-TabelaTOTAL[[#This Row],[Atrasado]]+TabelaTOTAL[[#This Row],[CONSULTA PARA VENDA]]</f>
        <v>52845</v>
      </c>
      <c r="E24" s="25">
        <f t="shared" si="0"/>
        <v>2571000</v>
      </c>
      <c r="F24" s="17">
        <v>0</v>
      </c>
      <c r="G24" s="16">
        <f>IF(SUM($G$2:G23)&gt;$D$27,0,IF(SUM($G$2:G23)+C24&gt;$D$27,$D$27-SUM($G$2:G23),VALUE(C24)))</f>
        <v>0</v>
      </c>
      <c r="AD24" s="20">
        <v>2356000</v>
      </c>
      <c r="AE24" s="42">
        <v>2356000</v>
      </c>
    </row>
    <row r="25" spans="1:38" x14ac:dyDescent="0.35">
      <c r="A25" s="13">
        <v>44354</v>
      </c>
      <c r="B25" s="19" t="s">
        <v>368</v>
      </c>
      <c r="C25" s="22">
        <f>Z40</f>
        <v>2126000</v>
      </c>
      <c r="D25" s="25">
        <f>IFERROR(GETPIVOTDATA("Soma de Peso bruto",$B$33,"Semana",TabelaTOTAL[[#This Row],[Semana]]),0)-TabelaTOTAL[[#This Row],[Atrasado]]+TabelaTOTAL[[#This Row],[CONSULTA PARA VENDA]]</f>
        <v>0</v>
      </c>
      <c r="E25" s="25">
        <f t="shared" si="0"/>
        <v>2126000</v>
      </c>
      <c r="F25" s="17">
        <v>0</v>
      </c>
      <c r="G25" s="16">
        <f>IF(SUM($G$2:G24)&gt;$D$27,0,IF(SUM($G$2:G24)+C25&gt;$D$27,$D$27-SUM($G$2:G24),VALUE(C25)))</f>
        <v>0</v>
      </c>
      <c r="AD25" s="20">
        <v>1958000</v>
      </c>
      <c r="AE25" s="42">
        <v>1958000</v>
      </c>
    </row>
    <row r="26" spans="1:38" x14ac:dyDescent="0.35">
      <c r="A26" s="13"/>
      <c r="B26" s="13"/>
      <c r="C26" s="23"/>
      <c r="D26" s="13"/>
      <c r="E26" s="13"/>
      <c r="F26" s="13"/>
      <c r="G26" s="13"/>
      <c r="H26" s="13"/>
      <c r="I26" s="13"/>
      <c r="J26" s="13"/>
      <c r="K26" s="13"/>
      <c r="M26" s="18"/>
      <c r="AD26" s="20">
        <v>2511000</v>
      </c>
      <c r="AE26" s="42">
        <v>2511000</v>
      </c>
    </row>
    <row r="27" spans="1:38" ht="21.75" customHeight="1" x14ac:dyDescent="0.35">
      <c r="A27" s="13"/>
      <c r="B27" s="13"/>
      <c r="C27" s="24">
        <f>SUBTOTAL(9,TabelaTOTAL[Ton limite])</f>
        <v>16945000</v>
      </c>
      <c r="D27" s="16">
        <f>SUM(TabelaTOTAL[Programado])</f>
        <v>5005625.0089999987</v>
      </c>
      <c r="E27" s="16"/>
      <c r="G27" s="16">
        <f>SUBTOTAL(109,TabelaTOTAL[Balizador])</f>
        <v>5005625.0089999987</v>
      </c>
      <c r="H27" s="13"/>
      <c r="I27" s="13"/>
      <c r="J27" s="32" t="s">
        <v>377</v>
      </c>
      <c r="K27" s="32" t="s">
        <v>379</v>
      </c>
      <c r="L27" s="28" t="s">
        <v>354</v>
      </c>
      <c r="M27" s="28" t="s">
        <v>355</v>
      </c>
      <c r="N27" s="28" t="s">
        <v>356</v>
      </c>
      <c r="O27" s="28" t="s">
        <v>357</v>
      </c>
      <c r="P27" s="28" t="s">
        <v>358</v>
      </c>
      <c r="Q27" s="28" t="s">
        <v>359</v>
      </c>
      <c r="R27" s="28" t="s">
        <v>360</v>
      </c>
      <c r="S27" s="28" t="s">
        <v>361</v>
      </c>
      <c r="T27" s="45" t="s">
        <v>362</v>
      </c>
      <c r="U27" s="28" t="s">
        <v>363</v>
      </c>
      <c r="V27" s="28" t="s">
        <v>364</v>
      </c>
      <c r="W27" s="28" t="s">
        <v>365</v>
      </c>
      <c r="X27" s="28" t="s">
        <v>366</v>
      </c>
      <c r="Y27" s="28" t="s">
        <v>367</v>
      </c>
      <c r="Z27" s="28" t="s">
        <v>368</v>
      </c>
      <c r="AA27" s="41" t="s">
        <v>403</v>
      </c>
      <c r="AB27"/>
      <c r="AC27"/>
      <c r="AD27" s="20">
        <v>2446000</v>
      </c>
      <c r="AE27" s="42">
        <v>2446000</v>
      </c>
      <c r="AF27"/>
      <c r="AG27"/>
      <c r="AH27"/>
      <c r="AI27"/>
      <c r="AJ27"/>
      <c r="AK27"/>
      <c r="AL27"/>
    </row>
    <row r="28" spans="1:38" ht="21.75" customHeight="1" x14ac:dyDescent="0.35">
      <c r="J28" s="27" t="s">
        <v>371</v>
      </c>
      <c r="K28" s="37">
        <v>0.16</v>
      </c>
      <c r="L28" s="29">
        <f>VLOOKUP(L$27,TabelaDRI[[Semana]:[CONSULTA PARA VENDA]],6,0)</f>
        <v>0</v>
      </c>
      <c r="M28" s="29">
        <f>VLOOKUP(M$27,TabelaDRI[[Semana]:[CONSULTA PARA VENDA]],6,0)</f>
        <v>0</v>
      </c>
      <c r="N28" s="29">
        <f>VLOOKUP(N$27,TabelaDRI[[Semana]:[CONSULTA PARA VENDA]],6,0)</f>
        <v>0</v>
      </c>
      <c r="O28" s="29">
        <f>VLOOKUP(O$27,TabelaDRI[[Semana]:[CONSULTA PARA VENDA]],6,0)</f>
        <v>0</v>
      </c>
      <c r="P28" s="29">
        <f>VLOOKUP(P$27,TabelaDRI[[Semana]:[CONSULTA PARA VENDA]],6,0)</f>
        <v>0</v>
      </c>
      <c r="Q28" s="29">
        <f>VLOOKUP(Q$27,TabelaDRI[[Semana]:[CONSULTA PARA VENDA]],6,0)</f>
        <v>0</v>
      </c>
      <c r="R28" s="29">
        <f>VLOOKUP(R$27,TabelaDRI[[Semana]:[CONSULTA PARA VENDA]],6,0)</f>
        <v>0</v>
      </c>
      <c r="S28" s="29">
        <f>VLOOKUP(S$27,TabelaDRI[[Semana]:[CONSULTA PARA VENDA]],6,0)</f>
        <v>0</v>
      </c>
      <c r="T28" s="29">
        <f>VLOOKUP(T$27,TabelaDRI[[Semana]:[CONSULTA PARA VENDA]],6,0)</f>
        <v>0</v>
      </c>
      <c r="U28" s="29">
        <f>VLOOKUP(U$27,TabelaDRI[[Semana]:[CONSULTA PARA VENDA]],6,0)</f>
        <v>264341.13399999996</v>
      </c>
      <c r="V28" s="29">
        <f>VLOOKUP(V$27,TabelaDRI[[Semana]:[CONSULTA PARA VENDA]],6,0)</f>
        <v>418560</v>
      </c>
      <c r="W28" s="29">
        <f>VLOOKUP(W$27,TabelaDRI[[Semana]:[CONSULTA PARA VENDA]],6,0)</f>
        <v>411360</v>
      </c>
      <c r="X28" s="29">
        <f>VLOOKUP(X$27,TabelaDRI[[Semana]:[CONSULTA PARA VENDA]],6,0)</f>
        <v>390560</v>
      </c>
      <c r="Y28" s="29">
        <f>VLOOKUP(Y$27,TabelaDRI[[Semana]:[CONSULTA PARA VENDA]],6,0)</f>
        <v>411360</v>
      </c>
      <c r="Z28" s="29">
        <f>VLOOKUP(Z$27,TabelaDRI[[Semana]:[CONSULTA PARA VENDA]],6,0)</f>
        <v>340160</v>
      </c>
      <c r="AA28" s="40">
        <f>SUM(L28:Z28)</f>
        <v>2236341.1340000001</v>
      </c>
      <c r="AD28" s="20">
        <v>2257000</v>
      </c>
      <c r="AE28" s="42">
        <v>2257000</v>
      </c>
    </row>
    <row r="29" spans="1:38" ht="21.75" customHeight="1" x14ac:dyDescent="0.35">
      <c r="J29" s="27" t="s">
        <v>372</v>
      </c>
      <c r="K29" s="37">
        <v>0.55000000000000004</v>
      </c>
      <c r="L29" s="29">
        <f>VLOOKUP(L$27,Tabela334[[Semana]:[CONSULTA PARA VENDA]],6,0)</f>
        <v>0</v>
      </c>
      <c r="M29" s="29">
        <f>VLOOKUP(M$27,Tabela334[[Semana]:[CONSULTA PARA VENDA]],6,0)</f>
        <v>0</v>
      </c>
      <c r="N29" s="29">
        <f>VLOOKUP(N$27,Tabela334[[Semana]:[CONSULTA PARA VENDA]],6,0)</f>
        <v>0</v>
      </c>
      <c r="O29" s="29">
        <f>VLOOKUP(O$27,Tabela334[[Semana]:[CONSULTA PARA VENDA]],6,0)</f>
        <v>0</v>
      </c>
      <c r="P29" s="29">
        <f>VLOOKUP(P$27,Tabela334[[Semana]:[CONSULTA PARA VENDA]],6,0)</f>
        <v>0</v>
      </c>
      <c r="Q29" s="29">
        <f>VLOOKUP(Q$27,Tabela334[[Semana]:[CONSULTA PARA VENDA]],6,0)</f>
        <v>0</v>
      </c>
      <c r="R29" s="29">
        <f>VLOOKUP(R$27,Tabela334[[Semana]:[CONSULTA PARA VENDA]],6,0)</f>
        <v>0</v>
      </c>
      <c r="S29" s="29">
        <f>VLOOKUP(S$27,Tabela334[[Semana]:[CONSULTA PARA VENDA]],6,0)</f>
        <v>0</v>
      </c>
      <c r="T29" s="29">
        <f>VLOOKUP(T$27,Tabela334[[Semana]:[CONSULTA PARA VENDA]],6,0)</f>
        <v>0</v>
      </c>
      <c r="U29" s="29">
        <f>VLOOKUP(U$27,Tabela334[[Semana]:[CONSULTA PARA VENDA]],6,0)</f>
        <v>182861.13099999959</v>
      </c>
      <c r="V29" s="29">
        <f>VLOOKUP(V$27,Tabela334[[Semana]:[CONSULTA PARA VENDA]],6,0)</f>
        <v>1438800</v>
      </c>
      <c r="W29" s="29">
        <f>VLOOKUP(W$27,Tabela334[[Semana]:[CONSULTA PARA VENDA]],6,0)</f>
        <v>1414050</v>
      </c>
      <c r="X29" s="29">
        <f>VLOOKUP(X$27,Tabela334[[Semana]:[CONSULTA PARA VENDA]],6,0)</f>
        <v>1342550</v>
      </c>
      <c r="Y29" s="29">
        <f>VLOOKUP(Y$27,Tabela334[[Semana]:[CONSULTA PARA VENDA]],6,0)</f>
        <v>1414050</v>
      </c>
      <c r="Z29" s="29">
        <f>VLOOKUP(Z$27,Tabela334[[Semana]:[CONSULTA PARA VENDA]],6,0)</f>
        <v>1169300</v>
      </c>
      <c r="AA29" s="40">
        <f t="shared" ref="AA29:AA34" si="1">SUM(L29:Z29)</f>
        <v>6961611.1309999991</v>
      </c>
      <c r="AD29" s="20">
        <v>2446000</v>
      </c>
      <c r="AE29" s="42">
        <v>2446000</v>
      </c>
    </row>
    <row r="30" spans="1:38" ht="21.75" customHeight="1" x14ac:dyDescent="0.35">
      <c r="B30" s="1" t="s">
        <v>2</v>
      </c>
      <c r="C30" t="s">
        <v>123</v>
      </c>
      <c r="J30" s="27" t="s">
        <v>373</v>
      </c>
      <c r="K30" s="37">
        <v>0.01</v>
      </c>
      <c r="L30" s="29">
        <f>VLOOKUP(L$27,Tabela334567[[Semana]:[CONSULTA PARA VENDA]],6,0)</f>
        <v>0</v>
      </c>
      <c r="M30" s="29">
        <f>VLOOKUP(M$27,Tabela334567[[Semana]:[CONSULTA PARA VENDA]],6,0)</f>
        <v>0</v>
      </c>
      <c r="N30" s="29">
        <f>VLOOKUP(N$27,Tabela334567[[Semana]:[CONSULTA PARA VENDA]],6,0)</f>
        <v>0</v>
      </c>
      <c r="O30" s="29">
        <f>VLOOKUP(O$27,Tabela334567[[Semana]:[CONSULTA PARA VENDA]],6,0)</f>
        <v>0</v>
      </c>
      <c r="P30" s="29">
        <f>VLOOKUP(P$27,Tabela334567[[Semana]:[CONSULTA PARA VENDA]],6,0)</f>
        <v>0</v>
      </c>
      <c r="Q30" s="29">
        <f>VLOOKUP(Q$27,Tabela334567[[Semana]:[CONSULTA PARA VENDA]],6,0)</f>
        <v>0</v>
      </c>
      <c r="R30" s="29">
        <f>VLOOKUP(R$27,Tabela334567[[Semana]:[CONSULTA PARA VENDA]],6,0)</f>
        <v>0</v>
      </c>
      <c r="S30" s="29">
        <f>VLOOKUP(S$27,Tabela334567[[Semana]:[CONSULTA PARA VENDA]],6,0)</f>
        <v>0</v>
      </c>
      <c r="T30" s="29">
        <f>VLOOKUP(T$27,Tabela334567[[Semana]:[CONSULTA PARA VENDA]],6,0)</f>
        <v>0</v>
      </c>
      <c r="U30" s="29">
        <f>VLOOKUP(U$27,Tabela334567[[Semana]:[CONSULTA PARA VENDA]],6,0)</f>
        <v>0</v>
      </c>
      <c r="V30" s="29">
        <f>VLOOKUP(V$27,Tabela334567[[Semana]:[CONSULTA PARA VENDA]],6,0)</f>
        <v>11458.869999999995</v>
      </c>
      <c r="W30" s="29">
        <f>VLOOKUP(W$27,Tabela334567[[Semana]:[CONSULTA PARA VENDA]],6,0)</f>
        <v>25710</v>
      </c>
      <c r="X30" s="29">
        <f>VLOOKUP(X$27,Tabela334567[[Semana]:[CONSULTA PARA VENDA]],6,0)</f>
        <v>24410</v>
      </c>
      <c r="Y30" s="29">
        <f>VLOOKUP(Y$27,Tabela334567[[Semana]:[CONSULTA PARA VENDA]],6,0)</f>
        <v>25710</v>
      </c>
      <c r="Z30" s="29">
        <f>VLOOKUP(Z$27,Tabela334567[[Semana]:[CONSULTA PARA VENDA]],6,0)</f>
        <v>21260</v>
      </c>
      <c r="AA30" s="40">
        <f t="shared" si="1"/>
        <v>108548.87</v>
      </c>
      <c r="AD30" s="20">
        <v>2026000</v>
      </c>
      <c r="AE30" s="42">
        <v>2026000</v>
      </c>
    </row>
    <row r="31" spans="1:38" ht="21.75" customHeight="1" x14ac:dyDescent="0.35">
      <c r="B31" s="1" t="s">
        <v>85</v>
      </c>
      <c r="C31" t="s">
        <v>123</v>
      </c>
      <c r="J31" s="27" t="s">
        <v>374</v>
      </c>
      <c r="K31" s="37">
        <v>0.02</v>
      </c>
      <c r="L31" s="29">
        <f>VLOOKUP(L$27,Tabela3345678[[Semana]:[CONSULTA PARA VENDA]],6,0)</f>
        <v>0</v>
      </c>
      <c r="M31" s="29">
        <f>VLOOKUP(M$27,Tabela3345678[[Semana]:[CONSULTA PARA VENDA]],6,0)</f>
        <v>0</v>
      </c>
      <c r="N31" s="29">
        <f>VLOOKUP(N$27,Tabela3345678[[Semana]:[CONSULTA PARA VENDA]],6,0)</f>
        <v>0</v>
      </c>
      <c r="O31" s="29">
        <f>VLOOKUP(O$27,Tabela3345678[[Semana]:[CONSULTA PARA VENDA]],6,0)</f>
        <v>0</v>
      </c>
      <c r="P31" s="29">
        <f>VLOOKUP(P$27,Tabela3345678[[Semana]:[CONSULTA PARA VENDA]],6,0)</f>
        <v>0</v>
      </c>
      <c r="Q31" s="29">
        <f>VLOOKUP(Q$27,Tabela3345678[[Semana]:[CONSULTA PARA VENDA]],6,0)</f>
        <v>0</v>
      </c>
      <c r="R31" s="29">
        <f>VLOOKUP(R$27,Tabela3345678[[Semana]:[CONSULTA PARA VENDA]],6,0)</f>
        <v>0</v>
      </c>
      <c r="S31" s="29">
        <f>VLOOKUP(S$27,Tabela3345678[[Semana]:[CONSULTA PARA VENDA]],6,0)</f>
        <v>0</v>
      </c>
      <c r="T31" s="29">
        <f>VLOOKUP(T$27,Tabela3345678[[Semana]:[CONSULTA PARA VENDA]],6,0)</f>
        <v>0</v>
      </c>
      <c r="U31" s="29">
        <f>VLOOKUP(U$27,Tabela3345678[[Semana]:[CONSULTA PARA VENDA]],6,0)</f>
        <v>0</v>
      </c>
      <c r="V31" s="29">
        <f>VLOOKUP(V$27,Tabela3345678[[Semana]:[CONSULTA PARA VENDA]],6,0)</f>
        <v>0</v>
      </c>
      <c r="W31" s="29">
        <f>VLOOKUP(W$27,Tabela3345678[[Semana]:[CONSULTA PARA VENDA]],6,0)</f>
        <v>50201.909999999974</v>
      </c>
      <c r="X31" s="29">
        <f>VLOOKUP(X$27,Tabela3345678[[Semana]:[CONSULTA PARA VENDA]],6,0)</f>
        <v>48820</v>
      </c>
      <c r="Y31" s="29">
        <f>VLOOKUP(Y$27,Tabela3345678[[Semana]:[CONSULTA PARA VENDA]],6,0)</f>
        <v>51420</v>
      </c>
      <c r="Z31" s="29">
        <f>VLOOKUP(Z$27,Tabela3345678[[Semana]:[CONSULTA PARA VENDA]],6,0)</f>
        <v>42520</v>
      </c>
      <c r="AA31" s="40">
        <f t="shared" si="1"/>
        <v>192961.90999999997</v>
      </c>
    </row>
    <row r="32" spans="1:38" ht="21.75" customHeight="1" x14ac:dyDescent="0.35">
      <c r="B32" s="12">
        <v>2</v>
      </c>
      <c r="C32" s="12"/>
      <c r="J32" s="27" t="s">
        <v>92</v>
      </c>
      <c r="K32" s="37">
        <v>0.16</v>
      </c>
      <c r="L32" s="29">
        <f>VLOOKUP(L$27,Tabela3345[[Semana]:[CONSULTA PARA VENDA]],6,0)</f>
        <v>0</v>
      </c>
      <c r="M32" s="29">
        <f>VLOOKUP(M$27,Tabela3345[[Semana]:[CONSULTA PARA VENDA]],6,0)</f>
        <v>0</v>
      </c>
      <c r="N32" s="29">
        <f>VLOOKUP(N$27,Tabela3345[[Semana]:[CONSULTA PARA VENDA]],6,0)</f>
        <v>0</v>
      </c>
      <c r="O32" s="29">
        <f>VLOOKUP(O$27,Tabela3345[[Semana]:[CONSULTA PARA VENDA]],6,0)</f>
        <v>0</v>
      </c>
      <c r="P32" s="29">
        <f>VLOOKUP(P$27,Tabela3345[[Semana]:[CONSULTA PARA VENDA]],6,0)</f>
        <v>0</v>
      </c>
      <c r="Q32" s="29">
        <f>VLOOKUP(Q$27,Tabela3345[[Semana]:[CONSULTA PARA VENDA]],6,0)</f>
        <v>0</v>
      </c>
      <c r="R32" s="29">
        <f>VLOOKUP(R$27,Tabela3345[[Semana]:[CONSULTA PARA VENDA]],6,0)</f>
        <v>0</v>
      </c>
      <c r="S32" s="29">
        <f>VLOOKUP(S$27,Tabela3345[[Semana]:[CONSULTA PARA VENDA]],6,0)</f>
        <v>0</v>
      </c>
      <c r="T32" s="29">
        <f>VLOOKUP(T$27,Tabela3345[[Semana]:[CONSULTA PARA VENDA]],6,0)</f>
        <v>0</v>
      </c>
      <c r="U32" s="29">
        <f>VLOOKUP(U$27,Tabela3345[[Semana]:[CONSULTA PARA VENDA]],6,0)</f>
        <v>0</v>
      </c>
      <c r="V32" s="29">
        <f>VLOOKUP(V$27,Tabela3345[[Semana]:[CONSULTA PARA VENDA]],6,0)</f>
        <v>209364.46999999997</v>
      </c>
      <c r="W32" s="29">
        <f>VLOOKUP(W$27,Tabela3345[[Semana]:[CONSULTA PARA VENDA]],6,0)</f>
        <v>411360</v>
      </c>
      <c r="X32" s="29">
        <f>VLOOKUP(X$27,Tabela3345[[Semana]:[CONSULTA PARA VENDA]],6,0)</f>
        <v>390560</v>
      </c>
      <c r="Y32" s="29">
        <f>VLOOKUP(Y$27,Tabela3345[[Semana]:[CONSULTA PARA VENDA]],6,0)</f>
        <v>411360</v>
      </c>
      <c r="Z32" s="29">
        <f>VLOOKUP(Z$27,Tabela3345[[Semana]:[CONSULTA PARA VENDA]],6,0)</f>
        <v>340160</v>
      </c>
      <c r="AA32" s="40">
        <f t="shared" si="1"/>
        <v>1762804.47</v>
      </c>
    </row>
    <row r="33" spans="2:27" ht="21.75" customHeight="1" x14ac:dyDescent="0.35">
      <c r="B33" s="1" t="s">
        <v>82</v>
      </c>
      <c r="C33" s="4" t="s">
        <v>98</v>
      </c>
      <c r="D33" s="4" t="s">
        <v>84</v>
      </c>
      <c r="J33" s="27" t="s">
        <v>375</v>
      </c>
      <c r="K33" s="37">
        <v>0.1</v>
      </c>
      <c r="L33" s="29">
        <f>VLOOKUP(L$27,TabelaOUTROS[[Semana]:[CONSULTA PARA VENDA]],6,0)</f>
        <v>0</v>
      </c>
      <c r="M33" s="29">
        <f>VLOOKUP(M$27,TabelaOUTROS[[Semana]:[CONSULTA PARA VENDA]],6,0)</f>
        <v>0</v>
      </c>
      <c r="N33" s="29">
        <f>VLOOKUP(N$27,TabelaOUTROS[[Semana]:[CONSULTA PARA VENDA]],6,0)</f>
        <v>0</v>
      </c>
      <c r="O33" s="29">
        <f>VLOOKUP(O$27,TabelaOUTROS[[Semana]:[CONSULTA PARA VENDA]],6,0)</f>
        <v>0</v>
      </c>
      <c r="P33" s="29">
        <f>VLOOKUP(P$27,TabelaOUTROS[[Semana]:[CONSULTA PARA VENDA]],6,0)</f>
        <v>0</v>
      </c>
      <c r="Q33" s="29">
        <f>VLOOKUP(Q$27,TabelaOUTROS[[Semana]:[CONSULTA PARA VENDA]],6,0)</f>
        <v>0</v>
      </c>
      <c r="R33" s="29">
        <f>VLOOKUP(R$27,TabelaOUTROS[[Semana]:[CONSULTA PARA VENDA]],6,0)</f>
        <v>0</v>
      </c>
      <c r="S33" s="29">
        <f>VLOOKUP(S$27,TabelaOUTROS[[Semana]:[CONSULTA PARA VENDA]],6,0)</f>
        <v>0</v>
      </c>
      <c r="T33" s="29">
        <f>VLOOKUP(T$27,TabelaOUTROS[[Semana]:[CONSULTA PARA VENDA]],6,0)</f>
        <v>0</v>
      </c>
      <c r="U33" s="29">
        <f>VLOOKUP(U$27,TabelaOUTROS[[Semana]:[CONSULTA PARA VENDA]],6,0)</f>
        <v>0</v>
      </c>
      <c r="V33" s="29">
        <f>VLOOKUP(V$27,TabelaOUTROS[[Semana]:[CONSULTA PARA VENDA]],6,0)</f>
        <v>0</v>
      </c>
      <c r="W33" s="29">
        <f>VLOOKUP(W$27,TabelaOUTROS[[Semana]:[CONSULTA PARA VENDA]],6,0)</f>
        <v>0</v>
      </c>
      <c r="X33" s="29">
        <f>VLOOKUP(X$27,TabelaOUTROS[[Semana]:[CONSULTA PARA VENDA]],6,0)</f>
        <v>207407.47599999991</v>
      </c>
      <c r="Y33" s="29">
        <f>VLOOKUP(Y$27,TabelaOUTROS[[Semana]:[CONSULTA PARA VENDA]],6,0)</f>
        <v>257100</v>
      </c>
      <c r="Z33" s="29">
        <f>VLOOKUP(Z$27,TabelaOUTROS[[Semana]:[CONSULTA PARA VENDA]],6,0)</f>
        <v>212600</v>
      </c>
      <c r="AA33" s="40">
        <f t="shared" si="1"/>
        <v>677107.47599999991</v>
      </c>
    </row>
    <row r="34" spans="2:27" x14ac:dyDescent="0.35">
      <c r="B34" s="8" t="s">
        <v>360</v>
      </c>
      <c r="C34" s="2">
        <v>2313352.98</v>
      </c>
      <c r="D34" s="3">
        <v>71082.561000000002</v>
      </c>
      <c r="J34" s="34" t="s">
        <v>378</v>
      </c>
      <c r="K34" s="36">
        <f>SUM(K28:K33)</f>
        <v>1.0000000000000002</v>
      </c>
      <c r="L34" s="33">
        <f>SUM(L28:L33)</f>
        <v>0</v>
      </c>
      <c r="M34" s="33">
        <f t="shared" ref="M34:Z34" si="2">SUM(M28:M33)</f>
        <v>0</v>
      </c>
      <c r="N34" s="33">
        <f t="shared" si="2"/>
        <v>0</v>
      </c>
      <c r="O34" s="33">
        <f t="shared" si="2"/>
        <v>0</v>
      </c>
      <c r="P34" s="33">
        <f t="shared" si="2"/>
        <v>0</v>
      </c>
      <c r="Q34" s="33">
        <f t="shared" si="2"/>
        <v>0</v>
      </c>
      <c r="R34" s="33">
        <f t="shared" si="2"/>
        <v>0</v>
      </c>
      <c r="S34" s="33">
        <f t="shared" si="2"/>
        <v>0</v>
      </c>
      <c r="T34" s="33">
        <f t="shared" si="2"/>
        <v>0</v>
      </c>
      <c r="U34" s="33">
        <f t="shared" si="2"/>
        <v>447202.26499999955</v>
      </c>
      <c r="V34" s="33">
        <f t="shared" si="2"/>
        <v>2078183.34</v>
      </c>
      <c r="W34" s="33">
        <f t="shared" si="2"/>
        <v>2312681.91</v>
      </c>
      <c r="X34" s="33">
        <f t="shared" si="2"/>
        <v>2404307.4759999998</v>
      </c>
      <c r="Y34" s="33">
        <f t="shared" si="2"/>
        <v>2571000</v>
      </c>
      <c r="Z34" s="33">
        <f t="shared" si="2"/>
        <v>2126000</v>
      </c>
      <c r="AA34" s="40">
        <f t="shared" si="1"/>
        <v>11939374.991</v>
      </c>
    </row>
    <row r="35" spans="2:27" x14ac:dyDescent="0.35">
      <c r="B35" s="8" t="s">
        <v>970</v>
      </c>
      <c r="C35" s="2">
        <v>87</v>
      </c>
      <c r="D35" s="3">
        <v>0</v>
      </c>
      <c r="J35" s="35"/>
      <c r="K35" s="35"/>
    </row>
    <row r="36" spans="2:27" x14ac:dyDescent="0.35">
      <c r="B36" s="8" t="s">
        <v>352</v>
      </c>
      <c r="C36" s="2">
        <v>631485.63000000035</v>
      </c>
      <c r="D36" s="3">
        <v>0</v>
      </c>
      <c r="H36" s="20">
        <f>Tonelagemlimite_13/21</f>
        <v>0</v>
      </c>
      <c r="J36" s="35"/>
      <c r="K36" s="35"/>
      <c r="L36" s="30" t="s">
        <v>354</v>
      </c>
      <c r="M36" s="30" t="s">
        <v>355</v>
      </c>
      <c r="N36" s="30" t="s">
        <v>356</v>
      </c>
      <c r="O36" s="28" t="s">
        <v>357</v>
      </c>
      <c r="P36" s="30" t="s">
        <v>358</v>
      </c>
      <c r="Q36" s="30" t="s">
        <v>359</v>
      </c>
      <c r="R36" s="30" t="s">
        <v>360</v>
      </c>
      <c r="S36" s="30" t="s">
        <v>361</v>
      </c>
      <c r="T36" s="30" t="s">
        <v>362</v>
      </c>
      <c r="U36" s="30" t="s">
        <v>363</v>
      </c>
      <c r="V36" s="30" t="s">
        <v>364</v>
      </c>
      <c r="W36" s="30" t="s">
        <v>365</v>
      </c>
      <c r="X36" s="30" t="s">
        <v>366</v>
      </c>
      <c r="Y36" s="30" t="s">
        <v>367</v>
      </c>
      <c r="Z36" s="28" t="s">
        <v>368</v>
      </c>
      <c r="AA36" s="38" t="s">
        <v>403</v>
      </c>
    </row>
    <row r="37" spans="2:27" x14ac:dyDescent="0.35">
      <c r="B37" s="8" t="s">
        <v>364</v>
      </c>
      <c r="C37" s="2">
        <v>39373772.090000011</v>
      </c>
      <c r="D37" s="3">
        <v>1516779.2409999995</v>
      </c>
      <c r="J37" s="108" t="s">
        <v>376</v>
      </c>
      <c r="K37" s="109"/>
      <c r="L37" s="31">
        <v>0</v>
      </c>
      <c r="M37" s="26">
        <v>0</v>
      </c>
      <c r="N37" s="26">
        <v>0</v>
      </c>
      <c r="O37" s="46">
        <v>0</v>
      </c>
      <c r="P37" s="26">
        <v>0</v>
      </c>
      <c r="Q37" s="26">
        <v>0</v>
      </c>
      <c r="R37" s="26">
        <v>0</v>
      </c>
      <c r="S37" s="26">
        <v>0</v>
      </c>
      <c r="T37" s="26">
        <f>T40</f>
        <v>2479000</v>
      </c>
      <c r="U37" s="26">
        <f t="shared" ref="U37:Z37" si="3">U40</f>
        <v>2141000</v>
      </c>
      <c r="V37" s="26">
        <f t="shared" si="3"/>
        <v>2616000</v>
      </c>
      <c r="W37" s="26">
        <f t="shared" si="3"/>
        <v>2571000</v>
      </c>
      <c r="X37" s="26">
        <f t="shared" si="3"/>
        <v>2441000</v>
      </c>
      <c r="Y37" s="26">
        <f t="shared" si="3"/>
        <v>2571000</v>
      </c>
      <c r="Z37" s="26">
        <f t="shared" si="3"/>
        <v>2126000</v>
      </c>
      <c r="AA37" s="39">
        <f>SUM(S37:Z37)</f>
        <v>16945000</v>
      </c>
    </row>
    <row r="38" spans="2:27" x14ac:dyDescent="0.35">
      <c r="B38" s="8" t="s">
        <v>356</v>
      </c>
      <c r="C38" s="2">
        <v>102477.56</v>
      </c>
      <c r="D38" s="3">
        <v>0</v>
      </c>
      <c r="H38" s="16"/>
    </row>
    <row r="39" spans="2:27" x14ac:dyDescent="0.35">
      <c r="B39" s="8" t="s">
        <v>346</v>
      </c>
      <c r="C39" s="2">
        <v>6505</v>
      </c>
      <c r="D39" s="3">
        <v>0</v>
      </c>
      <c r="H39" s="20">
        <v>1071427.8571428573</v>
      </c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</row>
    <row r="40" spans="2:27" ht="16" x14ac:dyDescent="0.5">
      <c r="B40" s="8" t="s">
        <v>971</v>
      </c>
      <c r="C40" s="2">
        <v>9000</v>
      </c>
      <c r="D40" s="3">
        <v>0</v>
      </c>
      <c r="N40" s="85" t="s">
        <v>1415</v>
      </c>
      <c r="O40" s="86">
        <v>1450000</v>
      </c>
      <c r="P40" s="86">
        <v>2116000</v>
      </c>
      <c r="Q40" s="86">
        <v>2377000</v>
      </c>
      <c r="R40" s="86">
        <v>2204000</v>
      </c>
      <c r="S40" s="86">
        <v>2490000</v>
      </c>
      <c r="T40" s="86">
        <v>2479000</v>
      </c>
      <c r="U40" s="86">
        <v>2141000</v>
      </c>
      <c r="V40" s="86">
        <v>2616000</v>
      </c>
      <c r="W40" s="86">
        <v>2571000</v>
      </c>
      <c r="X40" s="86">
        <v>2441000</v>
      </c>
      <c r="Y40" s="86">
        <v>2571000</v>
      </c>
      <c r="Z40" s="86">
        <v>2126000</v>
      </c>
      <c r="AA40" s="43">
        <f>SUM(N40:Z40)</f>
        <v>27582000</v>
      </c>
    </row>
    <row r="41" spans="2:27" ht="16" x14ac:dyDescent="0.5">
      <c r="B41" s="8" t="s">
        <v>357</v>
      </c>
      <c r="C41" s="2">
        <v>1037687.1</v>
      </c>
      <c r="D41" s="3">
        <v>0</v>
      </c>
      <c r="H41" s="12" t="s">
        <v>691</v>
      </c>
      <c r="I41" s="12" t="s">
        <v>790</v>
      </c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43">
        <f>D27</f>
        <v>5005625.0089999987</v>
      </c>
    </row>
    <row r="42" spans="2:27" ht="16" x14ac:dyDescent="0.5">
      <c r="B42" s="8" t="s">
        <v>351</v>
      </c>
      <c r="C42" s="2">
        <v>62351.33</v>
      </c>
      <c r="D42" s="3">
        <v>0</v>
      </c>
      <c r="E42" s="12" t="s">
        <v>447</v>
      </c>
      <c r="G42" s="47">
        <v>1499999</v>
      </c>
      <c r="H42" s="16">
        <f>G46/22</f>
        <v>109090.86363636363</v>
      </c>
      <c r="I42" s="16">
        <f>H42*7</f>
        <v>763636.04545454541</v>
      </c>
      <c r="N42" s="87" t="s">
        <v>1416</v>
      </c>
      <c r="O42" s="86">
        <v>1500000</v>
      </c>
      <c r="P42" s="86">
        <v>2000000</v>
      </c>
      <c r="Q42" s="86">
        <v>2100000</v>
      </c>
      <c r="R42" s="86">
        <v>2200000</v>
      </c>
      <c r="S42" s="86">
        <v>2400000</v>
      </c>
      <c r="T42" s="86">
        <v>2456000</v>
      </c>
      <c r="U42" s="86">
        <v>2250000</v>
      </c>
      <c r="V42" s="86">
        <v>2450000</v>
      </c>
      <c r="W42" s="86">
        <v>2500000</v>
      </c>
      <c r="X42" s="86">
        <v>2500000</v>
      </c>
      <c r="Y42" s="86">
        <v>2500000</v>
      </c>
      <c r="Z42" s="86">
        <v>2000000</v>
      </c>
      <c r="AA42" s="43">
        <f>AA40-AA41</f>
        <v>22576374.991</v>
      </c>
    </row>
    <row r="43" spans="2:27" x14ac:dyDescent="0.35">
      <c r="B43" s="8" t="s">
        <v>363</v>
      </c>
      <c r="C43" s="2">
        <v>35390087.640000001</v>
      </c>
      <c r="D43" s="3">
        <v>1169508.497</v>
      </c>
      <c r="E43" s="12" t="s">
        <v>455</v>
      </c>
      <c r="G43" s="48">
        <v>2000000</v>
      </c>
      <c r="T43" s="44"/>
      <c r="AA43" s="44"/>
    </row>
    <row r="44" spans="2:27" x14ac:dyDescent="0.35">
      <c r="B44" s="8" t="s">
        <v>350</v>
      </c>
      <c r="C44" s="2">
        <v>56965</v>
      </c>
      <c r="D44" s="3">
        <v>0</v>
      </c>
      <c r="E44" s="12" t="s">
        <v>451</v>
      </c>
      <c r="G44" s="49">
        <v>2099999</v>
      </c>
    </row>
    <row r="45" spans="2:27" x14ac:dyDescent="0.35">
      <c r="B45" s="8" t="s">
        <v>362</v>
      </c>
      <c r="C45" s="2">
        <v>39327684.689999998</v>
      </c>
      <c r="D45" s="3">
        <v>951381.63400000019</v>
      </c>
      <c r="E45" s="12" t="s">
        <v>456</v>
      </c>
      <c r="G45" s="48">
        <v>2199999</v>
      </c>
      <c r="H45" s="16"/>
    </row>
    <row r="46" spans="2:27" x14ac:dyDescent="0.35">
      <c r="B46" s="8" t="s">
        <v>349</v>
      </c>
      <c r="C46" s="2">
        <v>44800</v>
      </c>
      <c r="D46" s="3">
        <v>0</v>
      </c>
      <c r="E46" s="12" t="s">
        <v>450</v>
      </c>
      <c r="G46" s="49">
        <v>2399999</v>
      </c>
      <c r="H46" s="16">
        <f>(G47/22)*21</f>
        <v>2344363.6363636362</v>
      </c>
      <c r="J46" s="12" t="s">
        <v>380</v>
      </c>
    </row>
    <row r="47" spans="2:27" x14ac:dyDescent="0.35">
      <c r="B47" s="8" t="s">
        <v>361</v>
      </c>
      <c r="C47" s="2">
        <v>6682744.5999999987</v>
      </c>
      <c r="D47" s="3">
        <v>213593.90399999995</v>
      </c>
      <c r="E47" s="12" t="s">
        <v>449</v>
      </c>
      <c r="G47" s="48">
        <v>2456000</v>
      </c>
      <c r="I47" s="16"/>
      <c r="O47" s="45" t="s">
        <v>357</v>
      </c>
      <c r="P47" s="28" t="s">
        <v>358</v>
      </c>
      <c r="Q47" s="28" t="s">
        <v>359</v>
      </c>
      <c r="R47" s="28" t="s">
        <v>360</v>
      </c>
      <c r="S47" s="28" t="s">
        <v>361</v>
      </c>
      <c r="T47" s="28" t="s">
        <v>362</v>
      </c>
      <c r="U47" s="28" t="s">
        <v>363</v>
      </c>
      <c r="V47" s="28" t="s">
        <v>364</v>
      </c>
      <c r="W47" s="28" t="s">
        <v>365</v>
      </c>
      <c r="X47" s="28" t="s">
        <v>366</v>
      </c>
      <c r="Y47" s="28" t="s">
        <v>367</v>
      </c>
      <c r="Z47" s="28" t="s">
        <v>368</v>
      </c>
    </row>
    <row r="48" spans="2:27" x14ac:dyDescent="0.35">
      <c r="B48" s="8" t="s">
        <v>972</v>
      </c>
      <c r="C48" s="2">
        <v>13346</v>
      </c>
      <c r="D48" s="3">
        <v>0</v>
      </c>
      <c r="E48" s="12" t="s">
        <v>448</v>
      </c>
      <c r="G48" s="49">
        <v>2250000</v>
      </c>
      <c r="J48" s="53" t="s">
        <v>371</v>
      </c>
      <c r="K48" s="54">
        <v>22</v>
      </c>
      <c r="L48" s="51">
        <v>44823</v>
      </c>
      <c r="M48" s="27" t="s">
        <v>371</v>
      </c>
      <c r="N48" s="37">
        <v>0.16</v>
      </c>
      <c r="O48" s="33">
        <f t="shared" ref="O48:Z48" si="4">$N48*O$37</f>
        <v>0</v>
      </c>
      <c r="P48" s="33">
        <f t="shared" si="4"/>
        <v>0</v>
      </c>
      <c r="Q48" s="33">
        <f t="shared" si="4"/>
        <v>0</v>
      </c>
      <c r="R48" s="33">
        <f t="shared" si="4"/>
        <v>0</v>
      </c>
      <c r="S48" s="33">
        <f t="shared" si="4"/>
        <v>0</v>
      </c>
      <c r="T48" s="33">
        <f t="shared" si="4"/>
        <v>396640</v>
      </c>
      <c r="U48" s="33">
        <f t="shared" si="4"/>
        <v>342560</v>
      </c>
      <c r="V48" s="33">
        <f t="shared" si="4"/>
        <v>418560</v>
      </c>
      <c r="W48" s="33">
        <f t="shared" si="4"/>
        <v>411360</v>
      </c>
      <c r="X48" s="33">
        <f t="shared" si="4"/>
        <v>390560</v>
      </c>
      <c r="Y48" s="33">
        <f t="shared" si="4"/>
        <v>411360</v>
      </c>
      <c r="Z48" s="33">
        <f t="shared" si="4"/>
        <v>340160</v>
      </c>
    </row>
    <row r="49" spans="2:26" x14ac:dyDescent="0.35">
      <c r="B49" s="8" t="s">
        <v>347</v>
      </c>
      <c r="C49" s="2">
        <v>111.24</v>
      </c>
      <c r="D49" s="3">
        <v>281.64299999999997</v>
      </c>
      <c r="E49" s="12" t="s">
        <v>457</v>
      </c>
      <c r="G49" s="48">
        <v>2450000</v>
      </c>
      <c r="J49" s="53" t="s">
        <v>372</v>
      </c>
      <c r="K49" s="52">
        <v>16</v>
      </c>
      <c r="L49" s="55">
        <v>44781</v>
      </c>
      <c r="M49" s="27" t="s">
        <v>372</v>
      </c>
      <c r="N49" s="37">
        <v>0.55000000000000004</v>
      </c>
      <c r="O49" s="33">
        <f t="shared" ref="O49:O53" si="5">$N49*O$37</f>
        <v>0</v>
      </c>
      <c r="P49" s="33">
        <f t="shared" ref="P49:Z53" si="6">$N49*P$37</f>
        <v>0</v>
      </c>
      <c r="Q49" s="33">
        <f t="shared" si="6"/>
        <v>0</v>
      </c>
      <c r="R49" s="33">
        <f t="shared" si="6"/>
        <v>0</v>
      </c>
      <c r="S49" s="33">
        <f t="shared" si="6"/>
        <v>0</v>
      </c>
      <c r="T49" s="33">
        <f t="shared" si="6"/>
        <v>1363450</v>
      </c>
      <c r="U49" s="33">
        <f t="shared" si="6"/>
        <v>1177550</v>
      </c>
      <c r="V49" s="33">
        <f t="shared" si="6"/>
        <v>1438800</v>
      </c>
      <c r="W49" s="33">
        <f t="shared" si="6"/>
        <v>1414050</v>
      </c>
      <c r="X49" s="33">
        <f t="shared" si="6"/>
        <v>1342550</v>
      </c>
      <c r="Y49" s="33">
        <f t="shared" si="6"/>
        <v>1414050</v>
      </c>
      <c r="Z49" s="33">
        <f t="shared" si="6"/>
        <v>1169300</v>
      </c>
    </row>
    <row r="50" spans="2:26" x14ac:dyDescent="0.35">
      <c r="B50" s="8" t="s">
        <v>359</v>
      </c>
      <c r="C50" s="2">
        <v>2172630.66</v>
      </c>
      <c r="D50" s="3">
        <v>814.39</v>
      </c>
      <c r="E50" s="12" t="s">
        <v>454</v>
      </c>
      <c r="G50" s="49">
        <v>2500000</v>
      </c>
      <c r="J50" s="53" t="s">
        <v>373</v>
      </c>
      <c r="K50" s="52">
        <v>29</v>
      </c>
      <c r="L50" s="51">
        <v>44872</v>
      </c>
      <c r="M50" s="27" t="s">
        <v>373</v>
      </c>
      <c r="N50" s="37">
        <v>0.01</v>
      </c>
      <c r="O50" s="33">
        <f t="shared" si="5"/>
        <v>0</v>
      </c>
      <c r="P50" s="33">
        <f t="shared" si="6"/>
        <v>0</v>
      </c>
      <c r="Q50" s="33">
        <f t="shared" si="6"/>
        <v>0</v>
      </c>
      <c r="R50" s="33">
        <f t="shared" si="6"/>
        <v>0</v>
      </c>
      <c r="S50" s="33">
        <f t="shared" si="6"/>
        <v>0</v>
      </c>
      <c r="T50" s="33">
        <f t="shared" si="6"/>
        <v>24790</v>
      </c>
      <c r="U50" s="33">
        <f t="shared" si="6"/>
        <v>21410</v>
      </c>
      <c r="V50" s="33">
        <f t="shared" si="6"/>
        <v>26160</v>
      </c>
      <c r="W50" s="33">
        <f t="shared" si="6"/>
        <v>25710</v>
      </c>
      <c r="X50" s="33">
        <f t="shared" si="6"/>
        <v>24410</v>
      </c>
      <c r="Y50" s="33">
        <f t="shared" si="6"/>
        <v>25710</v>
      </c>
      <c r="Z50" s="33">
        <f t="shared" si="6"/>
        <v>21260</v>
      </c>
    </row>
    <row r="51" spans="2:26" x14ac:dyDescent="0.35">
      <c r="B51" s="8" t="s">
        <v>355</v>
      </c>
      <c r="C51" s="2">
        <v>590000</v>
      </c>
      <c r="D51" s="3">
        <v>0</v>
      </c>
      <c r="E51" s="12" t="s">
        <v>453</v>
      </c>
      <c r="G51" s="48">
        <v>2499999</v>
      </c>
      <c r="J51" s="56" t="s">
        <v>374</v>
      </c>
      <c r="K51" s="44">
        <v>35</v>
      </c>
      <c r="L51" s="51">
        <v>44914</v>
      </c>
      <c r="M51" s="27" t="s">
        <v>374</v>
      </c>
      <c r="N51" s="37">
        <v>0.02</v>
      </c>
      <c r="O51" s="33">
        <f t="shared" si="5"/>
        <v>0</v>
      </c>
      <c r="P51" s="33">
        <f t="shared" si="6"/>
        <v>0</v>
      </c>
      <c r="Q51" s="33">
        <f t="shared" si="6"/>
        <v>0</v>
      </c>
      <c r="R51" s="33">
        <f t="shared" si="6"/>
        <v>0</v>
      </c>
      <c r="S51" s="33">
        <f t="shared" si="6"/>
        <v>0</v>
      </c>
      <c r="T51" s="33">
        <f t="shared" si="6"/>
        <v>49580</v>
      </c>
      <c r="U51" s="33">
        <f t="shared" si="6"/>
        <v>42820</v>
      </c>
      <c r="V51" s="33">
        <f t="shared" si="6"/>
        <v>52320</v>
      </c>
      <c r="W51" s="33">
        <f t="shared" si="6"/>
        <v>51420</v>
      </c>
      <c r="X51" s="33">
        <f t="shared" si="6"/>
        <v>48820</v>
      </c>
      <c r="Y51" s="33">
        <f t="shared" si="6"/>
        <v>51420</v>
      </c>
      <c r="Z51" s="33">
        <f t="shared" si="6"/>
        <v>42520</v>
      </c>
    </row>
    <row r="52" spans="2:26" x14ac:dyDescent="0.35">
      <c r="B52" s="8" t="s">
        <v>367</v>
      </c>
      <c r="C52" s="2">
        <v>2058296.79</v>
      </c>
      <c r="D52" s="3">
        <v>52845</v>
      </c>
      <c r="E52" s="12" t="s">
        <v>452</v>
      </c>
      <c r="G52" s="49">
        <v>2500000</v>
      </c>
      <c r="J52" s="53" t="s">
        <v>92</v>
      </c>
      <c r="K52" s="52">
        <v>14</v>
      </c>
      <c r="L52" s="51">
        <v>44767</v>
      </c>
      <c r="M52" s="27" t="s">
        <v>92</v>
      </c>
      <c r="N52" s="37">
        <v>0.16</v>
      </c>
      <c r="O52" s="33">
        <f t="shared" si="5"/>
        <v>0</v>
      </c>
      <c r="P52" s="33">
        <f t="shared" si="6"/>
        <v>0</v>
      </c>
      <c r="Q52" s="33">
        <f t="shared" si="6"/>
        <v>0</v>
      </c>
      <c r="R52" s="33">
        <f t="shared" si="6"/>
        <v>0</v>
      </c>
      <c r="S52" s="33">
        <f t="shared" si="6"/>
        <v>0</v>
      </c>
      <c r="T52" s="33">
        <f t="shared" si="6"/>
        <v>396640</v>
      </c>
      <c r="U52" s="33">
        <f t="shared" si="6"/>
        <v>342560</v>
      </c>
      <c r="V52" s="33">
        <f t="shared" si="6"/>
        <v>418560</v>
      </c>
      <c r="W52" s="33">
        <f t="shared" si="6"/>
        <v>411360</v>
      </c>
      <c r="X52" s="33">
        <f t="shared" si="6"/>
        <v>390560</v>
      </c>
      <c r="Y52" s="33">
        <f t="shared" si="6"/>
        <v>411360</v>
      </c>
      <c r="Z52" s="33">
        <f t="shared" si="6"/>
        <v>340160</v>
      </c>
    </row>
    <row r="53" spans="2:26" ht="15" thickBot="1" x14ac:dyDescent="0.4">
      <c r="B53" s="8" t="s">
        <v>973</v>
      </c>
      <c r="C53" s="2">
        <v>68941</v>
      </c>
      <c r="D53" s="3">
        <v>0</v>
      </c>
      <c r="E53" s="12" t="s">
        <v>458</v>
      </c>
      <c r="G53" s="50">
        <v>1999999</v>
      </c>
      <c r="J53" s="53" t="s">
        <v>375</v>
      </c>
      <c r="K53" s="52">
        <v>29</v>
      </c>
      <c r="L53" s="51">
        <v>44872</v>
      </c>
      <c r="M53" s="27" t="s">
        <v>375</v>
      </c>
      <c r="N53" s="37">
        <v>0.1</v>
      </c>
      <c r="O53" s="33">
        <f t="shared" si="5"/>
        <v>0</v>
      </c>
      <c r="P53" s="33">
        <f t="shared" si="6"/>
        <v>0</v>
      </c>
      <c r="Q53" s="33">
        <f t="shared" si="6"/>
        <v>0</v>
      </c>
      <c r="R53" s="33">
        <f t="shared" si="6"/>
        <v>0</v>
      </c>
      <c r="S53" s="33">
        <f t="shared" si="6"/>
        <v>0</v>
      </c>
      <c r="T53" s="33">
        <f t="shared" si="6"/>
        <v>247900</v>
      </c>
      <c r="U53" s="33">
        <f t="shared" si="6"/>
        <v>214100</v>
      </c>
      <c r="V53" s="33">
        <f t="shared" si="6"/>
        <v>261600</v>
      </c>
      <c r="W53" s="33">
        <f t="shared" si="6"/>
        <v>257100</v>
      </c>
      <c r="X53" s="33">
        <f t="shared" si="6"/>
        <v>244100</v>
      </c>
      <c r="Y53" s="33">
        <f t="shared" si="6"/>
        <v>257100</v>
      </c>
      <c r="Z53" s="33">
        <f t="shared" si="6"/>
        <v>212600</v>
      </c>
    </row>
    <row r="54" spans="2:26" x14ac:dyDescent="0.35">
      <c r="B54" s="8" t="s">
        <v>354</v>
      </c>
      <c r="C54" s="2">
        <v>248371.16999999998</v>
      </c>
      <c r="D54" s="3">
        <v>0</v>
      </c>
      <c r="M54" s="34" t="s">
        <v>378</v>
      </c>
      <c r="N54" s="36">
        <f>SUM(N48:N53)</f>
        <v>1.0000000000000002</v>
      </c>
    </row>
    <row r="55" spans="2:26" x14ac:dyDescent="0.35">
      <c r="B55" s="8" t="s">
        <v>366</v>
      </c>
      <c r="C55" s="2">
        <v>4155428.63</v>
      </c>
      <c r="D55" s="3">
        <v>19358.84</v>
      </c>
    </row>
    <row r="56" spans="2:26" x14ac:dyDescent="0.35">
      <c r="B56" s="8" t="s">
        <v>353</v>
      </c>
      <c r="C56" s="2">
        <v>892230</v>
      </c>
      <c r="D56" s="3">
        <v>0</v>
      </c>
    </row>
    <row r="57" spans="2:26" x14ac:dyDescent="0.35">
      <c r="B57" s="8" t="s">
        <v>365</v>
      </c>
      <c r="C57" s="2">
        <v>29847641.150000002</v>
      </c>
      <c r="D57" s="3">
        <v>1009979.2989999995</v>
      </c>
    </row>
    <row r="58" spans="2:26" x14ac:dyDescent="0.35">
      <c r="B58" s="8" t="s">
        <v>83</v>
      </c>
      <c r="C58" s="2">
        <v>165085997.26000002</v>
      </c>
      <c r="D58" s="3">
        <v>5005625.0089999996</v>
      </c>
    </row>
    <row r="59" spans="2:26" x14ac:dyDescent="0.35">
      <c r="B59"/>
      <c r="C59"/>
      <c r="D59"/>
    </row>
    <row r="60" spans="2:26" x14ac:dyDescent="0.35">
      <c r="B60"/>
      <c r="C60"/>
      <c r="D60"/>
      <c r="N60" s="53" t="s">
        <v>805</v>
      </c>
      <c r="O60" s="57"/>
      <c r="P60" s="59">
        <v>44823</v>
      </c>
    </row>
    <row r="61" spans="2:26" x14ac:dyDescent="0.35">
      <c r="B61"/>
      <c r="C61"/>
      <c r="D61"/>
      <c r="N61" s="53" t="s">
        <v>806</v>
      </c>
      <c r="O61" s="58"/>
      <c r="P61" s="60">
        <v>44781</v>
      </c>
    </row>
    <row r="62" spans="2:26" x14ac:dyDescent="0.35">
      <c r="B62"/>
      <c r="C62"/>
      <c r="D62"/>
      <c r="G62" s="12">
        <f>GETPIVOTDATA("Soma de Valor",$B$33)/GETPIVOTDATA("Soma de Peso bruto",$B$33)</f>
        <v>32.980096783754107</v>
      </c>
      <c r="N62" s="53" t="s">
        <v>807</v>
      </c>
      <c r="O62" s="58"/>
      <c r="P62" s="59">
        <v>44872</v>
      </c>
    </row>
    <row r="63" spans="2:26" x14ac:dyDescent="0.35">
      <c r="B63"/>
      <c r="C63"/>
      <c r="D63"/>
      <c r="N63" s="62" t="s">
        <v>808</v>
      </c>
      <c r="O63" s="63"/>
      <c r="P63" s="59">
        <v>44914</v>
      </c>
    </row>
    <row r="64" spans="2:26" x14ac:dyDescent="0.35">
      <c r="B64"/>
      <c r="C64"/>
      <c r="D64"/>
      <c r="N64" s="66" t="s">
        <v>809</v>
      </c>
      <c r="O64" s="67"/>
      <c r="P64" s="61">
        <v>44767</v>
      </c>
    </row>
    <row r="65" spans="2:16" x14ac:dyDescent="0.35">
      <c r="B65"/>
      <c r="C65"/>
      <c r="D65"/>
      <c r="N65" s="64" t="s">
        <v>810</v>
      </c>
      <c r="O65" s="65"/>
      <c r="P65" s="59">
        <v>44872</v>
      </c>
    </row>
    <row r="66" spans="2:16" x14ac:dyDescent="0.35">
      <c r="B66"/>
      <c r="C66"/>
      <c r="D66"/>
    </row>
    <row r="67" spans="2:16" x14ac:dyDescent="0.35">
      <c r="B67"/>
      <c r="C67"/>
      <c r="D67"/>
      <c r="N67"/>
      <c r="O67"/>
      <c r="P67"/>
    </row>
    <row r="68" spans="2:16" x14ac:dyDescent="0.35">
      <c r="B68"/>
      <c r="C68"/>
      <c r="D68"/>
      <c r="N68"/>
      <c r="O68"/>
      <c r="P68"/>
    </row>
    <row r="69" spans="2:16" x14ac:dyDescent="0.35">
      <c r="B69"/>
      <c r="C69"/>
      <c r="D69"/>
      <c r="N69"/>
      <c r="O69"/>
      <c r="P69"/>
    </row>
    <row r="70" spans="2:16" x14ac:dyDescent="0.35">
      <c r="B70"/>
      <c r="C70"/>
      <c r="D70"/>
      <c r="N70"/>
      <c r="O70"/>
      <c r="P70"/>
    </row>
    <row r="71" spans="2:16" x14ac:dyDescent="0.35">
      <c r="B71"/>
      <c r="C71"/>
      <c r="D71"/>
      <c r="N71"/>
      <c r="O71"/>
      <c r="P71"/>
    </row>
    <row r="72" spans="2:16" x14ac:dyDescent="0.35">
      <c r="B72"/>
      <c r="C72"/>
      <c r="D72"/>
      <c r="N72"/>
      <c r="O72"/>
      <c r="P72"/>
    </row>
    <row r="73" spans="2:16" x14ac:dyDescent="0.35">
      <c r="B73"/>
      <c r="C73"/>
      <c r="D73"/>
      <c r="N73"/>
      <c r="O73"/>
      <c r="P73"/>
    </row>
    <row r="74" spans="2:16" x14ac:dyDescent="0.35">
      <c r="B74"/>
      <c r="C74"/>
      <c r="D74"/>
      <c r="N74"/>
      <c r="O74"/>
      <c r="P74"/>
    </row>
    <row r="75" spans="2:16" x14ac:dyDescent="0.35">
      <c r="B75"/>
      <c r="C75"/>
      <c r="D75"/>
      <c r="N75"/>
      <c r="O75"/>
      <c r="P75"/>
    </row>
    <row r="76" spans="2:16" x14ac:dyDescent="0.35">
      <c r="B76"/>
      <c r="C76"/>
      <c r="D76"/>
      <c r="N76"/>
      <c r="O76"/>
      <c r="P76"/>
    </row>
    <row r="77" spans="2:16" x14ac:dyDescent="0.35">
      <c r="B77"/>
      <c r="C77"/>
      <c r="D77"/>
      <c r="N77"/>
      <c r="O77"/>
      <c r="P77"/>
    </row>
    <row r="78" spans="2:16" x14ac:dyDescent="0.35">
      <c r="B78"/>
      <c r="C78"/>
      <c r="D78"/>
      <c r="N78"/>
      <c r="O78"/>
      <c r="P78"/>
    </row>
    <row r="79" spans="2:16" x14ac:dyDescent="0.35">
      <c r="B79"/>
      <c r="C79"/>
      <c r="D79"/>
      <c r="N79"/>
      <c r="O79"/>
      <c r="P79"/>
    </row>
    <row r="80" spans="2:16" x14ac:dyDescent="0.35">
      <c r="B80"/>
      <c r="C80"/>
      <c r="D80"/>
      <c r="N80"/>
      <c r="O80"/>
      <c r="P80"/>
    </row>
    <row r="81" spans="2:16" x14ac:dyDescent="0.35">
      <c r="B81"/>
      <c r="C81"/>
      <c r="D81"/>
      <c r="N81"/>
      <c r="O81"/>
      <c r="P81"/>
    </row>
    <row r="82" spans="2:16" x14ac:dyDescent="0.35">
      <c r="B82"/>
      <c r="C82"/>
      <c r="D82"/>
      <c r="N82"/>
      <c r="O82"/>
      <c r="P82"/>
    </row>
    <row r="83" spans="2:16" x14ac:dyDescent="0.35">
      <c r="B83"/>
      <c r="C83"/>
      <c r="D83"/>
      <c r="N83"/>
      <c r="O83"/>
      <c r="P83"/>
    </row>
    <row r="84" spans="2:16" x14ac:dyDescent="0.35">
      <c r="B84"/>
      <c r="C84"/>
      <c r="D84"/>
      <c r="N84"/>
      <c r="O84"/>
      <c r="P84"/>
    </row>
    <row r="85" spans="2:16" x14ac:dyDescent="0.35">
      <c r="B85"/>
      <c r="C85"/>
      <c r="D85"/>
      <c r="N85"/>
      <c r="O85"/>
      <c r="P85"/>
    </row>
    <row r="86" spans="2:16" x14ac:dyDescent="0.35">
      <c r="B86"/>
      <c r="C86"/>
      <c r="D86"/>
      <c r="N86"/>
      <c r="O86"/>
      <c r="P86"/>
    </row>
    <row r="87" spans="2:16" x14ac:dyDescent="0.35">
      <c r="B87"/>
      <c r="C87"/>
      <c r="D87"/>
      <c r="N87"/>
      <c r="O87"/>
      <c r="P87"/>
    </row>
    <row r="88" spans="2:16" x14ac:dyDescent="0.35">
      <c r="B88"/>
      <c r="C88"/>
      <c r="D88"/>
      <c r="N88"/>
      <c r="O88"/>
      <c r="P88"/>
    </row>
    <row r="89" spans="2:16" x14ac:dyDescent="0.35">
      <c r="B89"/>
      <c r="C89"/>
      <c r="D89"/>
      <c r="N89"/>
      <c r="O89"/>
      <c r="P89"/>
    </row>
    <row r="90" spans="2:16" x14ac:dyDescent="0.35">
      <c r="B90"/>
      <c r="C90"/>
      <c r="D90"/>
      <c r="N90"/>
      <c r="O90"/>
      <c r="P90"/>
    </row>
    <row r="91" spans="2:16" x14ac:dyDescent="0.35">
      <c r="B91"/>
      <c r="C91"/>
      <c r="D91"/>
      <c r="N91"/>
      <c r="O91"/>
      <c r="P91"/>
    </row>
    <row r="92" spans="2:16" x14ac:dyDescent="0.35">
      <c r="B92"/>
      <c r="C92"/>
      <c r="D92"/>
      <c r="N92"/>
      <c r="O92"/>
      <c r="P92"/>
    </row>
    <row r="93" spans="2:16" x14ac:dyDescent="0.35">
      <c r="B93"/>
      <c r="C93"/>
      <c r="D93"/>
      <c r="N93"/>
      <c r="O93"/>
      <c r="P93"/>
    </row>
    <row r="94" spans="2:16" x14ac:dyDescent="0.35">
      <c r="B94"/>
      <c r="C94"/>
      <c r="D94"/>
      <c r="N94"/>
      <c r="O94"/>
      <c r="P94"/>
    </row>
    <row r="95" spans="2:16" x14ac:dyDescent="0.35">
      <c r="B95"/>
      <c r="C95"/>
      <c r="D95"/>
      <c r="N95"/>
      <c r="O95"/>
      <c r="P95"/>
    </row>
    <row r="96" spans="2:16" x14ac:dyDescent="0.35">
      <c r="B96"/>
      <c r="C96"/>
      <c r="D96"/>
      <c r="N96"/>
      <c r="O96"/>
      <c r="P96"/>
    </row>
    <row r="97" spans="2:16" x14ac:dyDescent="0.35">
      <c r="B97"/>
      <c r="C97"/>
      <c r="D97"/>
      <c r="N97"/>
      <c r="O97"/>
      <c r="P97"/>
    </row>
    <row r="98" spans="2:16" x14ac:dyDescent="0.35">
      <c r="B98"/>
      <c r="C98"/>
      <c r="D98"/>
      <c r="N98"/>
      <c r="O98"/>
      <c r="P98"/>
    </row>
    <row r="99" spans="2:16" x14ac:dyDescent="0.35">
      <c r="B99"/>
      <c r="C99"/>
      <c r="D99"/>
      <c r="N99"/>
      <c r="O99"/>
      <c r="P99"/>
    </row>
    <row r="100" spans="2:16" x14ac:dyDescent="0.35">
      <c r="B100"/>
      <c r="C100"/>
      <c r="D100"/>
      <c r="N100"/>
      <c r="O100"/>
      <c r="P100"/>
    </row>
    <row r="101" spans="2:16" x14ac:dyDescent="0.35">
      <c r="B101"/>
      <c r="C101"/>
      <c r="D101"/>
      <c r="N101"/>
      <c r="O101"/>
      <c r="P101"/>
    </row>
    <row r="102" spans="2:16" x14ac:dyDescent="0.35">
      <c r="B102"/>
      <c r="C102"/>
      <c r="D102"/>
      <c r="N102"/>
      <c r="O102"/>
      <c r="P102"/>
    </row>
    <row r="103" spans="2:16" x14ac:dyDescent="0.35">
      <c r="B103"/>
      <c r="C103"/>
      <c r="D103"/>
      <c r="N103"/>
      <c r="O103"/>
      <c r="P103"/>
    </row>
    <row r="104" spans="2:16" x14ac:dyDescent="0.35">
      <c r="B104"/>
      <c r="C104"/>
      <c r="D104"/>
      <c r="N104"/>
      <c r="O104"/>
      <c r="P104"/>
    </row>
    <row r="105" spans="2:16" x14ac:dyDescent="0.35">
      <c r="B105"/>
      <c r="C105"/>
      <c r="D105"/>
      <c r="N105"/>
      <c r="O105"/>
      <c r="P105"/>
    </row>
    <row r="106" spans="2:16" x14ac:dyDescent="0.35">
      <c r="B106"/>
      <c r="C106"/>
      <c r="D106"/>
      <c r="N106"/>
      <c r="O106"/>
      <c r="P106"/>
    </row>
    <row r="107" spans="2:16" x14ac:dyDescent="0.35">
      <c r="B107"/>
      <c r="C107"/>
      <c r="D107"/>
      <c r="N107"/>
      <c r="O107"/>
      <c r="P107"/>
    </row>
    <row r="108" spans="2:16" x14ac:dyDescent="0.35">
      <c r="B108"/>
      <c r="C108"/>
      <c r="D108"/>
      <c r="N108"/>
      <c r="O108"/>
      <c r="P108"/>
    </row>
    <row r="109" spans="2:16" x14ac:dyDescent="0.35">
      <c r="B109"/>
      <c r="C109"/>
      <c r="D109"/>
      <c r="N109"/>
      <c r="O109"/>
      <c r="P109"/>
    </row>
    <row r="110" spans="2:16" x14ac:dyDescent="0.35">
      <c r="B110"/>
      <c r="C110"/>
      <c r="D110"/>
      <c r="N110"/>
      <c r="O110"/>
      <c r="P110"/>
    </row>
    <row r="111" spans="2:16" x14ac:dyDescent="0.35">
      <c r="B111"/>
      <c r="C111"/>
      <c r="D111"/>
      <c r="N111"/>
      <c r="O111"/>
      <c r="P111"/>
    </row>
    <row r="112" spans="2:16" x14ac:dyDescent="0.35">
      <c r="B112"/>
      <c r="C112"/>
      <c r="D112"/>
      <c r="N112"/>
      <c r="O112"/>
      <c r="P112"/>
    </row>
    <row r="113" spans="2:16" x14ac:dyDescent="0.35">
      <c r="B113"/>
      <c r="C113"/>
      <c r="D113"/>
      <c r="N113"/>
      <c r="O113"/>
      <c r="P113"/>
    </row>
    <row r="114" spans="2:16" x14ac:dyDescent="0.35">
      <c r="B114"/>
      <c r="C114"/>
      <c r="D114"/>
      <c r="N114"/>
      <c r="O114"/>
      <c r="P114"/>
    </row>
    <row r="115" spans="2:16" x14ac:dyDescent="0.35">
      <c r="B115"/>
      <c r="C115"/>
      <c r="D115"/>
      <c r="N115"/>
      <c r="O115"/>
      <c r="P115"/>
    </row>
    <row r="116" spans="2:16" x14ac:dyDescent="0.35">
      <c r="B116"/>
      <c r="C116"/>
      <c r="D116"/>
      <c r="N116"/>
      <c r="O116"/>
      <c r="P116"/>
    </row>
    <row r="117" spans="2:16" x14ac:dyDescent="0.35">
      <c r="B117"/>
      <c r="C117"/>
      <c r="D117"/>
      <c r="N117"/>
      <c r="O117"/>
      <c r="P117"/>
    </row>
    <row r="118" spans="2:16" x14ac:dyDescent="0.35">
      <c r="B118"/>
      <c r="C118"/>
      <c r="D118"/>
      <c r="N118"/>
      <c r="O118"/>
      <c r="P118"/>
    </row>
    <row r="119" spans="2:16" x14ac:dyDescent="0.35">
      <c r="B119"/>
      <c r="C119"/>
      <c r="D119"/>
      <c r="N119"/>
      <c r="O119"/>
      <c r="P119"/>
    </row>
    <row r="120" spans="2:16" x14ac:dyDescent="0.35">
      <c r="B120"/>
      <c r="C120"/>
      <c r="D120"/>
      <c r="N120"/>
      <c r="O120"/>
      <c r="P120"/>
    </row>
    <row r="121" spans="2:16" x14ac:dyDescent="0.35">
      <c r="B121"/>
      <c r="C121"/>
      <c r="D121"/>
    </row>
    <row r="122" spans="2:16" x14ac:dyDescent="0.35">
      <c r="B122"/>
      <c r="C122"/>
      <c r="D122"/>
    </row>
    <row r="123" spans="2:16" x14ac:dyDescent="0.35">
      <c r="B123"/>
      <c r="C123"/>
      <c r="D123"/>
    </row>
    <row r="124" spans="2:16" x14ac:dyDescent="0.35">
      <c r="B124"/>
      <c r="C124"/>
      <c r="D124"/>
    </row>
    <row r="125" spans="2:16" x14ac:dyDescent="0.35">
      <c r="B125"/>
      <c r="C125"/>
      <c r="D125"/>
    </row>
    <row r="126" spans="2:16" x14ac:dyDescent="0.35">
      <c r="B126"/>
      <c r="C126"/>
      <c r="D126"/>
    </row>
    <row r="127" spans="2:16" x14ac:dyDescent="0.35">
      <c r="B127"/>
      <c r="C127"/>
      <c r="D127"/>
    </row>
    <row r="128" spans="2:16" x14ac:dyDescent="0.35">
      <c r="B128"/>
      <c r="C128"/>
      <c r="D128"/>
    </row>
    <row r="129" spans="2:4" x14ac:dyDescent="0.35">
      <c r="B129"/>
      <c r="C129"/>
      <c r="D129"/>
    </row>
    <row r="130" spans="2:4" x14ac:dyDescent="0.35">
      <c r="B130"/>
      <c r="C130"/>
      <c r="D130"/>
    </row>
    <row r="131" spans="2:4" x14ac:dyDescent="0.35">
      <c r="B131"/>
      <c r="C131"/>
      <c r="D131"/>
    </row>
    <row r="132" spans="2:4" x14ac:dyDescent="0.35">
      <c r="B132"/>
      <c r="C132"/>
      <c r="D132"/>
    </row>
    <row r="133" spans="2:4" x14ac:dyDescent="0.35">
      <c r="B133"/>
      <c r="C133"/>
      <c r="D133"/>
    </row>
    <row r="134" spans="2:4" x14ac:dyDescent="0.35">
      <c r="B134"/>
      <c r="C134"/>
      <c r="D134"/>
    </row>
    <row r="135" spans="2:4" x14ac:dyDescent="0.35">
      <c r="B135"/>
      <c r="C135"/>
      <c r="D135"/>
    </row>
    <row r="136" spans="2:4" x14ac:dyDescent="0.35">
      <c r="B136"/>
      <c r="C136"/>
      <c r="D136"/>
    </row>
    <row r="137" spans="2:4" x14ac:dyDescent="0.35">
      <c r="B137"/>
      <c r="C137"/>
      <c r="D137"/>
    </row>
    <row r="138" spans="2:4" x14ac:dyDescent="0.35">
      <c r="B138"/>
      <c r="C138"/>
      <c r="D138"/>
    </row>
    <row r="139" spans="2:4" x14ac:dyDescent="0.35">
      <c r="B139"/>
      <c r="C139"/>
      <c r="D139"/>
    </row>
    <row r="140" spans="2:4" x14ac:dyDescent="0.35">
      <c r="B140"/>
      <c r="C140"/>
      <c r="D140"/>
    </row>
    <row r="141" spans="2:4" x14ac:dyDescent="0.35">
      <c r="B141"/>
      <c r="C141"/>
      <c r="D141"/>
    </row>
    <row r="142" spans="2:4" x14ac:dyDescent="0.35">
      <c r="B142"/>
      <c r="C142"/>
      <c r="D142"/>
    </row>
    <row r="143" spans="2:4" x14ac:dyDescent="0.35">
      <c r="B143"/>
      <c r="C143"/>
      <c r="D143"/>
    </row>
    <row r="144" spans="2:4" x14ac:dyDescent="0.35">
      <c r="B144"/>
      <c r="C144"/>
      <c r="D144"/>
    </row>
    <row r="145" spans="2:4" x14ac:dyDescent="0.35">
      <c r="B145"/>
      <c r="C145"/>
      <c r="D145"/>
    </row>
    <row r="146" spans="2:4" x14ac:dyDescent="0.35">
      <c r="B146"/>
      <c r="C146"/>
      <c r="D146"/>
    </row>
    <row r="147" spans="2:4" x14ac:dyDescent="0.35">
      <c r="B147"/>
      <c r="C147"/>
      <c r="D147"/>
    </row>
    <row r="148" spans="2:4" x14ac:dyDescent="0.35">
      <c r="B148"/>
      <c r="C148"/>
      <c r="D148"/>
    </row>
    <row r="149" spans="2:4" x14ac:dyDescent="0.35">
      <c r="B149"/>
      <c r="C149"/>
      <c r="D149"/>
    </row>
    <row r="150" spans="2:4" x14ac:dyDescent="0.35">
      <c r="B150"/>
      <c r="C150"/>
      <c r="D150"/>
    </row>
    <row r="151" spans="2:4" x14ac:dyDescent="0.35">
      <c r="B151"/>
      <c r="C151"/>
      <c r="D151"/>
    </row>
    <row r="152" spans="2:4" x14ac:dyDescent="0.35">
      <c r="B152"/>
      <c r="C152"/>
      <c r="D152"/>
    </row>
  </sheetData>
  <protectedRanges>
    <protectedRange algorithmName="SHA-512" hashValue="qdtv/TDXtsMvpZTD46CUiylflvlJqOafLYfMK28QkTCY6UjfnJ/NNIPCQhBC2EXLjwMcdT3Lbyjj/LrMZ0Dj2g==" saltValue="3+2tHwc1s9OUC+bgJNm7uw==" spinCount="100000" sqref="A2:A25" name="Alex colunas fixas"/>
  </protectedRanges>
  <mergeCells count="1">
    <mergeCell ref="J37:K37"/>
  </mergeCells>
  <phoneticPr fontId="7" type="noConversion"/>
  <conditionalFormatting pivot="1" sqref="D34:D58">
    <cfRule type="cellIs" dxfId="77" priority="9" operator="greaterThan">
      <formula>375000</formula>
    </cfRule>
  </conditionalFormatting>
  <conditionalFormatting pivot="1" sqref="D34:D58">
    <cfRule type="cellIs" dxfId="76" priority="8" operator="between">
      <formula>0</formula>
      <formula>374999</formula>
    </cfRule>
  </conditionalFormatting>
  <conditionalFormatting sqref="L28:Z33">
    <cfRule type="cellIs" dxfId="75" priority="6" operator="greaterThan">
      <formula>1</formula>
    </cfRule>
    <cfRule type="cellIs" dxfId="74" priority="7" operator="lessThan">
      <formula>1</formula>
    </cfRule>
  </conditionalFormatting>
  <conditionalFormatting sqref="L34:Z34">
    <cfRule type="cellIs" dxfId="73" priority="4" operator="greaterThan">
      <formula>1</formula>
    </cfRule>
    <cfRule type="cellIs" dxfId="72" priority="5" operator="lessThan">
      <formula>1</formula>
    </cfRule>
  </conditionalFormatting>
  <conditionalFormatting sqref="AA42">
    <cfRule type="cellIs" dxfId="71" priority="1" operator="greaterThan">
      <formula>0</formula>
    </cfRule>
    <cfRule type="cellIs" dxfId="70" priority="2" operator="lessThan">
      <formula>0</formula>
    </cfRule>
    <cfRule type="cellIs" dxfId="69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EFF575FA-C0EC-47C3-9CDE-1A1E877C6FCF}">
            <xm:f>NOT(ISERROR(SEARCH($A$4,B34)))</xm:f>
            <xm:f>$A$4</xm:f>
            <x14:dxf>
              <font>
                <b/>
                <i val="0"/>
              </font>
              <fill>
                <patternFill patternType="darkUp">
                  <fgColor theme="5" tint="0.79998168889431442"/>
                  <bgColor auto="1"/>
                </patternFill>
              </fill>
              <border>
                <top style="dashed">
                  <color rgb="FFC00000"/>
                </top>
                <bottom style="dashed">
                  <color rgb="FFC00000"/>
                </bottom>
                <vertical/>
                <horizontal/>
              </border>
            </x14:dxf>
          </x14:cfRule>
          <xm:sqref>B34:B52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D25AC-948E-4BCA-967F-10E5DED337B7}">
  <sheetPr codeName="Plan11">
    <tabColor theme="4" tint="0.59999389629810485"/>
  </sheetPr>
  <dimension ref="A1:M120"/>
  <sheetViews>
    <sheetView showGridLines="0" zoomScale="70" zoomScaleNormal="70" workbookViewId="0">
      <selection activeCell="F20" sqref="F20:F25"/>
    </sheetView>
  </sheetViews>
  <sheetFormatPr defaultColWidth="9.1796875" defaultRowHeight="14.5" x14ac:dyDescent="0.35"/>
  <cols>
    <col min="1" max="1" width="13.1796875" style="12" customWidth="1"/>
    <col min="2" max="2" width="17.1796875" style="12" bestFit="1" customWidth="1"/>
    <col min="3" max="3" width="20.81640625" style="20" bestFit="1" customWidth="1"/>
    <col min="4" max="4" width="18.7265625" style="12" bestFit="1" customWidth="1"/>
    <col min="5" max="5" width="18.7265625" style="12" hidden="1" customWidth="1"/>
    <col min="6" max="6" width="18.7265625" style="12" customWidth="1"/>
    <col min="7" max="7" width="34.26953125" style="12" bestFit="1" customWidth="1"/>
    <col min="8" max="8" width="33.1796875" style="12" customWidth="1"/>
    <col min="9" max="9" width="19.7265625" style="12" bestFit="1" customWidth="1"/>
    <col min="10" max="10" width="16.453125" style="12" bestFit="1" customWidth="1"/>
    <col min="11" max="11" width="19.6328125" style="12" bestFit="1" customWidth="1"/>
    <col min="12" max="12" width="18.54296875" style="12" bestFit="1" customWidth="1"/>
    <col min="13" max="13" width="20.54296875" style="12" bestFit="1" customWidth="1"/>
    <col min="14" max="16384" width="9.1796875" style="12"/>
  </cols>
  <sheetData>
    <row r="1" spans="1:7" x14ac:dyDescent="0.35">
      <c r="A1" s="12" t="s">
        <v>117</v>
      </c>
      <c r="B1" s="12" t="s">
        <v>120</v>
      </c>
      <c r="C1" s="20" t="s">
        <v>118</v>
      </c>
      <c r="D1" s="12" t="s">
        <v>119</v>
      </c>
      <c r="E1" s="12" t="s">
        <v>178</v>
      </c>
      <c r="F1" s="12" t="s">
        <v>183</v>
      </c>
      <c r="G1" s="12" t="s">
        <v>369</v>
      </c>
    </row>
    <row r="2" spans="1:7" x14ac:dyDescent="0.35">
      <c r="A2" s="13">
        <v>44197</v>
      </c>
      <c r="B2" s="19" t="s">
        <v>345</v>
      </c>
      <c r="C2" s="21">
        <v>0</v>
      </c>
      <c r="D2" s="14">
        <f>IFERROR(GETPIVOTDATA("Soma de Peso bruto",$I$31,"Semana",TabelaOUTROS[[#This Row],[Semana]]),0)-TabelaOUTROS[[#This Row],[Atrasado]]</f>
        <v>0</v>
      </c>
      <c r="E2" s="15">
        <v>0</v>
      </c>
      <c r="F2" s="16">
        <v>0</v>
      </c>
      <c r="G2" s="16">
        <v>0</v>
      </c>
    </row>
    <row r="3" spans="1:7" x14ac:dyDescent="0.35">
      <c r="A3" s="13">
        <v>44200</v>
      </c>
      <c r="B3" s="19" t="s">
        <v>346</v>
      </c>
      <c r="C3" s="22">
        <v>0</v>
      </c>
      <c r="D3" s="17">
        <f>IFERROR(GETPIVOTDATA("Soma de Peso bruto",$I$31,"Semana",TabelaOUTROS[[#This Row],[Semana]]),0)-TabelaOUTROS[[#This Row],[Atrasado]]</f>
        <v>0</v>
      </c>
      <c r="E3" s="17">
        <v>0</v>
      </c>
      <c r="F3" s="16">
        <v>0</v>
      </c>
      <c r="G3" s="16">
        <f>C3-F3</f>
        <v>0</v>
      </c>
    </row>
    <row r="4" spans="1:7" x14ac:dyDescent="0.35">
      <c r="A4" s="13">
        <v>44207</v>
      </c>
      <c r="B4" s="19" t="s">
        <v>347</v>
      </c>
      <c r="C4" s="22">
        <v>0</v>
      </c>
      <c r="D4" s="17">
        <f>IFERROR(GETPIVOTDATA("Soma de Peso bruto",$I$31,"Semana",TabelaOUTROS[[#This Row],[Semana]]),0)-TabelaOUTROS[[#This Row],[Atrasado]]</f>
        <v>281.64299999999997</v>
      </c>
      <c r="E4" s="17">
        <v>0</v>
      </c>
      <c r="F4" s="16">
        <v>0</v>
      </c>
      <c r="G4" s="16">
        <f t="shared" ref="G4:G25" si="0">C4-F4</f>
        <v>0</v>
      </c>
    </row>
    <row r="5" spans="1:7" x14ac:dyDescent="0.35">
      <c r="A5" s="13">
        <v>44214</v>
      </c>
      <c r="B5" s="19" t="s">
        <v>348</v>
      </c>
      <c r="C5" s="22">
        <v>0</v>
      </c>
      <c r="D5" s="17">
        <f>IFERROR(GETPIVOTDATA("Soma de Peso bruto",$I$31,"Semana",TabelaOUTROS[[#This Row],[Semana]]),0)-TabelaOUTROS[[#This Row],[Atrasado]]</f>
        <v>0</v>
      </c>
      <c r="E5" s="17">
        <v>0</v>
      </c>
      <c r="F5" s="16">
        <v>0</v>
      </c>
      <c r="G5" s="16">
        <f t="shared" si="0"/>
        <v>0</v>
      </c>
    </row>
    <row r="6" spans="1:7" x14ac:dyDescent="0.35">
      <c r="A6" s="13">
        <v>44221</v>
      </c>
      <c r="B6" s="19" t="s">
        <v>349</v>
      </c>
      <c r="C6" s="22">
        <v>0</v>
      </c>
      <c r="D6" s="17">
        <f>IFERROR(GETPIVOTDATA("Soma de Peso bruto",$I$31,"Semana",TabelaOUTROS[[#This Row],[Semana]]),0)-TabelaOUTROS[[#This Row],[Atrasado]]</f>
        <v>0</v>
      </c>
      <c r="E6" s="17">
        <v>0</v>
      </c>
      <c r="F6" s="16">
        <v>0</v>
      </c>
      <c r="G6" s="16">
        <f t="shared" si="0"/>
        <v>0</v>
      </c>
    </row>
    <row r="7" spans="1:7" x14ac:dyDescent="0.35">
      <c r="A7" s="13">
        <v>44228</v>
      </c>
      <c r="B7" s="19" t="s">
        <v>350</v>
      </c>
      <c r="C7" s="22">
        <v>0</v>
      </c>
      <c r="D7" s="17">
        <f>IFERROR(GETPIVOTDATA("Soma de Peso bruto",$I$31,"Semana",TabelaOUTROS[[#This Row],[Semana]]),0)-TabelaOUTROS[[#This Row],[Atrasado]]</f>
        <v>0</v>
      </c>
      <c r="E7" s="17">
        <v>0</v>
      </c>
      <c r="F7" s="16">
        <v>0</v>
      </c>
      <c r="G7" s="16">
        <f t="shared" si="0"/>
        <v>0</v>
      </c>
    </row>
    <row r="8" spans="1:7" x14ac:dyDescent="0.35">
      <c r="A8" s="13">
        <v>44235</v>
      </c>
      <c r="B8" s="19" t="s">
        <v>351</v>
      </c>
      <c r="C8" s="22">
        <v>0</v>
      </c>
      <c r="D8" s="17">
        <f>IFERROR(GETPIVOTDATA("Soma de Peso bruto",$I$31,"Semana",TabelaOUTROS[[#This Row],[Semana]]),0)-TabelaOUTROS[[#This Row],[Atrasado]]</f>
        <v>0</v>
      </c>
      <c r="E8" s="17">
        <v>0</v>
      </c>
      <c r="F8" s="16">
        <v>0</v>
      </c>
      <c r="G8" s="16">
        <f t="shared" si="0"/>
        <v>0</v>
      </c>
    </row>
    <row r="9" spans="1:7" x14ac:dyDescent="0.35">
      <c r="A9" s="13">
        <v>44242</v>
      </c>
      <c r="B9" s="19" t="s">
        <v>352</v>
      </c>
      <c r="C9" s="22">
        <v>0</v>
      </c>
      <c r="D9" s="17">
        <f>IFERROR(GETPIVOTDATA("Soma de Peso bruto",$I$31,"Semana",TabelaOUTROS[[#This Row],[Semana]]),0)-TabelaOUTROS[[#This Row],[Atrasado]]</f>
        <v>0</v>
      </c>
      <c r="E9" s="17">
        <v>0</v>
      </c>
      <c r="F9" s="16">
        <f>IF(SUM($F$2:F8)&gt;$D$27,0,IF(SUM($F$2:F8)+C9&gt;$D$27,$D$27-SUM($F$2:F8),VALUE(C9)))</f>
        <v>0</v>
      </c>
      <c r="G9" s="16">
        <f t="shared" si="0"/>
        <v>0</v>
      </c>
    </row>
    <row r="10" spans="1:7" x14ac:dyDescent="0.35">
      <c r="A10" s="13">
        <v>44249</v>
      </c>
      <c r="B10" s="19" t="s">
        <v>353</v>
      </c>
      <c r="C10" s="22">
        <f>TOTAL!C10*0.09</f>
        <v>0</v>
      </c>
      <c r="D10" s="17">
        <f>IFERROR(GETPIVOTDATA("Soma de Peso bruto",$I$31,"Semana",TabelaOUTROS[[#This Row],[Semana]]),0)-TabelaOUTROS[[#This Row],[Atrasado]]</f>
        <v>0</v>
      </c>
      <c r="E10" s="17">
        <v>0</v>
      </c>
      <c r="F10" s="16">
        <f>IF(SUM($F$2:F9)&gt;$D$27,0,IF(SUM($F$2:F9)+C10&gt;$D$27,$D$27-SUM($F$2:F9),VALUE(C10)))</f>
        <v>0</v>
      </c>
      <c r="G10" s="16">
        <f t="shared" si="0"/>
        <v>0</v>
      </c>
    </row>
    <row r="11" spans="1:7" x14ac:dyDescent="0.35">
      <c r="A11" s="13">
        <v>44256</v>
      </c>
      <c r="B11" s="19" t="s">
        <v>354</v>
      </c>
      <c r="C11" s="22">
        <f>TOTAL!C11*0.09</f>
        <v>0</v>
      </c>
      <c r="D11" s="17">
        <f>IFERROR(GETPIVOTDATA("Soma de Peso bruto",$I$31,"Semana",TabelaOUTROS[[#This Row],[Semana]]),0)-TabelaOUTROS[[#This Row],[Atrasado]]</f>
        <v>0</v>
      </c>
      <c r="E11" s="17">
        <v>0</v>
      </c>
      <c r="F11" s="16">
        <v>0</v>
      </c>
      <c r="G11" s="16">
        <f t="shared" si="0"/>
        <v>0</v>
      </c>
    </row>
    <row r="12" spans="1:7" x14ac:dyDescent="0.35">
      <c r="A12" s="13">
        <v>44263</v>
      </c>
      <c r="B12" s="19" t="s">
        <v>355</v>
      </c>
      <c r="C12" s="22">
        <f>TOTAL!C12*TOTAL!$K$33</f>
        <v>0</v>
      </c>
      <c r="D12" s="17">
        <f>IFERROR(GETPIVOTDATA("Soma de Peso bruto",$I$31,"Semana",TabelaOUTROS[[#This Row],[Semana]]),0)-TabelaOUTROS[[#This Row],[Atrasado]]</f>
        <v>0</v>
      </c>
      <c r="E12" s="17">
        <v>0</v>
      </c>
      <c r="F12" s="16">
        <f>IF(SUM($F$2:F11)&gt;$D$27,0,IF(SUM($F$2:F11)+C12&gt;$D$27,$D$27-SUM($F$2:F11),VALUE(C12)))</f>
        <v>0</v>
      </c>
      <c r="G12" s="16">
        <f t="shared" si="0"/>
        <v>0</v>
      </c>
    </row>
    <row r="13" spans="1:7" x14ac:dyDescent="0.35">
      <c r="A13" s="13">
        <v>44270</v>
      </c>
      <c r="B13" s="19" t="s">
        <v>356</v>
      </c>
      <c r="C13" s="22">
        <f>TOTAL!C13*TOTAL!$K$33</f>
        <v>0</v>
      </c>
      <c r="D13" s="17">
        <f>IFERROR(GETPIVOTDATA("Soma de Peso bruto",$I$31,"Semana",TabelaOUTROS[[#This Row],[Semana]]),0)-TabelaOUTROS[[#This Row],[Atrasado]]</f>
        <v>0</v>
      </c>
      <c r="E13" s="17">
        <v>0</v>
      </c>
      <c r="F13" s="16">
        <f>IF(SUM($F$2:F12)&gt;$D$27,0,IF(SUM($F$2:F12)+C13&gt;$D$27,$D$27-SUM($F$2:F12),VALUE(C13)))</f>
        <v>0</v>
      </c>
      <c r="G13" s="16">
        <f t="shared" si="0"/>
        <v>0</v>
      </c>
    </row>
    <row r="14" spans="1:7" x14ac:dyDescent="0.35">
      <c r="A14" s="13">
        <v>44277</v>
      </c>
      <c r="B14" s="19" t="s">
        <v>357</v>
      </c>
      <c r="C14" s="22">
        <f>TOTAL!C14*TOTAL!$K$33</f>
        <v>0</v>
      </c>
      <c r="D14" s="17">
        <f>IFERROR(GETPIVOTDATA("Soma de Peso bruto",$I$31,"Semana",TabelaOUTROS[[#This Row],[Semana]]),0)-TabelaOUTROS[[#This Row],[Atrasado]]</f>
        <v>0</v>
      </c>
      <c r="E14" s="17">
        <v>0</v>
      </c>
      <c r="F14" s="16">
        <f>IF(SUM($F$2:F13)&gt;$D$27,0,IF(SUM($F$2:F13)+C14&gt;$D$27,$D$27-SUM($F$2:F13),VALUE(C14)))</f>
        <v>0</v>
      </c>
      <c r="G14" s="16">
        <f t="shared" si="0"/>
        <v>0</v>
      </c>
    </row>
    <row r="15" spans="1:7" x14ac:dyDescent="0.35">
      <c r="A15" s="13">
        <v>44284</v>
      </c>
      <c r="B15" s="19" t="s">
        <v>358</v>
      </c>
      <c r="C15" s="22">
        <f>TOTAL!C15*TOTAL!$K$33</f>
        <v>0</v>
      </c>
      <c r="D15" s="17">
        <f>IFERROR(GETPIVOTDATA("Soma de Peso bruto",$I$31,"Semana",TabelaOUTROS[[#This Row],[Semana]]),0)-TabelaOUTROS[[#This Row],[Atrasado]]</f>
        <v>0</v>
      </c>
      <c r="E15" s="17">
        <v>0</v>
      </c>
      <c r="F15" s="16">
        <f>IF(SUM($F$2:F14)&gt;$D$27,0,IF(SUM($F$2:F14)+C15&gt;$D$27,$D$27-SUM($F$2:F14),VALUE(C15)))</f>
        <v>0</v>
      </c>
      <c r="G15" s="16">
        <f t="shared" si="0"/>
        <v>0</v>
      </c>
    </row>
    <row r="16" spans="1:7" x14ac:dyDescent="0.35">
      <c r="A16" s="13">
        <v>44291</v>
      </c>
      <c r="B16" s="19" t="s">
        <v>359</v>
      </c>
      <c r="C16" s="22">
        <f>TOTAL!C16*TOTAL!$K$33</f>
        <v>0</v>
      </c>
      <c r="D16" s="17">
        <f>IFERROR(GETPIVOTDATA("Soma de Peso bruto",$I$31,"Semana",TabelaOUTROS[[#This Row],[Semana]]),0)-TabelaOUTROS[[#This Row],[Atrasado]]</f>
        <v>0</v>
      </c>
      <c r="E16" s="17">
        <v>0</v>
      </c>
      <c r="F16" s="16">
        <f>IF(SUM($F$2:F15)&gt;$D$27,0,IF(SUM($F$2:F15)+C16&gt;$D$27,$D$27-SUM($F$2:F15),VALUE(C16)))</f>
        <v>0</v>
      </c>
      <c r="G16" s="16">
        <f t="shared" si="0"/>
        <v>0</v>
      </c>
    </row>
    <row r="17" spans="1:11" x14ac:dyDescent="0.35">
      <c r="A17" s="13">
        <v>44298</v>
      </c>
      <c r="B17" s="19" t="s">
        <v>360</v>
      </c>
      <c r="C17" s="22">
        <f>TOTAL!C17*TOTAL!$K$33</f>
        <v>0</v>
      </c>
      <c r="D17" s="17">
        <f>IFERROR(GETPIVOTDATA("Soma de Peso bruto",$I$31,"Semana",TabelaOUTROS[[#This Row],[Semana]]),0)-TabelaOUTROS[[#This Row],[Atrasado]]</f>
        <v>65262.671000000002</v>
      </c>
      <c r="E17" s="17">
        <v>0</v>
      </c>
      <c r="F17" s="16">
        <f>IF(SUM($F$2:F16)&gt;$D$27,0,IF(SUM($F$2:F16)+C17&gt;$D$27,$D$27-SUM($F$2:F16),VALUE(C17)))</f>
        <v>0</v>
      </c>
      <c r="G17" s="16">
        <f t="shared" si="0"/>
        <v>0</v>
      </c>
    </row>
    <row r="18" spans="1:11" x14ac:dyDescent="0.35">
      <c r="A18" s="13">
        <v>44305</v>
      </c>
      <c r="B18" s="19" t="s">
        <v>361</v>
      </c>
      <c r="C18" s="22">
        <f>TOTAL!C18*TOTAL!$K$33</f>
        <v>0</v>
      </c>
      <c r="D18" s="17">
        <f>IFERROR(GETPIVOTDATA("Soma de Peso bruto",$I$31,"Semana",TabelaOUTROS[[#This Row],[Semana]]),0)-TabelaOUTROS[[#This Row],[Atrasado]]</f>
        <v>1386.29</v>
      </c>
      <c r="E18" s="17">
        <v>0</v>
      </c>
      <c r="F18" s="16">
        <f>IF(SUM($F$2:F17)&gt;$D$27,0,IF(SUM($F$2:F17)+C18&gt;$D$27,$D$27-SUM($F$2:F17),VALUE(C18)))</f>
        <v>0</v>
      </c>
      <c r="G18" s="16">
        <f t="shared" si="0"/>
        <v>0</v>
      </c>
    </row>
    <row r="19" spans="1:11" x14ac:dyDescent="0.35">
      <c r="A19" s="13">
        <v>44312</v>
      </c>
      <c r="B19" s="19" t="s">
        <v>362</v>
      </c>
      <c r="C19" s="22">
        <f>TOTAL!C19*TOTAL!$K$33</f>
        <v>247900</v>
      </c>
      <c r="D19" s="17">
        <f>IFERROR(GETPIVOTDATA("Soma de Peso bruto",$I$31,"Semana",TabelaOUTROS[[#This Row],[Semana]]),0)-TabelaOUTROS[[#This Row],[Atrasado]]</f>
        <v>270212.64999999991</v>
      </c>
      <c r="E19" s="17">
        <v>0</v>
      </c>
      <c r="F19" s="16">
        <f>IF(SUM($F$2:F18)&gt;$D$27,0,IF(SUM($F$2:F18)+C19&gt;$D$27,$D$27-SUM($F$2:F18),VALUE(C19)))</f>
        <v>247900</v>
      </c>
      <c r="G19" s="16">
        <f t="shared" si="0"/>
        <v>0</v>
      </c>
    </row>
    <row r="20" spans="1:11" x14ac:dyDescent="0.35">
      <c r="A20" s="13">
        <v>44319</v>
      </c>
      <c r="B20" s="19" t="s">
        <v>363</v>
      </c>
      <c r="C20" s="22">
        <f>TOTAL!C20*TOTAL!$K$33</f>
        <v>214100</v>
      </c>
      <c r="D20" s="17">
        <f>IFERROR(GETPIVOTDATA("Soma de Peso bruto",$I$31,"Semana",TabelaOUTROS[[#This Row],[Semana]]),0)-TabelaOUTROS[[#This Row],[Atrasado]]</f>
        <v>42331.200000000012</v>
      </c>
      <c r="E20" s="17">
        <v>0</v>
      </c>
      <c r="F20" s="16">
        <f>IF(SUM($F$2:F19)&gt;$D$27,0,IF(SUM($F$2:F19)+C20&gt;$D$27,$D$27-SUM($F$2:F19),VALUE(C20)))</f>
        <v>214100</v>
      </c>
      <c r="G20" s="16">
        <f t="shared" si="0"/>
        <v>0</v>
      </c>
    </row>
    <row r="21" spans="1:11" x14ac:dyDescent="0.35">
      <c r="A21" s="13">
        <v>44326</v>
      </c>
      <c r="B21" s="19" t="s">
        <v>364</v>
      </c>
      <c r="C21" s="22">
        <f>TOTAL!C21*TOTAL!$K$33</f>
        <v>261600</v>
      </c>
      <c r="D21" s="17">
        <f>IFERROR(GETPIVOTDATA("Soma de Peso bruto",$I$31,"Semana",TabelaOUTROS[[#This Row],[Semana]]),0)-TabelaOUTROS[[#This Row],[Atrasado]]</f>
        <v>314168.58</v>
      </c>
      <c r="E21" s="17">
        <v>0</v>
      </c>
      <c r="F21" s="16">
        <f>IF(SUM($F$2:F20)&gt;$D$27,0,IF(SUM($F$2:F20)+C21&gt;$D$27,$D$27-SUM($F$2:F20),VALUE(C21)))</f>
        <v>261600</v>
      </c>
      <c r="G21" s="16">
        <f t="shared" si="0"/>
        <v>0</v>
      </c>
    </row>
    <row r="22" spans="1:11" x14ac:dyDescent="0.35">
      <c r="A22" s="13">
        <v>44333</v>
      </c>
      <c r="B22" s="19" t="s">
        <v>365</v>
      </c>
      <c r="C22" s="22">
        <f>TOTAL!C22*TOTAL!$K$33</f>
        <v>257100</v>
      </c>
      <c r="D22" s="17">
        <f>IFERROR(GETPIVOTDATA("Soma de Peso bruto",$I$31,"Semana",TabelaOUTROS[[#This Row],[Semana]]),0)-TabelaOUTROS[[#This Row],[Atrasado]]</f>
        <v>323475.38000000006</v>
      </c>
      <c r="E22" s="17">
        <v>0</v>
      </c>
      <c r="F22" s="16">
        <f>IF(SUM($F$2:F21)&gt;$D$27,0,IF(SUM($F$2:F21)+C22&gt;$D$27,$D$27-SUM($F$2:F21),VALUE(C22)))</f>
        <v>257100</v>
      </c>
      <c r="G22" s="16">
        <f t="shared" si="0"/>
        <v>0</v>
      </c>
    </row>
    <row r="23" spans="1:11" x14ac:dyDescent="0.35">
      <c r="A23" s="13">
        <v>44340</v>
      </c>
      <c r="B23" s="19" t="s">
        <v>366</v>
      </c>
      <c r="C23" s="22">
        <f>TOTAL!C23*TOTAL!$K$33</f>
        <v>244100</v>
      </c>
      <c r="D23" s="17">
        <f>IFERROR(GETPIVOTDATA("Soma de Peso bruto",$I$31,"Semana",TabelaOUTROS[[#This Row],[Semana]]),0)-TabelaOUTROS[[#This Row],[Atrasado]]</f>
        <v>274.11</v>
      </c>
      <c r="E23" s="17">
        <v>0</v>
      </c>
      <c r="F23" s="16">
        <f>IF(SUM($F$2:F22)&gt;$D$27,0,IF(SUM($F$2:F22)+C23&gt;$D$27,$D$27-SUM($F$2:F22),VALUE(C23)))</f>
        <v>36692.524000000092</v>
      </c>
      <c r="G23" s="16">
        <f t="shared" si="0"/>
        <v>207407.47599999991</v>
      </c>
    </row>
    <row r="24" spans="1:11" x14ac:dyDescent="0.35">
      <c r="A24" s="13">
        <v>44347</v>
      </c>
      <c r="B24" s="19" t="s">
        <v>367</v>
      </c>
      <c r="C24" s="22">
        <f>TOTAL!C24*TOTAL!$K$33</f>
        <v>257100</v>
      </c>
      <c r="D24" s="17">
        <f>IFERROR(GETPIVOTDATA("Soma de Peso bruto",$I$31,"Semana",TabelaOUTROS[[#This Row],[Semana]]),0)-TabelaOUTROS[[#This Row],[Atrasado]]</f>
        <v>0</v>
      </c>
      <c r="E24" s="17">
        <v>0</v>
      </c>
      <c r="F24" s="16">
        <f>IF(SUM($F$2:F23)&gt;$D$27,0,IF(SUM($F$2:F23)+C24&gt;$D$27,$D$27-SUM($F$2:F23),VALUE(C24)))</f>
        <v>0</v>
      </c>
      <c r="G24" s="16">
        <f t="shared" si="0"/>
        <v>257100</v>
      </c>
    </row>
    <row r="25" spans="1:11" x14ac:dyDescent="0.35">
      <c r="A25" s="13">
        <v>44354</v>
      </c>
      <c r="B25" s="19" t="s">
        <v>368</v>
      </c>
      <c r="C25" s="22">
        <f>TOTAL!C25*TOTAL!$K$33</f>
        <v>212600</v>
      </c>
      <c r="D25" s="17">
        <f>IFERROR(GETPIVOTDATA("Soma de Peso bruto",$I$31,"Semana",TabelaOUTROS[[#This Row],[Semana]]),0)-TabelaOUTROS[[#This Row],[Atrasado]]</f>
        <v>0</v>
      </c>
      <c r="E25" s="17">
        <v>0</v>
      </c>
      <c r="F25" s="16">
        <f>IF(SUM($F$2:F24)&gt;$D$27,0,IF(SUM($F$2:F24)+C25&gt;$D$27,$D$27-SUM($F$2:F24),VALUE(C25)))</f>
        <v>0</v>
      </c>
      <c r="G25" s="16">
        <f t="shared" si="0"/>
        <v>212600</v>
      </c>
    </row>
    <row r="26" spans="1:11" x14ac:dyDescent="0.35">
      <c r="A26" s="13"/>
      <c r="B26" s="13"/>
      <c r="C26" s="23"/>
      <c r="D26" s="13"/>
      <c r="E26" s="13"/>
      <c r="F26" s="13"/>
      <c r="G26" s="13"/>
      <c r="H26" s="13"/>
      <c r="J26" s="18"/>
    </row>
    <row r="27" spans="1:11" x14ac:dyDescent="0.35">
      <c r="A27" s="13"/>
      <c r="B27" s="13"/>
      <c r="C27" s="24">
        <f>SUBTOTAL(9,TabelaOUTROS[Ton limite])</f>
        <v>1694500</v>
      </c>
      <c r="D27" s="16">
        <f>SUM(TabelaOUTROS[Programado])</f>
        <v>1017392.5240000001</v>
      </c>
      <c r="F27" s="16">
        <f>SUBTOTAL(109,TabelaOUTROS[Balizador])</f>
        <v>1017392.5240000001</v>
      </c>
      <c r="G27" s="13"/>
      <c r="H27" s="13"/>
      <c r="I27"/>
      <c r="J27"/>
    </row>
    <row r="28" spans="1:11" x14ac:dyDescent="0.35">
      <c r="I28" s="1" t="s">
        <v>2</v>
      </c>
      <c r="J28" t="s">
        <v>123</v>
      </c>
    </row>
    <row r="29" spans="1:11" x14ac:dyDescent="0.35">
      <c r="I29" s="1" t="s">
        <v>85</v>
      </c>
      <c r="J29" t="s">
        <v>260</v>
      </c>
    </row>
    <row r="30" spans="1:11" x14ac:dyDescent="0.35">
      <c r="I30" s="12">
        <v>2</v>
      </c>
    </row>
    <row r="31" spans="1:11" x14ac:dyDescent="0.35">
      <c r="I31" s="1" t="s">
        <v>82</v>
      </c>
      <c r="J31" s="4" t="s">
        <v>98</v>
      </c>
      <c r="K31" s="4" t="s">
        <v>84</v>
      </c>
    </row>
    <row r="32" spans="1:11" x14ac:dyDescent="0.35">
      <c r="I32" s="8" t="s">
        <v>360</v>
      </c>
      <c r="J32" s="2">
        <v>1185124.3400000001</v>
      </c>
      <c r="K32" s="3">
        <v>65262.671000000002</v>
      </c>
    </row>
    <row r="33" spans="9:12" x14ac:dyDescent="0.35">
      <c r="I33" s="8" t="s">
        <v>352</v>
      </c>
      <c r="J33" s="2">
        <v>586810.43000000017</v>
      </c>
      <c r="K33" s="3">
        <v>0</v>
      </c>
    </row>
    <row r="34" spans="9:12" x14ac:dyDescent="0.35">
      <c r="I34" s="8" t="s">
        <v>364</v>
      </c>
      <c r="J34" s="2">
        <v>8932649.4699999988</v>
      </c>
      <c r="K34" s="3">
        <v>314168.58</v>
      </c>
    </row>
    <row r="35" spans="9:12" x14ac:dyDescent="0.35">
      <c r="I35" s="8" t="s">
        <v>356</v>
      </c>
      <c r="J35" s="2">
        <v>0</v>
      </c>
      <c r="K35" s="3">
        <v>0</v>
      </c>
      <c r="L35" s="18"/>
    </row>
    <row r="36" spans="9:12" x14ac:dyDescent="0.35">
      <c r="I36" s="8" t="s">
        <v>357</v>
      </c>
      <c r="J36" s="2">
        <v>1.1000000000000001</v>
      </c>
      <c r="K36" s="3">
        <v>0</v>
      </c>
      <c r="L36" s="18"/>
    </row>
    <row r="37" spans="9:12" x14ac:dyDescent="0.35">
      <c r="I37" s="8" t="s">
        <v>363</v>
      </c>
      <c r="J37" s="2">
        <v>2285920.4900000002</v>
      </c>
      <c r="K37" s="3">
        <v>42331.200000000012</v>
      </c>
    </row>
    <row r="38" spans="9:12" x14ac:dyDescent="0.35">
      <c r="I38" s="8" t="s">
        <v>362</v>
      </c>
      <c r="J38" s="2">
        <v>9799277.8199999984</v>
      </c>
      <c r="K38" s="3">
        <v>270212.64999999991</v>
      </c>
    </row>
    <row r="39" spans="9:12" x14ac:dyDescent="0.35">
      <c r="I39" s="8" t="s">
        <v>349</v>
      </c>
      <c r="J39" s="2">
        <v>36800</v>
      </c>
      <c r="K39" s="3">
        <v>0</v>
      </c>
    </row>
    <row r="40" spans="9:12" x14ac:dyDescent="0.35">
      <c r="I40" s="8" t="s">
        <v>361</v>
      </c>
      <c r="J40" s="2">
        <v>31798.559999999998</v>
      </c>
      <c r="K40" s="3">
        <v>1386.29</v>
      </c>
    </row>
    <row r="41" spans="9:12" x14ac:dyDescent="0.35">
      <c r="I41" s="8" t="s">
        <v>347</v>
      </c>
      <c r="J41" s="2">
        <v>111.24</v>
      </c>
      <c r="K41" s="3">
        <v>281.64299999999997</v>
      </c>
    </row>
    <row r="42" spans="9:12" x14ac:dyDescent="0.35">
      <c r="I42" s="8" t="s">
        <v>359</v>
      </c>
      <c r="J42" s="2">
        <v>2052312</v>
      </c>
      <c r="K42" s="3">
        <v>0</v>
      </c>
    </row>
    <row r="43" spans="9:12" x14ac:dyDescent="0.35">
      <c r="I43" s="8" t="s">
        <v>367</v>
      </c>
      <c r="J43" s="2">
        <v>1000000</v>
      </c>
      <c r="K43" s="3">
        <v>0</v>
      </c>
    </row>
    <row r="44" spans="9:12" x14ac:dyDescent="0.35">
      <c r="I44" s="8" t="s">
        <v>354</v>
      </c>
      <c r="J44" s="2">
        <v>245905.09</v>
      </c>
      <c r="K44" s="3">
        <v>0</v>
      </c>
    </row>
    <row r="45" spans="9:12" x14ac:dyDescent="0.35">
      <c r="I45" s="8" t="s">
        <v>366</v>
      </c>
      <c r="J45" s="2">
        <v>92213</v>
      </c>
      <c r="K45" s="3">
        <v>274.11</v>
      </c>
    </row>
    <row r="46" spans="9:12" x14ac:dyDescent="0.35">
      <c r="I46" s="8" t="s">
        <v>353</v>
      </c>
      <c r="J46" s="2">
        <v>421350</v>
      </c>
      <c r="K46" s="3">
        <v>0</v>
      </c>
    </row>
    <row r="47" spans="9:12" x14ac:dyDescent="0.35">
      <c r="I47" s="8" t="s">
        <v>365</v>
      </c>
      <c r="J47" s="2">
        <v>7311741.2400000002</v>
      </c>
      <c r="K47" s="3">
        <v>323475.38000000006</v>
      </c>
    </row>
    <row r="48" spans="9:12" x14ac:dyDescent="0.35">
      <c r="I48" s="8" t="s">
        <v>83</v>
      </c>
      <c r="J48" s="2">
        <v>33982014.779999994</v>
      </c>
      <c r="K48" s="3">
        <v>1017392.5240000002</v>
      </c>
    </row>
    <row r="49" spans="9:11" x14ac:dyDescent="0.35">
      <c r="I49"/>
      <c r="J49"/>
      <c r="K49"/>
    </row>
    <row r="50" spans="9:11" x14ac:dyDescent="0.35">
      <c r="I50"/>
      <c r="J50"/>
      <c r="K50"/>
    </row>
    <row r="51" spans="9:11" x14ac:dyDescent="0.35">
      <c r="I51"/>
      <c r="J51"/>
      <c r="K51"/>
    </row>
    <row r="52" spans="9:11" x14ac:dyDescent="0.35">
      <c r="I52"/>
      <c r="J52"/>
      <c r="K52"/>
    </row>
    <row r="53" spans="9:11" x14ac:dyDescent="0.35">
      <c r="I53"/>
      <c r="J53"/>
      <c r="K53"/>
    </row>
    <row r="54" spans="9:11" x14ac:dyDescent="0.35">
      <c r="I54"/>
      <c r="J54"/>
      <c r="K54"/>
    </row>
    <row r="55" spans="9:11" x14ac:dyDescent="0.35">
      <c r="I55"/>
      <c r="J55"/>
      <c r="K55"/>
    </row>
    <row r="56" spans="9:11" x14ac:dyDescent="0.35">
      <c r="I56"/>
      <c r="J56"/>
      <c r="K56"/>
    </row>
    <row r="57" spans="9:11" x14ac:dyDescent="0.35">
      <c r="I57"/>
      <c r="J57"/>
      <c r="K57"/>
    </row>
    <row r="58" spans="9:11" x14ac:dyDescent="0.35">
      <c r="I58"/>
      <c r="J58"/>
      <c r="K58"/>
    </row>
    <row r="59" spans="9:11" x14ac:dyDescent="0.35">
      <c r="I59"/>
      <c r="J59"/>
      <c r="K59"/>
    </row>
    <row r="60" spans="9:11" x14ac:dyDescent="0.35">
      <c r="I60"/>
      <c r="J60"/>
      <c r="K60"/>
    </row>
    <row r="61" spans="9:11" x14ac:dyDescent="0.35">
      <c r="I61"/>
      <c r="J61"/>
      <c r="K61"/>
    </row>
    <row r="62" spans="9:11" x14ac:dyDescent="0.35">
      <c r="I62"/>
      <c r="J62"/>
      <c r="K62"/>
    </row>
    <row r="63" spans="9:11" x14ac:dyDescent="0.35">
      <c r="I63"/>
      <c r="J63"/>
      <c r="K63"/>
    </row>
    <row r="64" spans="9:11" x14ac:dyDescent="0.35">
      <c r="I64"/>
      <c r="J64"/>
      <c r="K64"/>
    </row>
    <row r="65" spans="9:13" x14ac:dyDescent="0.35">
      <c r="I65"/>
      <c r="J65"/>
      <c r="K65"/>
    </row>
    <row r="66" spans="9:13" x14ac:dyDescent="0.35">
      <c r="I66"/>
      <c r="J66"/>
      <c r="K66"/>
    </row>
    <row r="67" spans="9:13" x14ac:dyDescent="0.35">
      <c r="I67"/>
      <c r="J67"/>
      <c r="K67"/>
      <c r="L67"/>
      <c r="M67"/>
    </row>
    <row r="68" spans="9:13" x14ac:dyDescent="0.35">
      <c r="I68"/>
      <c r="J68"/>
      <c r="K68"/>
      <c r="L68"/>
      <c r="M68"/>
    </row>
    <row r="69" spans="9:13" x14ac:dyDescent="0.35">
      <c r="I69"/>
      <c r="J69"/>
      <c r="K69"/>
      <c r="L69"/>
      <c r="M69"/>
    </row>
    <row r="70" spans="9:13" x14ac:dyDescent="0.35">
      <c r="I70"/>
      <c r="J70"/>
      <c r="K70"/>
      <c r="L70"/>
      <c r="M70"/>
    </row>
    <row r="71" spans="9:13" x14ac:dyDescent="0.35">
      <c r="I71"/>
      <c r="J71"/>
      <c r="K71"/>
      <c r="L71"/>
      <c r="M71"/>
    </row>
    <row r="72" spans="9:13" x14ac:dyDescent="0.35">
      <c r="I72"/>
      <c r="J72"/>
      <c r="K72"/>
      <c r="L72"/>
      <c r="M72"/>
    </row>
    <row r="73" spans="9:13" x14ac:dyDescent="0.35">
      <c r="I73"/>
      <c r="J73"/>
      <c r="K73"/>
      <c r="L73"/>
      <c r="M73"/>
    </row>
    <row r="74" spans="9:13" x14ac:dyDescent="0.35">
      <c r="I74"/>
      <c r="J74"/>
      <c r="K74"/>
      <c r="L74"/>
      <c r="M74"/>
    </row>
    <row r="75" spans="9:13" x14ac:dyDescent="0.35">
      <c r="I75"/>
      <c r="J75"/>
      <c r="K75"/>
      <c r="L75"/>
      <c r="M75"/>
    </row>
    <row r="76" spans="9:13" x14ac:dyDescent="0.35">
      <c r="I76"/>
      <c r="J76"/>
      <c r="K76"/>
      <c r="L76"/>
      <c r="M76"/>
    </row>
    <row r="77" spans="9:13" x14ac:dyDescent="0.35">
      <c r="I77"/>
      <c r="J77"/>
      <c r="K77"/>
      <c r="L77"/>
      <c r="M77"/>
    </row>
    <row r="78" spans="9:13" x14ac:dyDescent="0.35">
      <c r="I78"/>
      <c r="J78"/>
      <c r="K78"/>
      <c r="L78"/>
      <c r="M78"/>
    </row>
    <row r="79" spans="9:13" x14ac:dyDescent="0.35">
      <c r="I79"/>
      <c r="J79"/>
      <c r="K79"/>
      <c r="L79"/>
      <c r="M79"/>
    </row>
    <row r="80" spans="9:13" x14ac:dyDescent="0.35">
      <c r="I80"/>
      <c r="J80"/>
      <c r="K80"/>
      <c r="L80"/>
      <c r="M80"/>
    </row>
    <row r="81" spans="9:13" x14ac:dyDescent="0.35">
      <c r="I81"/>
      <c r="J81"/>
      <c r="K81"/>
      <c r="L81"/>
      <c r="M81"/>
    </row>
    <row r="82" spans="9:13" x14ac:dyDescent="0.35">
      <c r="I82"/>
      <c r="J82"/>
      <c r="K82"/>
      <c r="L82"/>
      <c r="M82"/>
    </row>
    <row r="83" spans="9:13" x14ac:dyDescent="0.35">
      <c r="I83"/>
      <c r="J83"/>
      <c r="K83"/>
      <c r="L83"/>
      <c r="M83"/>
    </row>
    <row r="84" spans="9:13" x14ac:dyDescent="0.35">
      <c r="I84"/>
      <c r="J84"/>
      <c r="K84"/>
      <c r="L84"/>
      <c r="M84"/>
    </row>
    <row r="85" spans="9:13" x14ac:dyDescent="0.35">
      <c r="K85"/>
      <c r="L85"/>
      <c r="M85"/>
    </row>
    <row r="86" spans="9:13" x14ac:dyDescent="0.35">
      <c r="K86"/>
      <c r="L86"/>
      <c r="M86"/>
    </row>
    <row r="87" spans="9:13" x14ac:dyDescent="0.35">
      <c r="K87"/>
      <c r="L87"/>
      <c r="M87"/>
    </row>
    <row r="88" spans="9:13" x14ac:dyDescent="0.35">
      <c r="K88"/>
      <c r="L88"/>
      <c r="M88"/>
    </row>
    <row r="89" spans="9:13" x14ac:dyDescent="0.35">
      <c r="K89"/>
      <c r="L89"/>
      <c r="M89"/>
    </row>
    <row r="90" spans="9:13" x14ac:dyDescent="0.35">
      <c r="K90"/>
      <c r="L90"/>
      <c r="M90"/>
    </row>
    <row r="91" spans="9:13" x14ac:dyDescent="0.35">
      <c r="K91"/>
      <c r="L91"/>
      <c r="M91"/>
    </row>
    <row r="92" spans="9:13" x14ac:dyDescent="0.35">
      <c r="K92"/>
      <c r="L92"/>
      <c r="M92"/>
    </row>
    <row r="93" spans="9:13" x14ac:dyDescent="0.35">
      <c r="K93"/>
      <c r="L93"/>
      <c r="M93"/>
    </row>
    <row r="94" spans="9:13" x14ac:dyDescent="0.35">
      <c r="K94"/>
      <c r="L94"/>
      <c r="M94"/>
    </row>
    <row r="95" spans="9:13" x14ac:dyDescent="0.35">
      <c r="K95"/>
      <c r="L95"/>
      <c r="M95"/>
    </row>
    <row r="96" spans="9:13" x14ac:dyDescent="0.35">
      <c r="K96"/>
      <c r="L96"/>
      <c r="M96"/>
    </row>
    <row r="97" spans="11:13" x14ac:dyDescent="0.35">
      <c r="K97"/>
      <c r="L97"/>
      <c r="M97"/>
    </row>
    <row r="98" spans="11:13" x14ac:dyDescent="0.35">
      <c r="K98"/>
      <c r="L98"/>
      <c r="M98"/>
    </row>
    <row r="99" spans="11:13" x14ac:dyDescent="0.35">
      <c r="K99"/>
      <c r="L99"/>
      <c r="M99"/>
    </row>
    <row r="100" spans="11:13" x14ac:dyDescent="0.35">
      <c r="K100"/>
      <c r="L100"/>
      <c r="M100"/>
    </row>
    <row r="101" spans="11:13" x14ac:dyDescent="0.35">
      <c r="K101"/>
      <c r="L101"/>
      <c r="M101"/>
    </row>
    <row r="102" spans="11:13" x14ac:dyDescent="0.35">
      <c r="K102"/>
      <c r="L102"/>
      <c r="M102"/>
    </row>
    <row r="103" spans="11:13" x14ac:dyDescent="0.35">
      <c r="K103"/>
      <c r="L103"/>
      <c r="M103"/>
    </row>
    <row r="104" spans="11:13" x14ac:dyDescent="0.35">
      <c r="K104"/>
      <c r="L104"/>
      <c r="M104"/>
    </row>
    <row r="105" spans="11:13" x14ac:dyDescent="0.35">
      <c r="K105"/>
      <c r="L105"/>
      <c r="M105"/>
    </row>
    <row r="106" spans="11:13" x14ac:dyDescent="0.35">
      <c r="K106"/>
      <c r="L106"/>
      <c r="M106"/>
    </row>
    <row r="107" spans="11:13" x14ac:dyDescent="0.35">
      <c r="K107"/>
      <c r="L107"/>
      <c r="M107"/>
    </row>
    <row r="108" spans="11:13" x14ac:dyDescent="0.35">
      <c r="K108"/>
      <c r="L108"/>
      <c r="M108"/>
    </row>
    <row r="109" spans="11:13" x14ac:dyDescent="0.35">
      <c r="K109"/>
      <c r="L109"/>
      <c r="M109"/>
    </row>
    <row r="110" spans="11:13" x14ac:dyDescent="0.35">
      <c r="K110"/>
      <c r="L110"/>
      <c r="M110"/>
    </row>
    <row r="111" spans="11:13" x14ac:dyDescent="0.35">
      <c r="K111"/>
      <c r="L111"/>
      <c r="M111"/>
    </row>
    <row r="112" spans="11:13" x14ac:dyDescent="0.35">
      <c r="K112"/>
      <c r="L112"/>
      <c r="M112"/>
    </row>
    <row r="113" spans="11:13" x14ac:dyDescent="0.35">
      <c r="K113"/>
      <c r="L113"/>
      <c r="M113"/>
    </row>
    <row r="114" spans="11:13" x14ac:dyDescent="0.35">
      <c r="K114"/>
      <c r="L114"/>
      <c r="M114"/>
    </row>
    <row r="115" spans="11:13" x14ac:dyDescent="0.35">
      <c r="K115"/>
      <c r="L115"/>
      <c r="M115"/>
    </row>
    <row r="116" spans="11:13" x14ac:dyDescent="0.35">
      <c r="K116"/>
      <c r="L116"/>
      <c r="M116"/>
    </row>
    <row r="117" spans="11:13" x14ac:dyDescent="0.35">
      <c r="K117"/>
      <c r="L117"/>
      <c r="M117"/>
    </row>
    <row r="118" spans="11:13" x14ac:dyDescent="0.35">
      <c r="K118"/>
      <c r="L118"/>
      <c r="M118"/>
    </row>
    <row r="119" spans="11:13" x14ac:dyDescent="0.35">
      <c r="K119"/>
      <c r="L119"/>
      <c r="M119"/>
    </row>
    <row r="120" spans="11:13" x14ac:dyDescent="0.35">
      <c r="K120"/>
      <c r="L120"/>
      <c r="M120"/>
    </row>
  </sheetData>
  <protectedRanges>
    <protectedRange algorithmName="SHA-512" hashValue="qdtv/TDXtsMvpZTD46CUiylflvlJqOafLYfMK28QkTCY6UjfnJ/NNIPCQhBC2EXLjwMcdT3Lbyjj/LrMZ0Dj2g==" saltValue="3+2tHwc1s9OUC+bgJNm7uw==" spinCount="100000" sqref="A2:A25" name="Alex colunas fixas"/>
  </protectedRanges>
  <conditionalFormatting pivot="1" sqref="K32:K48">
    <cfRule type="cellIs" dxfId="59" priority="2" operator="greaterThan">
      <formula>375000</formula>
    </cfRule>
  </conditionalFormatting>
  <conditionalFormatting pivot="1" sqref="K32:K48">
    <cfRule type="cellIs" dxfId="58" priority="1" operator="between">
      <formula>0</formula>
      <formula>374999</formula>
    </cfRule>
  </conditionalFormatting>
  <pageMargins left="0.511811024" right="0.511811024" top="0.78740157499999996" bottom="0.78740157499999996" header="0.31496062000000002" footer="0.31496062000000002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C4CE2C03-5F54-42D4-8ACD-329628DA8170}">
            <xm:f>NOT(ISERROR(SEARCH($A$4,I32)))</xm:f>
            <xm:f>$A$4</xm:f>
            <x14:dxf>
              <font>
                <b/>
                <i val="0"/>
              </font>
              <fill>
                <patternFill patternType="darkUp">
                  <fgColor theme="5" tint="0.79998168889431442"/>
                  <bgColor auto="1"/>
                </patternFill>
              </fill>
              <border>
                <top style="dashed">
                  <color rgb="FFC00000"/>
                </top>
                <bottom style="dashed">
                  <color rgb="FFC00000"/>
                </bottom>
                <vertical/>
                <horizontal/>
              </border>
            </x14:dxf>
          </x14:cfRule>
          <xm:sqref>I32:I50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37EB1-38F7-4609-A4FC-70149196D70D}">
  <sheetPr codeName="Plan6">
    <tabColor theme="4" tint="0.59999389629810485"/>
  </sheetPr>
  <dimension ref="A1:M120"/>
  <sheetViews>
    <sheetView showGridLines="0" topLeftCell="A10" zoomScale="70" zoomScaleNormal="70" workbookViewId="0">
      <selection activeCell="J28" sqref="J28"/>
    </sheetView>
  </sheetViews>
  <sheetFormatPr defaultColWidth="9.1796875" defaultRowHeight="14.5" x14ac:dyDescent="0.35"/>
  <cols>
    <col min="1" max="1" width="13.1796875" style="12" customWidth="1"/>
    <col min="2" max="2" width="17.1796875" style="12" bestFit="1" customWidth="1"/>
    <col min="3" max="3" width="20.81640625" style="20" bestFit="1" customWidth="1"/>
    <col min="4" max="4" width="18.7265625" style="12" bestFit="1" customWidth="1"/>
    <col min="5" max="5" width="18.7265625" style="12" hidden="1" customWidth="1"/>
    <col min="6" max="6" width="18.7265625" style="12" customWidth="1"/>
    <col min="7" max="7" width="34.26953125" style="12" bestFit="1" customWidth="1"/>
    <col min="8" max="8" width="33.1796875" style="12" customWidth="1"/>
    <col min="9" max="9" width="19.7265625" style="12" bestFit="1" customWidth="1"/>
    <col min="10" max="10" width="16.453125" style="12" bestFit="1" customWidth="1"/>
    <col min="11" max="11" width="19.6328125" style="12" bestFit="1" customWidth="1"/>
    <col min="12" max="12" width="18.54296875" style="12" bestFit="1" customWidth="1"/>
    <col min="13" max="13" width="20.54296875" style="12" bestFit="1" customWidth="1"/>
    <col min="14" max="16384" width="9.1796875" style="12"/>
  </cols>
  <sheetData>
    <row r="1" spans="1:7" x14ac:dyDescent="0.35">
      <c r="A1" s="12" t="s">
        <v>117</v>
      </c>
      <c r="B1" s="12" t="s">
        <v>120</v>
      </c>
      <c r="C1" s="20" t="s">
        <v>118</v>
      </c>
      <c r="D1" s="12" t="s">
        <v>119</v>
      </c>
      <c r="E1" s="12" t="s">
        <v>178</v>
      </c>
      <c r="F1" s="12" t="s">
        <v>183</v>
      </c>
      <c r="G1" s="12" t="s">
        <v>369</v>
      </c>
    </row>
    <row r="2" spans="1:7" x14ac:dyDescent="0.35">
      <c r="A2" s="13">
        <v>44197</v>
      </c>
      <c r="B2" s="19" t="s">
        <v>345</v>
      </c>
      <c r="C2" s="21">
        <v>0</v>
      </c>
      <c r="D2" s="14">
        <f>IFERROR(GETPIVOTDATA("Soma de Peso bruto",$I$31,"Semana",Tabela334[[#This Row],[Semana]]),0)-Tabela334[[#This Row],[Atrasado]]</f>
        <v>0</v>
      </c>
      <c r="E2" s="15">
        <v>0</v>
      </c>
      <c r="F2" s="16">
        <v>0</v>
      </c>
      <c r="G2" s="16">
        <f t="shared" ref="G2:G25" si="0">C2-F2</f>
        <v>0</v>
      </c>
    </row>
    <row r="3" spans="1:7" x14ac:dyDescent="0.35">
      <c r="A3" s="13">
        <v>44200</v>
      </c>
      <c r="B3" s="19" t="s">
        <v>346</v>
      </c>
      <c r="C3" s="22">
        <v>0</v>
      </c>
      <c r="D3" s="17">
        <f>IFERROR(GETPIVOTDATA("Soma de Peso bruto",$I$31,"Semana",Tabela334[[#This Row],[Semana]]),0)-Tabela334[[#This Row],[Atrasado]]</f>
        <v>0</v>
      </c>
      <c r="E3" s="17">
        <v>0</v>
      </c>
      <c r="F3" s="16">
        <v>0</v>
      </c>
      <c r="G3" s="16">
        <f t="shared" si="0"/>
        <v>0</v>
      </c>
    </row>
    <row r="4" spans="1:7" x14ac:dyDescent="0.35">
      <c r="A4" s="13">
        <v>44207</v>
      </c>
      <c r="B4" s="19" t="s">
        <v>347</v>
      </c>
      <c r="C4" s="22">
        <v>0</v>
      </c>
      <c r="D4" s="17">
        <f>IFERROR(GETPIVOTDATA("Soma de Peso bruto",$I$31,"Semana",Tabela334[[#This Row],[Semana]]),0)-Tabela334[[#This Row],[Atrasado]]</f>
        <v>0</v>
      </c>
      <c r="E4" s="17">
        <v>0</v>
      </c>
      <c r="F4" s="16">
        <v>0</v>
      </c>
      <c r="G4" s="16">
        <f t="shared" si="0"/>
        <v>0</v>
      </c>
    </row>
    <row r="5" spans="1:7" x14ac:dyDescent="0.35">
      <c r="A5" s="13">
        <v>44214</v>
      </c>
      <c r="B5" s="19" t="s">
        <v>348</v>
      </c>
      <c r="C5" s="22">
        <v>0</v>
      </c>
      <c r="D5" s="17">
        <f>IFERROR(GETPIVOTDATA("Soma de Peso bruto",$I$31,"Semana",Tabela334[[#This Row],[Semana]]),0)-Tabela334[[#This Row],[Atrasado]]</f>
        <v>0</v>
      </c>
      <c r="E5" s="17">
        <v>0</v>
      </c>
      <c r="F5" s="16">
        <v>0</v>
      </c>
      <c r="G5" s="16">
        <f t="shared" si="0"/>
        <v>0</v>
      </c>
    </row>
    <row r="6" spans="1:7" x14ac:dyDescent="0.35">
      <c r="A6" s="13">
        <v>44221</v>
      </c>
      <c r="B6" s="19" t="s">
        <v>349</v>
      </c>
      <c r="C6" s="22">
        <v>0</v>
      </c>
      <c r="D6" s="17">
        <f>IFERROR(GETPIVOTDATA("Soma de Peso bruto",$I$31,"Semana",Tabela334[[#This Row],[Semana]]),0)-Tabela334[[#This Row],[Atrasado]]</f>
        <v>0</v>
      </c>
      <c r="E6" s="17">
        <v>0</v>
      </c>
      <c r="F6" s="16">
        <v>0</v>
      </c>
      <c r="G6" s="16">
        <f t="shared" si="0"/>
        <v>0</v>
      </c>
    </row>
    <row r="7" spans="1:7" x14ac:dyDescent="0.35">
      <c r="A7" s="13">
        <v>44228</v>
      </c>
      <c r="B7" s="19" t="s">
        <v>350</v>
      </c>
      <c r="C7" s="22">
        <v>0</v>
      </c>
      <c r="D7" s="17">
        <f>IFERROR(GETPIVOTDATA("Soma de Peso bruto",$I$31,"Semana",Tabela334[[#This Row],[Semana]]),0)-Tabela334[[#This Row],[Atrasado]]</f>
        <v>0</v>
      </c>
      <c r="E7" s="17">
        <v>0</v>
      </c>
      <c r="F7" s="16">
        <v>0</v>
      </c>
      <c r="G7" s="16">
        <f t="shared" si="0"/>
        <v>0</v>
      </c>
    </row>
    <row r="8" spans="1:7" x14ac:dyDescent="0.35">
      <c r="A8" s="13">
        <v>44235</v>
      </c>
      <c r="B8" s="19" t="s">
        <v>351</v>
      </c>
      <c r="C8" s="22">
        <v>0</v>
      </c>
      <c r="D8" s="17">
        <f>IFERROR(GETPIVOTDATA("Soma de Peso bruto",$I$31,"Semana",Tabela334[[#This Row],[Semana]]),0)-Tabela334[[#This Row],[Atrasado]]</f>
        <v>0</v>
      </c>
      <c r="E8" s="17">
        <v>0</v>
      </c>
      <c r="F8" s="16">
        <v>0</v>
      </c>
      <c r="G8" s="16">
        <f t="shared" si="0"/>
        <v>0</v>
      </c>
    </row>
    <row r="9" spans="1:7" x14ac:dyDescent="0.35">
      <c r="A9" s="13">
        <v>44242</v>
      </c>
      <c r="B9" s="19" t="s">
        <v>352</v>
      </c>
      <c r="C9" s="22">
        <v>0</v>
      </c>
      <c r="D9" s="17">
        <f>IFERROR(GETPIVOTDATA("Soma de Peso bruto",$I$31,"Semana",Tabela334[[#This Row],[Semana]]),0)-Tabela334[[#This Row],[Atrasado]]</f>
        <v>0</v>
      </c>
      <c r="E9" s="17">
        <v>0</v>
      </c>
      <c r="F9" s="16">
        <f>IF(SUM($F$2:F8)&gt;$D$27,0,IF(SUM($F$2:F8)+C9&gt;$D$27,$D$27-SUM($F$2:F8),VALUE(C9)))</f>
        <v>0</v>
      </c>
      <c r="G9" s="16">
        <f t="shared" si="0"/>
        <v>0</v>
      </c>
    </row>
    <row r="10" spans="1:7" x14ac:dyDescent="0.35">
      <c r="A10" s="13">
        <v>44249</v>
      </c>
      <c r="B10" s="19" t="s">
        <v>353</v>
      </c>
      <c r="C10" s="22">
        <v>0</v>
      </c>
      <c r="D10" s="17">
        <f>IFERROR(GETPIVOTDATA("Soma de Peso bruto",$I$31,"Semana",Tabela334[[#This Row],[Semana]]),0)-Tabela334[[#This Row],[Atrasado]]</f>
        <v>0</v>
      </c>
      <c r="E10" s="17">
        <v>0</v>
      </c>
      <c r="F10" s="16">
        <f>IF(SUM($F$2:F9)&gt;$D$27,0,IF(SUM($F$2:F9)+C10&gt;$D$27,$D$27-SUM($F$2:F9),VALUE(C10)))</f>
        <v>0</v>
      </c>
      <c r="G10" s="16">
        <f t="shared" si="0"/>
        <v>0</v>
      </c>
    </row>
    <row r="11" spans="1:7" x14ac:dyDescent="0.35">
      <c r="A11" s="13">
        <v>44256</v>
      </c>
      <c r="B11" s="19" t="s">
        <v>354</v>
      </c>
      <c r="C11" s="22">
        <f>TOTAL!C11*TOTAL!$K$29</f>
        <v>0</v>
      </c>
      <c r="D11" s="17">
        <f>IFERROR(GETPIVOTDATA("Soma de Peso bruto",$I$31,"Semana",Tabela334[[#This Row],[Semana]]),0)-Tabela334[[#This Row],[Atrasado]]</f>
        <v>0</v>
      </c>
      <c r="E11" s="17">
        <v>0</v>
      </c>
      <c r="F11" s="16">
        <v>0</v>
      </c>
      <c r="G11" s="16">
        <f t="shared" si="0"/>
        <v>0</v>
      </c>
    </row>
    <row r="12" spans="1:7" x14ac:dyDescent="0.35">
      <c r="A12" s="13">
        <v>44263</v>
      </c>
      <c r="B12" s="19" t="s">
        <v>355</v>
      </c>
      <c r="C12" s="22">
        <f>TOTAL!C12*TOTAL!$K$29</f>
        <v>0</v>
      </c>
      <c r="D12" s="17">
        <f>IFERROR(GETPIVOTDATA("Soma de Peso bruto",$I$31,"Semana",Tabela334[[#This Row],[Semana]]),0)-Tabela334[[#This Row],[Atrasado]]</f>
        <v>0</v>
      </c>
      <c r="E12" s="17">
        <v>0</v>
      </c>
      <c r="F12" s="16">
        <f>IF(SUM($F$2:F11)&gt;$D$27,0,IF(SUM($F$2:F11)+C12&gt;$D$27,$D$27-SUM($F$2:F11),VALUE(C12)))</f>
        <v>0</v>
      </c>
      <c r="G12" s="16">
        <f t="shared" si="0"/>
        <v>0</v>
      </c>
    </row>
    <row r="13" spans="1:7" x14ac:dyDescent="0.35">
      <c r="A13" s="13">
        <v>44270</v>
      </c>
      <c r="B13" s="19" t="s">
        <v>356</v>
      </c>
      <c r="C13" s="22">
        <f>TOTAL!C13*TOTAL!$K$29</f>
        <v>0</v>
      </c>
      <c r="D13" s="17">
        <f>IFERROR(GETPIVOTDATA("Soma de Peso bruto",$I$31,"Semana",Tabela334[[#This Row],[Semana]]),0)-Tabela334[[#This Row],[Atrasado]]</f>
        <v>0</v>
      </c>
      <c r="E13" s="17">
        <v>0</v>
      </c>
      <c r="F13" s="16">
        <f>IF(SUM($F$2:F12)&gt;$D$27,0,IF(SUM($F$2:F12)+C13&gt;$D$27,$D$27-SUM($F$2:F12),VALUE(C13)))</f>
        <v>0</v>
      </c>
      <c r="G13" s="16">
        <f t="shared" si="0"/>
        <v>0</v>
      </c>
    </row>
    <row r="14" spans="1:7" x14ac:dyDescent="0.35">
      <c r="A14" s="13">
        <v>44277</v>
      </c>
      <c r="B14" s="19" t="s">
        <v>357</v>
      </c>
      <c r="C14" s="22">
        <f>TOTAL!C14*TOTAL!$K$29</f>
        <v>0</v>
      </c>
      <c r="D14" s="17">
        <f>IFERROR(GETPIVOTDATA("Soma de Peso bruto",$I$31,"Semana",Tabela334[[#This Row],[Semana]]),0)-Tabela334[[#This Row],[Atrasado]]</f>
        <v>0</v>
      </c>
      <c r="E14" s="17">
        <v>0</v>
      </c>
      <c r="F14" s="16">
        <f>IF(SUM($F$2:F13)&gt;$D$27,0,IF(SUM($F$2:F13)+C14&gt;$D$27,$D$27-SUM($F$2:F13),VALUE(C14)))</f>
        <v>0</v>
      </c>
      <c r="G14" s="16">
        <f t="shared" si="0"/>
        <v>0</v>
      </c>
    </row>
    <row r="15" spans="1:7" x14ac:dyDescent="0.35">
      <c r="A15" s="13">
        <v>44284</v>
      </c>
      <c r="B15" s="19" t="s">
        <v>358</v>
      </c>
      <c r="C15" s="22">
        <f>TOTAL!C15*TOTAL!$K$29</f>
        <v>0</v>
      </c>
      <c r="D15" s="17">
        <f>IFERROR(GETPIVOTDATA("Soma de Peso bruto",$I$31,"Semana",Tabela334[[#This Row],[Semana]]),0)-Tabela334[[#This Row],[Atrasado]]</f>
        <v>0</v>
      </c>
      <c r="E15" s="17">
        <v>0</v>
      </c>
      <c r="F15" s="16">
        <f>IF(SUM($F$2:F14)&gt;$D$27,0,IF(SUM($F$2:F14)+C15&gt;$D$27,$D$27-SUM($F$2:F14),VALUE(C15)))</f>
        <v>0</v>
      </c>
      <c r="G15" s="16">
        <f t="shared" si="0"/>
        <v>0</v>
      </c>
    </row>
    <row r="16" spans="1:7" x14ac:dyDescent="0.35">
      <c r="A16" s="13">
        <v>44291</v>
      </c>
      <c r="B16" s="19" t="s">
        <v>359</v>
      </c>
      <c r="C16" s="22">
        <f>TOTAL!C16*TOTAL!$K$29</f>
        <v>0</v>
      </c>
      <c r="D16" s="17">
        <f>IFERROR(GETPIVOTDATA("Soma de Peso bruto",$I$31,"Semana",Tabela334[[#This Row],[Semana]]),0)-Tabela334[[#This Row],[Atrasado]]</f>
        <v>814.39</v>
      </c>
      <c r="E16" s="17">
        <v>0</v>
      </c>
      <c r="F16" s="16">
        <f>IF(SUM($F$2:F15)&gt;$D$27,0,IF(SUM($F$2:F15)+C16&gt;$D$27,$D$27-SUM($F$2:F15),VALUE(C16)))</f>
        <v>0</v>
      </c>
      <c r="G16" s="16">
        <f t="shared" si="0"/>
        <v>0</v>
      </c>
    </row>
    <row r="17" spans="1:11" x14ac:dyDescent="0.35">
      <c r="A17" s="13">
        <v>44298</v>
      </c>
      <c r="B17" s="19" t="s">
        <v>360</v>
      </c>
      <c r="C17" s="22">
        <f>TOTAL!C17*TOTAL!$K$29</f>
        <v>0</v>
      </c>
      <c r="D17" s="17">
        <f>IFERROR(GETPIVOTDATA("Soma de Peso bruto",$I$31,"Semana",Tabela334[[#This Row],[Semana]]),0)-Tabela334[[#This Row],[Atrasado]]</f>
        <v>5664.87</v>
      </c>
      <c r="E17" s="17">
        <v>0</v>
      </c>
      <c r="F17" s="16">
        <f>IF(SUM($F$2:F16)&gt;$D$27,0,IF(SUM($F$2:F16)+C17&gt;$D$27,$D$27-SUM($F$2:F16),VALUE(C17)))</f>
        <v>0</v>
      </c>
      <c r="G17" s="16">
        <f t="shared" si="0"/>
        <v>0</v>
      </c>
    </row>
    <row r="18" spans="1:11" x14ac:dyDescent="0.35">
      <c r="A18" s="13">
        <v>44305</v>
      </c>
      <c r="B18" s="19" t="s">
        <v>361</v>
      </c>
      <c r="C18" s="22">
        <f>TOTAL!C18*TOTAL!$K$29</f>
        <v>0</v>
      </c>
      <c r="D18" s="17">
        <f>IFERROR(GETPIVOTDATA("Soma de Peso bruto",$I$31,"Semana",Tabela334[[#This Row],[Semana]]),0)-Tabela334[[#This Row],[Atrasado]]</f>
        <v>211127.91399999996</v>
      </c>
      <c r="E18" s="17">
        <v>0</v>
      </c>
      <c r="F18" s="16">
        <f>IF(SUM($F$2:F17)&gt;$D$27,0,IF(SUM($F$2:F17)+C18&gt;$D$27,$D$27-SUM($F$2:F17),VALUE(C18)))</f>
        <v>0</v>
      </c>
      <c r="G18" s="16">
        <f t="shared" si="0"/>
        <v>0</v>
      </c>
    </row>
    <row r="19" spans="1:11" x14ac:dyDescent="0.35">
      <c r="A19" s="13">
        <v>44312</v>
      </c>
      <c r="B19" s="19" t="s">
        <v>362</v>
      </c>
      <c r="C19" s="22">
        <f>TOTAL!C19*TOTAL!$K$29</f>
        <v>1363450</v>
      </c>
      <c r="D19" s="17">
        <f>IFERROR(GETPIVOTDATA("Soma de Peso bruto",$I$31,"Semana",Tabela334[[#This Row],[Semana]]),0)-Tabela334[[#This Row],[Atrasado]]</f>
        <v>562498.76399999997</v>
      </c>
      <c r="E19" s="17">
        <v>0</v>
      </c>
      <c r="F19" s="16">
        <f>IF(SUM($F$2:F18)&gt;$D$27,0,IF(SUM($F$2:F18)+C19&gt;$D$27,$D$27-SUM($F$2:F18),VALUE(C19)))</f>
        <v>1363450</v>
      </c>
      <c r="G19" s="16">
        <f t="shared" si="0"/>
        <v>0</v>
      </c>
    </row>
    <row r="20" spans="1:11" x14ac:dyDescent="0.35">
      <c r="A20" s="13">
        <v>44319</v>
      </c>
      <c r="B20" s="19" t="s">
        <v>363</v>
      </c>
      <c r="C20" s="22">
        <f>TOTAL!C20*TOTAL!$K$29</f>
        <v>1177550</v>
      </c>
      <c r="D20" s="17">
        <f>IFERROR(GETPIVOTDATA("Soma de Peso bruto",$I$31,"Semana",Tabela334[[#This Row],[Semana]]),0)-Tabela334[[#This Row],[Atrasado]]</f>
        <v>481810.42099999991</v>
      </c>
      <c r="E20" s="17">
        <v>0</v>
      </c>
      <c r="F20" s="16">
        <f>IF(SUM($F$2:F19)&gt;$D$27,0,IF(SUM($F$2:F19)+C20&gt;$D$27,$D$27-SUM($F$2:F19),VALUE(C20)))</f>
        <v>994688.86900000041</v>
      </c>
      <c r="G20" s="16">
        <f t="shared" si="0"/>
        <v>182861.13099999959</v>
      </c>
    </row>
    <row r="21" spans="1:11" x14ac:dyDescent="0.35">
      <c r="A21" s="13">
        <v>44326</v>
      </c>
      <c r="B21" s="19" t="s">
        <v>364</v>
      </c>
      <c r="C21" s="22">
        <f>TOTAL!C21*TOTAL!$K$29</f>
        <v>1438800</v>
      </c>
      <c r="D21" s="17">
        <f>IFERROR(GETPIVOTDATA("Soma de Peso bruto",$I$31,"Semana",Tabela334[[#This Row],[Semana]]),0)-Tabela334[[#This Row],[Atrasado]]</f>
        <v>548673.64100000006</v>
      </c>
      <c r="E21" s="17">
        <v>0</v>
      </c>
      <c r="F21" s="16">
        <f>IF(SUM($F$2:F20)&gt;$D$27,0,IF(SUM($F$2:F20)+C21&gt;$D$27,$D$27-SUM($F$2:F20),VALUE(C21)))</f>
        <v>0</v>
      </c>
      <c r="G21" s="16">
        <f t="shared" si="0"/>
        <v>1438800</v>
      </c>
    </row>
    <row r="22" spans="1:11" x14ac:dyDescent="0.35">
      <c r="A22" s="13">
        <v>44333</v>
      </c>
      <c r="B22" s="19" t="s">
        <v>365</v>
      </c>
      <c r="C22" s="22">
        <f>TOTAL!C22*TOTAL!$K$29</f>
        <v>1414050</v>
      </c>
      <c r="D22" s="17">
        <f>IFERROR(GETPIVOTDATA("Soma de Peso bruto",$I$31,"Semana",Tabela334[[#This Row],[Semana]]),0)-Tabela334[[#This Row],[Atrasado]]</f>
        <v>491482.97900000005</v>
      </c>
      <c r="E22" s="17">
        <v>0</v>
      </c>
      <c r="F22" s="16">
        <f>IF(SUM($F$2:F21)&gt;$D$27,0,IF(SUM($F$2:F21)+C22&gt;$D$27,$D$27-SUM($F$2:F21),VALUE(C22)))</f>
        <v>0</v>
      </c>
      <c r="G22" s="16">
        <f t="shared" si="0"/>
        <v>1414050</v>
      </c>
    </row>
    <row r="23" spans="1:11" x14ac:dyDescent="0.35">
      <c r="A23" s="13">
        <v>44340</v>
      </c>
      <c r="B23" s="19" t="s">
        <v>366</v>
      </c>
      <c r="C23" s="22">
        <f>TOTAL!C23*TOTAL!$K$29</f>
        <v>1342550</v>
      </c>
      <c r="D23" s="17">
        <f>IFERROR(GETPIVOTDATA("Soma de Peso bruto",$I$31,"Semana",Tabela334[[#This Row],[Semana]]),0)-Tabela334[[#This Row],[Atrasado]]</f>
        <v>16223.89</v>
      </c>
      <c r="E23" s="17">
        <v>0</v>
      </c>
      <c r="F23" s="16">
        <f>IF(SUM($F$2:F22)&gt;$D$27,0,IF(SUM($F$2:F22)+C23&gt;$D$27,$D$27-SUM($F$2:F22),VALUE(C23)))</f>
        <v>0</v>
      </c>
      <c r="G23" s="16">
        <f t="shared" si="0"/>
        <v>1342550</v>
      </c>
    </row>
    <row r="24" spans="1:11" x14ac:dyDescent="0.35">
      <c r="A24" s="13">
        <v>44347</v>
      </c>
      <c r="B24" s="19" t="s">
        <v>367</v>
      </c>
      <c r="C24" s="22">
        <f>TOTAL!C24*TOTAL!$K$29</f>
        <v>1414050</v>
      </c>
      <c r="D24" s="17">
        <f>IFERROR(GETPIVOTDATA("Soma de Peso bruto",$I$31,"Semana",Tabela334[[#This Row],[Semana]]),0)-Tabela334[[#This Row],[Atrasado]]</f>
        <v>39842</v>
      </c>
      <c r="E24" s="17">
        <v>0</v>
      </c>
      <c r="F24" s="16">
        <f>IF(SUM($F$2:F23)&gt;$D$27,0,IF(SUM($F$2:F23)+C24&gt;$D$27,$D$27-SUM($F$2:F23),VALUE(C24)))</f>
        <v>0</v>
      </c>
      <c r="G24" s="16">
        <f t="shared" si="0"/>
        <v>1414050</v>
      </c>
    </row>
    <row r="25" spans="1:11" x14ac:dyDescent="0.35">
      <c r="A25" s="13">
        <v>44354</v>
      </c>
      <c r="B25" s="19" t="s">
        <v>368</v>
      </c>
      <c r="C25" s="22">
        <f>TOTAL!C25*TOTAL!$K$29</f>
        <v>1169300</v>
      </c>
      <c r="D25" s="17">
        <f>IFERROR(GETPIVOTDATA("Soma de Peso bruto",$I$31,"Semana",Tabela334[[#This Row],[Semana]]),0)-Tabela334[[#This Row],[Atrasado]]</f>
        <v>0</v>
      </c>
      <c r="E25" s="17">
        <v>0</v>
      </c>
      <c r="F25" s="16">
        <f>IF(SUM($F$2:F24)&gt;$D$27,0,IF(SUM($F$2:F24)+C25&gt;$D$27,$D$27-SUM($F$2:F24),VALUE(C25)))</f>
        <v>0</v>
      </c>
      <c r="G25" s="16">
        <f t="shared" si="0"/>
        <v>1169300</v>
      </c>
    </row>
    <row r="26" spans="1:11" x14ac:dyDescent="0.35">
      <c r="A26" s="13"/>
      <c r="B26" s="13"/>
      <c r="C26" s="23"/>
      <c r="D26" s="13"/>
      <c r="E26" s="13"/>
      <c r="F26" s="13"/>
      <c r="G26" s="13"/>
      <c r="H26" s="13"/>
      <c r="J26" s="18"/>
    </row>
    <row r="27" spans="1:11" x14ac:dyDescent="0.35">
      <c r="A27" s="13"/>
      <c r="B27" s="13"/>
      <c r="C27" s="24">
        <f>SUBTOTAL(9,Tabela334[Ton limite])</f>
        <v>9319750</v>
      </c>
      <c r="D27" s="16">
        <f>SUM(Tabela334[Programado])</f>
        <v>2358138.8690000004</v>
      </c>
      <c r="F27" s="16">
        <f>SUBTOTAL(109,Tabela334[Balizador])</f>
        <v>2358138.8690000004</v>
      </c>
      <c r="G27" s="13"/>
      <c r="H27" s="13"/>
      <c r="I27"/>
      <c r="J27"/>
    </row>
    <row r="28" spans="1:11" x14ac:dyDescent="0.35">
      <c r="I28" s="1" t="s">
        <v>2</v>
      </c>
      <c r="J28" t="s">
        <v>123</v>
      </c>
    </row>
    <row r="29" spans="1:11" x14ac:dyDescent="0.35">
      <c r="I29" s="1" t="s">
        <v>85</v>
      </c>
      <c r="J29" t="s">
        <v>260</v>
      </c>
    </row>
    <row r="30" spans="1:11" x14ac:dyDescent="0.35">
      <c r="I30" s="12">
        <v>2</v>
      </c>
    </row>
    <row r="31" spans="1:11" x14ac:dyDescent="0.35">
      <c r="I31" s="1" t="s">
        <v>82</v>
      </c>
      <c r="J31" s="4" t="s">
        <v>98</v>
      </c>
      <c r="K31" s="4" t="s">
        <v>84</v>
      </c>
    </row>
    <row r="32" spans="1:11" x14ac:dyDescent="0.35">
      <c r="I32" s="8" t="s">
        <v>360</v>
      </c>
      <c r="J32" s="2">
        <v>150079.18</v>
      </c>
      <c r="K32" s="3">
        <v>5664.87</v>
      </c>
    </row>
    <row r="33" spans="9:12" x14ac:dyDescent="0.35">
      <c r="I33" s="8" t="s">
        <v>352</v>
      </c>
      <c r="J33" s="2">
        <v>4865.37</v>
      </c>
      <c r="K33" s="3">
        <v>0</v>
      </c>
    </row>
    <row r="34" spans="9:12" x14ac:dyDescent="0.35">
      <c r="I34" s="8" t="s">
        <v>364</v>
      </c>
      <c r="J34" s="2">
        <v>10791054.540000001</v>
      </c>
      <c r="K34" s="3">
        <v>548673.64100000006</v>
      </c>
    </row>
    <row r="35" spans="9:12" x14ac:dyDescent="0.35">
      <c r="I35" s="8" t="s">
        <v>363</v>
      </c>
      <c r="J35" s="2">
        <v>11293153.84</v>
      </c>
      <c r="K35" s="3">
        <v>481810.42099999991</v>
      </c>
      <c r="L35" s="18"/>
    </row>
    <row r="36" spans="9:12" x14ac:dyDescent="0.35">
      <c r="I36" s="8" t="s">
        <v>362</v>
      </c>
      <c r="J36" s="2">
        <v>16053087.780000001</v>
      </c>
      <c r="K36" s="3">
        <v>562498.76399999997</v>
      </c>
      <c r="L36" s="18"/>
    </row>
    <row r="37" spans="9:12" x14ac:dyDescent="0.35">
      <c r="I37" s="8" t="s">
        <v>361</v>
      </c>
      <c r="J37" s="2">
        <v>5481861.6299999999</v>
      </c>
      <c r="K37" s="3">
        <v>211127.91399999996</v>
      </c>
    </row>
    <row r="38" spans="9:12" x14ac:dyDescent="0.35">
      <c r="I38" s="8" t="s">
        <v>359</v>
      </c>
      <c r="J38" s="2">
        <v>67755.11</v>
      </c>
      <c r="K38" s="3">
        <v>814.39</v>
      </c>
    </row>
    <row r="39" spans="9:12" x14ac:dyDescent="0.35">
      <c r="I39" s="8" t="s">
        <v>367</v>
      </c>
      <c r="J39" s="2">
        <v>641218.75</v>
      </c>
      <c r="K39" s="3">
        <v>39842</v>
      </c>
    </row>
    <row r="40" spans="9:12" x14ac:dyDescent="0.35">
      <c r="I40" s="8" t="s">
        <v>354</v>
      </c>
      <c r="J40" s="2">
        <v>2466.08</v>
      </c>
      <c r="K40" s="3">
        <v>0</v>
      </c>
    </row>
    <row r="41" spans="9:12" x14ac:dyDescent="0.35">
      <c r="I41" s="8" t="s">
        <v>366</v>
      </c>
      <c r="J41" s="2">
        <v>3820250</v>
      </c>
      <c r="K41" s="3">
        <v>16223.89</v>
      </c>
    </row>
    <row r="42" spans="9:12" x14ac:dyDescent="0.35">
      <c r="I42" s="8" t="s">
        <v>365</v>
      </c>
      <c r="J42" s="2">
        <v>12048417.530000001</v>
      </c>
      <c r="K42" s="3">
        <v>491482.97900000005</v>
      </c>
    </row>
    <row r="43" spans="9:12" x14ac:dyDescent="0.35">
      <c r="I43" s="8" t="s">
        <v>83</v>
      </c>
      <c r="J43" s="2">
        <v>60354209.810000002</v>
      </c>
      <c r="K43" s="3">
        <v>2358138.8689999999</v>
      </c>
    </row>
    <row r="44" spans="9:12" x14ac:dyDescent="0.35">
      <c r="I44"/>
      <c r="J44"/>
      <c r="K44"/>
    </row>
    <row r="45" spans="9:12" x14ac:dyDescent="0.35">
      <c r="I45"/>
      <c r="J45"/>
      <c r="K45"/>
    </row>
    <row r="46" spans="9:12" x14ac:dyDescent="0.35">
      <c r="I46"/>
      <c r="J46"/>
      <c r="K46"/>
    </row>
    <row r="47" spans="9:12" x14ac:dyDescent="0.35">
      <c r="I47"/>
      <c r="J47"/>
      <c r="K47"/>
    </row>
    <row r="48" spans="9:12" x14ac:dyDescent="0.35">
      <c r="I48"/>
      <c r="J48"/>
      <c r="K48"/>
    </row>
    <row r="49" spans="9:11" x14ac:dyDescent="0.35">
      <c r="I49"/>
      <c r="J49"/>
      <c r="K49"/>
    </row>
    <row r="50" spans="9:11" x14ac:dyDescent="0.35">
      <c r="I50"/>
      <c r="J50"/>
      <c r="K50"/>
    </row>
    <row r="51" spans="9:11" x14ac:dyDescent="0.35">
      <c r="I51"/>
      <c r="J51"/>
      <c r="K51"/>
    </row>
    <row r="52" spans="9:11" x14ac:dyDescent="0.35">
      <c r="I52"/>
      <c r="J52"/>
      <c r="K52"/>
    </row>
    <row r="53" spans="9:11" x14ac:dyDescent="0.35">
      <c r="I53"/>
      <c r="J53"/>
      <c r="K53"/>
    </row>
    <row r="54" spans="9:11" x14ac:dyDescent="0.35">
      <c r="I54"/>
      <c r="J54"/>
      <c r="K54"/>
    </row>
    <row r="55" spans="9:11" x14ac:dyDescent="0.35">
      <c r="I55"/>
      <c r="J55"/>
      <c r="K55"/>
    </row>
    <row r="56" spans="9:11" x14ac:dyDescent="0.35">
      <c r="I56"/>
      <c r="J56"/>
      <c r="K56"/>
    </row>
    <row r="57" spans="9:11" x14ac:dyDescent="0.35">
      <c r="I57"/>
      <c r="J57"/>
      <c r="K57"/>
    </row>
    <row r="58" spans="9:11" x14ac:dyDescent="0.35">
      <c r="I58"/>
      <c r="J58"/>
      <c r="K58"/>
    </row>
    <row r="59" spans="9:11" x14ac:dyDescent="0.35">
      <c r="I59"/>
      <c r="J59"/>
      <c r="K59"/>
    </row>
    <row r="60" spans="9:11" x14ac:dyDescent="0.35">
      <c r="I60"/>
      <c r="J60"/>
      <c r="K60"/>
    </row>
    <row r="61" spans="9:11" x14ac:dyDescent="0.35">
      <c r="I61"/>
      <c r="J61"/>
      <c r="K61"/>
    </row>
    <row r="62" spans="9:11" x14ac:dyDescent="0.35">
      <c r="I62"/>
      <c r="J62"/>
      <c r="K62"/>
    </row>
    <row r="63" spans="9:11" x14ac:dyDescent="0.35">
      <c r="I63"/>
      <c r="J63"/>
      <c r="K63"/>
    </row>
    <row r="64" spans="9:11" x14ac:dyDescent="0.35">
      <c r="I64"/>
      <c r="J64"/>
      <c r="K64"/>
    </row>
    <row r="65" spans="9:13" x14ac:dyDescent="0.35">
      <c r="I65"/>
      <c r="J65"/>
      <c r="K65"/>
    </row>
    <row r="66" spans="9:13" x14ac:dyDescent="0.35">
      <c r="I66"/>
      <c r="J66"/>
      <c r="K66"/>
    </row>
    <row r="67" spans="9:13" x14ac:dyDescent="0.35">
      <c r="I67"/>
      <c r="J67"/>
      <c r="K67"/>
      <c r="L67"/>
      <c r="M67"/>
    </row>
    <row r="68" spans="9:13" x14ac:dyDescent="0.35">
      <c r="I68"/>
      <c r="J68"/>
      <c r="K68"/>
      <c r="L68"/>
      <c r="M68"/>
    </row>
    <row r="69" spans="9:13" x14ac:dyDescent="0.35">
      <c r="I69"/>
      <c r="J69"/>
      <c r="K69"/>
      <c r="L69"/>
      <c r="M69"/>
    </row>
    <row r="70" spans="9:13" x14ac:dyDescent="0.35">
      <c r="I70"/>
      <c r="J70"/>
      <c r="K70"/>
      <c r="L70"/>
      <c r="M70"/>
    </row>
    <row r="71" spans="9:13" x14ac:dyDescent="0.35">
      <c r="I71"/>
      <c r="J71"/>
      <c r="K71"/>
      <c r="L71"/>
      <c r="M71"/>
    </row>
    <row r="72" spans="9:13" x14ac:dyDescent="0.35">
      <c r="I72"/>
      <c r="J72"/>
      <c r="K72"/>
      <c r="L72"/>
      <c r="M72"/>
    </row>
    <row r="73" spans="9:13" x14ac:dyDescent="0.35">
      <c r="I73"/>
      <c r="J73"/>
      <c r="K73"/>
      <c r="L73"/>
      <c r="M73"/>
    </row>
    <row r="74" spans="9:13" x14ac:dyDescent="0.35">
      <c r="I74"/>
      <c r="J74"/>
      <c r="K74"/>
      <c r="L74"/>
      <c r="M74"/>
    </row>
    <row r="75" spans="9:13" x14ac:dyDescent="0.35">
      <c r="I75"/>
      <c r="J75"/>
      <c r="K75"/>
      <c r="L75"/>
      <c r="M75"/>
    </row>
    <row r="76" spans="9:13" x14ac:dyDescent="0.35">
      <c r="I76"/>
      <c r="J76"/>
      <c r="K76"/>
      <c r="L76"/>
      <c r="M76"/>
    </row>
    <row r="77" spans="9:13" x14ac:dyDescent="0.35">
      <c r="I77"/>
      <c r="J77"/>
      <c r="K77"/>
      <c r="L77"/>
      <c r="M77"/>
    </row>
    <row r="78" spans="9:13" x14ac:dyDescent="0.35">
      <c r="I78"/>
      <c r="J78"/>
      <c r="K78"/>
      <c r="L78"/>
      <c r="M78"/>
    </row>
    <row r="79" spans="9:13" x14ac:dyDescent="0.35">
      <c r="I79"/>
      <c r="J79"/>
      <c r="K79"/>
      <c r="L79"/>
      <c r="M79"/>
    </row>
    <row r="80" spans="9:13" x14ac:dyDescent="0.35">
      <c r="I80"/>
      <c r="J80"/>
      <c r="K80"/>
      <c r="L80"/>
      <c r="M80"/>
    </row>
    <row r="81" spans="9:13" x14ac:dyDescent="0.35">
      <c r="I81"/>
      <c r="J81"/>
      <c r="K81"/>
      <c r="L81"/>
      <c r="M81"/>
    </row>
    <row r="82" spans="9:13" x14ac:dyDescent="0.35">
      <c r="I82"/>
      <c r="J82"/>
      <c r="K82"/>
      <c r="L82"/>
      <c r="M82"/>
    </row>
    <row r="83" spans="9:13" x14ac:dyDescent="0.35">
      <c r="I83"/>
      <c r="J83"/>
      <c r="K83"/>
      <c r="L83"/>
      <c r="M83"/>
    </row>
    <row r="84" spans="9:13" x14ac:dyDescent="0.35">
      <c r="I84"/>
      <c r="J84"/>
      <c r="K84"/>
      <c r="L84"/>
      <c r="M84"/>
    </row>
    <row r="85" spans="9:13" x14ac:dyDescent="0.35">
      <c r="K85"/>
      <c r="L85"/>
      <c r="M85"/>
    </row>
    <row r="86" spans="9:13" x14ac:dyDescent="0.35">
      <c r="K86"/>
      <c r="L86"/>
      <c r="M86"/>
    </row>
    <row r="87" spans="9:13" x14ac:dyDescent="0.35">
      <c r="K87"/>
      <c r="L87"/>
      <c r="M87"/>
    </row>
    <row r="88" spans="9:13" x14ac:dyDescent="0.35">
      <c r="K88"/>
      <c r="L88"/>
      <c r="M88"/>
    </row>
    <row r="89" spans="9:13" x14ac:dyDescent="0.35">
      <c r="K89"/>
      <c r="L89"/>
      <c r="M89"/>
    </row>
    <row r="90" spans="9:13" x14ac:dyDescent="0.35">
      <c r="K90"/>
      <c r="L90"/>
      <c r="M90"/>
    </row>
    <row r="91" spans="9:13" x14ac:dyDescent="0.35">
      <c r="K91"/>
      <c r="L91"/>
      <c r="M91"/>
    </row>
    <row r="92" spans="9:13" x14ac:dyDescent="0.35">
      <c r="K92"/>
      <c r="L92"/>
      <c r="M92"/>
    </row>
    <row r="93" spans="9:13" x14ac:dyDescent="0.35">
      <c r="K93"/>
      <c r="L93"/>
      <c r="M93"/>
    </row>
    <row r="94" spans="9:13" x14ac:dyDescent="0.35">
      <c r="K94"/>
      <c r="L94"/>
      <c r="M94"/>
    </row>
    <row r="95" spans="9:13" x14ac:dyDescent="0.35">
      <c r="K95"/>
      <c r="L95"/>
      <c r="M95"/>
    </row>
    <row r="96" spans="9:13" x14ac:dyDescent="0.35">
      <c r="K96"/>
      <c r="L96"/>
      <c r="M96"/>
    </row>
    <row r="97" spans="11:13" x14ac:dyDescent="0.35">
      <c r="K97"/>
      <c r="L97"/>
      <c r="M97"/>
    </row>
    <row r="98" spans="11:13" x14ac:dyDescent="0.35">
      <c r="K98"/>
      <c r="L98"/>
      <c r="M98"/>
    </row>
    <row r="99" spans="11:13" x14ac:dyDescent="0.35">
      <c r="K99"/>
      <c r="L99"/>
      <c r="M99"/>
    </row>
    <row r="100" spans="11:13" x14ac:dyDescent="0.35">
      <c r="K100"/>
      <c r="L100"/>
      <c r="M100"/>
    </row>
    <row r="101" spans="11:13" x14ac:dyDescent="0.35">
      <c r="K101"/>
      <c r="L101"/>
      <c r="M101"/>
    </row>
    <row r="102" spans="11:13" x14ac:dyDescent="0.35">
      <c r="K102"/>
      <c r="L102"/>
      <c r="M102"/>
    </row>
    <row r="103" spans="11:13" x14ac:dyDescent="0.35">
      <c r="K103"/>
      <c r="L103"/>
      <c r="M103"/>
    </row>
    <row r="104" spans="11:13" x14ac:dyDescent="0.35">
      <c r="K104"/>
      <c r="L104"/>
      <c r="M104"/>
    </row>
    <row r="105" spans="11:13" x14ac:dyDescent="0.35">
      <c r="K105"/>
      <c r="L105"/>
      <c r="M105"/>
    </row>
    <row r="106" spans="11:13" x14ac:dyDescent="0.35">
      <c r="K106"/>
      <c r="L106"/>
      <c r="M106"/>
    </row>
    <row r="107" spans="11:13" x14ac:dyDescent="0.35">
      <c r="K107"/>
      <c r="L107"/>
      <c r="M107"/>
    </row>
    <row r="108" spans="11:13" x14ac:dyDescent="0.35">
      <c r="K108"/>
      <c r="L108"/>
      <c r="M108"/>
    </row>
    <row r="109" spans="11:13" x14ac:dyDescent="0.35">
      <c r="K109"/>
      <c r="L109"/>
      <c r="M109"/>
    </row>
    <row r="110" spans="11:13" x14ac:dyDescent="0.35">
      <c r="K110"/>
      <c r="L110"/>
      <c r="M110"/>
    </row>
    <row r="111" spans="11:13" x14ac:dyDescent="0.35">
      <c r="K111"/>
      <c r="L111"/>
      <c r="M111"/>
    </row>
    <row r="112" spans="11:13" x14ac:dyDescent="0.35">
      <c r="K112"/>
      <c r="L112"/>
      <c r="M112"/>
    </row>
    <row r="113" spans="11:13" x14ac:dyDescent="0.35">
      <c r="K113"/>
      <c r="L113"/>
      <c r="M113"/>
    </row>
    <row r="114" spans="11:13" x14ac:dyDescent="0.35">
      <c r="K114"/>
      <c r="L114"/>
      <c r="M114"/>
    </row>
    <row r="115" spans="11:13" x14ac:dyDescent="0.35">
      <c r="K115"/>
      <c r="L115"/>
      <c r="M115"/>
    </row>
    <row r="116" spans="11:13" x14ac:dyDescent="0.35">
      <c r="K116"/>
      <c r="L116"/>
      <c r="M116"/>
    </row>
    <row r="117" spans="11:13" x14ac:dyDescent="0.35">
      <c r="K117"/>
      <c r="L117"/>
      <c r="M117"/>
    </row>
    <row r="118" spans="11:13" x14ac:dyDescent="0.35">
      <c r="K118"/>
      <c r="L118"/>
      <c r="M118"/>
    </row>
    <row r="119" spans="11:13" x14ac:dyDescent="0.35">
      <c r="K119"/>
      <c r="L119"/>
      <c r="M119"/>
    </row>
    <row r="120" spans="11:13" x14ac:dyDescent="0.35">
      <c r="K120"/>
      <c r="L120"/>
      <c r="M120"/>
    </row>
  </sheetData>
  <protectedRanges>
    <protectedRange algorithmName="SHA-512" hashValue="qdtv/TDXtsMvpZTD46CUiylflvlJqOafLYfMK28QkTCY6UjfnJ/NNIPCQhBC2EXLjwMcdT3Lbyjj/LrMZ0Dj2g==" saltValue="3+2tHwc1s9OUC+bgJNm7uw==" spinCount="100000" sqref="A2:A25" name="Alex colunas fixas"/>
  </protectedRanges>
  <conditionalFormatting pivot="1" sqref="K32:K43">
    <cfRule type="cellIs" dxfId="49" priority="2" operator="greaterThan">
      <formula>375000</formula>
    </cfRule>
  </conditionalFormatting>
  <conditionalFormatting pivot="1" sqref="K32:K43">
    <cfRule type="cellIs" dxfId="48" priority="1" operator="between">
      <formula>0</formula>
      <formula>374999</formula>
    </cfRule>
  </conditionalFormatting>
  <pageMargins left="0.511811024" right="0.511811024" top="0.78740157499999996" bottom="0.78740157499999996" header="0.31496062000000002" footer="0.31496062000000002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3EC98B62-3C13-44F9-999C-49B6EBDF5D8C}">
            <xm:f>NOT(ISERROR(SEARCH($A$4,I32)))</xm:f>
            <xm:f>$A$4</xm:f>
            <x14:dxf>
              <font>
                <b/>
                <i val="0"/>
              </font>
              <fill>
                <patternFill patternType="darkUp">
                  <fgColor theme="5" tint="0.79998168889431442"/>
                  <bgColor auto="1"/>
                </patternFill>
              </fill>
              <border>
                <top style="dashed">
                  <color rgb="FFC00000"/>
                </top>
                <bottom style="dashed">
                  <color rgb="FFC00000"/>
                </bottom>
                <vertical/>
                <horizontal/>
              </border>
            </x14:dxf>
          </x14:cfRule>
          <xm:sqref>I32:I50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B6B9C-9779-4CAF-A63D-9E5AE5FBDC12}">
  <sheetPr codeName="Plan7">
    <tabColor theme="4" tint="0.59999389629810485"/>
  </sheetPr>
  <dimension ref="A1:M120"/>
  <sheetViews>
    <sheetView showGridLines="0" topLeftCell="A13" zoomScale="70" zoomScaleNormal="70" workbookViewId="0">
      <selection activeCell="J29" sqref="J29"/>
    </sheetView>
  </sheetViews>
  <sheetFormatPr defaultColWidth="9.1796875" defaultRowHeight="14.5" x14ac:dyDescent="0.35"/>
  <cols>
    <col min="1" max="1" width="13.1796875" style="12" customWidth="1"/>
    <col min="2" max="2" width="17.1796875" style="12" bestFit="1" customWidth="1"/>
    <col min="3" max="3" width="20.81640625" style="20" bestFit="1" customWidth="1"/>
    <col min="4" max="4" width="18.7265625" style="12" bestFit="1" customWidth="1"/>
    <col min="5" max="5" width="18.7265625" style="12" hidden="1" customWidth="1"/>
    <col min="6" max="6" width="18.7265625" style="12" customWidth="1"/>
    <col min="7" max="7" width="34.26953125" style="12" bestFit="1" customWidth="1"/>
    <col min="8" max="8" width="33.1796875" style="12" customWidth="1"/>
    <col min="9" max="9" width="19.7265625" style="12" bestFit="1" customWidth="1"/>
    <col min="10" max="10" width="16.453125" style="12" bestFit="1" customWidth="1"/>
    <col min="11" max="11" width="19.6328125" style="12" bestFit="1" customWidth="1"/>
    <col min="12" max="12" width="18.54296875" style="12" bestFit="1" customWidth="1"/>
    <col min="13" max="13" width="20.54296875" style="12" bestFit="1" customWidth="1"/>
    <col min="14" max="16384" width="9.1796875" style="12"/>
  </cols>
  <sheetData>
    <row r="1" spans="1:7" x14ac:dyDescent="0.35">
      <c r="A1" s="12" t="s">
        <v>117</v>
      </c>
      <c r="B1" s="12" t="s">
        <v>120</v>
      </c>
      <c r="C1" s="20" t="s">
        <v>118</v>
      </c>
      <c r="D1" s="12" t="s">
        <v>119</v>
      </c>
      <c r="E1" s="12" t="s">
        <v>178</v>
      </c>
      <c r="F1" s="12" t="s">
        <v>183</v>
      </c>
      <c r="G1" s="12" t="s">
        <v>369</v>
      </c>
    </row>
    <row r="2" spans="1:7" x14ac:dyDescent="0.35">
      <c r="A2" s="13">
        <v>44197</v>
      </c>
      <c r="B2" s="19" t="s">
        <v>345</v>
      </c>
      <c r="C2" s="21">
        <v>0</v>
      </c>
      <c r="D2" s="14">
        <f>IFERROR(GETPIVOTDATA("Soma de Peso bruto",$I$31,"Semana",Tabela3345[[#This Row],[Semana]]),0)-Tabela3345[[#This Row],[Atrasado]]</f>
        <v>0</v>
      </c>
      <c r="E2" s="15">
        <v>0</v>
      </c>
      <c r="F2" s="16">
        <v>0</v>
      </c>
      <c r="G2" s="16">
        <f t="shared" ref="G2:G3" si="0">C2-F2</f>
        <v>0</v>
      </c>
    </row>
    <row r="3" spans="1:7" x14ac:dyDescent="0.35">
      <c r="A3" s="13">
        <v>44200</v>
      </c>
      <c r="B3" s="19" t="s">
        <v>346</v>
      </c>
      <c r="C3" s="22">
        <v>0</v>
      </c>
      <c r="D3" s="17">
        <f>IFERROR(GETPIVOTDATA("Soma de Peso bruto",$I$31,"Semana",Tabela3345[[#This Row],[Semana]]),0)-Tabela3345[[#This Row],[Atrasado]]</f>
        <v>0</v>
      </c>
      <c r="E3" s="17">
        <v>0</v>
      </c>
      <c r="F3" s="16">
        <v>0</v>
      </c>
      <c r="G3" s="16">
        <f t="shared" si="0"/>
        <v>0</v>
      </c>
    </row>
    <row r="4" spans="1:7" x14ac:dyDescent="0.35">
      <c r="A4" s="13">
        <v>44207</v>
      </c>
      <c r="B4" s="19" t="s">
        <v>347</v>
      </c>
      <c r="C4" s="22">
        <v>0</v>
      </c>
      <c r="D4" s="17">
        <f>IFERROR(GETPIVOTDATA("Soma de Peso bruto",$I$31,"Semana",Tabela3345[[#This Row],[Semana]]),0)-Tabela3345[[#This Row],[Atrasado]]</f>
        <v>0</v>
      </c>
      <c r="E4" s="17">
        <v>0</v>
      </c>
      <c r="F4" s="16">
        <v>0</v>
      </c>
      <c r="G4" s="16">
        <f>C4-F4</f>
        <v>0</v>
      </c>
    </row>
    <row r="5" spans="1:7" x14ac:dyDescent="0.35">
      <c r="A5" s="13">
        <v>44214</v>
      </c>
      <c r="B5" s="19" t="s">
        <v>348</v>
      </c>
      <c r="C5" s="22">
        <v>0</v>
      </c>
      <c r="D5" s="17">
        <f>IFERROR(GETPIVOTDATA("Soma de Peso bruto",$I$31,"Semana",Tabela3345[[#This Row],[Semana]]),0)-Tabela3345[[#This Row],[Atrasado]]</f>
        <v>0</v>
      </c>
      <c r="E5" s="17">
        <v>0</v>
      </c>
      <c r="F5" s="16">
        <v>0</v>
      </c>
      <c r="G5" s="16">
        <f t="shared" ref="G5:G25" si="1">C5-F5</f>
        <v>0</v>
      </c>
    </row>
    <row r="6" spans="1:7" x14ac:dyDescent="0.35">
      <c r="A6" s="13">
        <v>44221</v>
      </c>
      <c r="B6" s="19" t="s">
        <v>349</v>
      </c>
      <c r="C6" s="22">
        <v>0</v>
      </c>
      <c r="D6" s="17">
        <f>IFERROR(GETPIVOTDATA("Soma de Peso bruto",$I$31,"Semana",Tabela3345[[#This Row],[Semana]]),0)-Tabela3345[[#This Row],[Atrasado]]</f>
        <v>0</v>
      </c>
      <c r="E6" s="17">
        <v>0</v>
      </c>
      <c r="F6" s="16">
        <v>0</v>
      </c>
      <c r="G6" s="16">
        <f t="shared" si="1"/>
        <v>0</v>
      </c>
    </row>
    <row r="7" spans="1:7" x14ac:dyDescent="0.35">
      <c r="A7" s="13">
        <v>44228</v>
      </c>
      <c r="B7" s="19" t="s">
        <v>350</v>
      </c>
      <c r="C7" s="22">
        <v>0</v>
      </c>
      <c r="D7" s="17">
        <f>IFERROR(GETPIVOTDATA("Soma de Peso bruto",$I$31,"Semana",Tabela3345[[#This Row],[Semana]]),0)-Tabela3345[[#This Row],[Atrasado]]</f>
        <v>0</v>
      </c>
      <c r="E7" s="17">
        <v>0</v>
      </c>
      <c r="F7" s="16">
        <v>0</v>
      </c>
      <c r="G7" s="16">
        <f t="shared" si="1"/>
        <v>0</v>
      </c>
    </row>
    <row r="8" spans="1:7" x14ac:dyDescent="0.35">
      <c r="A8" s="13">
        <v>44235</v>
      </c>
      <c r="B8" s="19" t="s">
        <v>351</v>
      </c>
      <c r="C8" s="22">
        <v>0</v>
      </c>
      <c r="D8" s="17">
        <f>IFERROR(GETPIVOTDATA("Soma de Peso bruto",$I$31,"Semana",Tabela3345[[#This Row],[Semana]]),0)-Tabela3345[[#This Row],[Atrasado]]</f>
        <v>0</v>
      </c>
      <c r="E8" s="17">
        <v>0</v>
      </c>
      <c r="F8" s="16">
        <v>0</v>
      </c>
      <c r="G8" s="16">
        <f t="shared" si="1"/>
        <v>0</v>
      </c>
    </row>
    <row r="9" spans="1:7" x14ac:dyDescent="0.35">
      <c r="A9" s="13">
        <v>44242</v>
      </c>
      <c r="B9" s="19" t="s">
        <v>352</v>
      </c>
      <c r="C9" s="22">
        <v>0</v>
      </c>
      <c r="D9" s="17">
        <f>IFERROR(GETPIVOTDATA("Soma de Peso bruto",$I$31,"Semana",Tabela3345[[#This Row],[Semana]]),0)-Tabela3345[[#This Row],[Atrasado]]</f>
        <v>0</v>
      </c>
      <c r="E9" s="17">
        <v>0</v>
      </c>
      <c r="F9" s="16">
        <f>IF(SUM($F$2:F8)&gt;$D$27,0,IF(SUM($F$2:F8)+C9&gt;$D$27,$D$27-SUM($F$2:F8),VALUE(C9)))</f>
        <v>0</v>
      </c>
      <c r="G9" s="16">
        <f t="shared" si="1"/>
        <v>0</v>
      </c>
    </row>
    <row r="10" spans="1:7" x14ac:dyDescent="0.35">
      <c r="A10" s="13">
        <v>44249</v>
      </c>
      <c r="B10" s="19" t="s">
        <v>353</v>
      </c>
      <c r="C10" s="22">
        <v>0</v>
      </c>
      <c r="D10" s="17">
        <f>IFERROR(GETPIVOTDATA("Soma de Peso bruto",$I$31,"Semana",Tabela3345[[#This Row],[Semana]]),0)-Tabela3345[[#This Row],[Atrasado]]</f>
        <v>0</v>
      </c>
      <c r="E10" s="17">
        <v>0</v>
      </c>
      <c r="F10" s="16">
        <f>IF(SUM($F$2:F9)&gt;$D$27,0,IF(SUM($F$2:F9)+C10&gt;$D$27,$D$27-SUM($F$2:F9),VALUE(C10)))</f>
        <v>0</v>
      </c>
      <c r="G10" s="16">
        <f t="shared" si="1"/>
        <v>0</v>
      </c>
    </row>
    <row r="11" spans="1:7" x14ac:dyDescent="0.35">
      <c r="A11" s="13">
        <v>44256</v>
      </c>
      <c r="B11" s="19" t="s">
        <v>354</v>
      </c>
      <c r="C11" s="22">
        <f>TOTAL!C11*TOTAL!$K$33</f>
        <v>0</v>
      </c>
      <c r="D11" s="17">
        <f>IFERROR(GETPIVOTDATA("Soma de Peso bruto",$I$31,"Semana",Tabela3345[[#This Row],[Semana]]),0)-Tabela3345[[#This Row],[Atrasado]]</f>
        <v>0</v>
      </c>
      <c r="E11" s="17">
        <v>0</v>
      </c>
      <c r="F11" s="16">
        <v>0</v>
      </c>
      <c r="G11" s="16">
        <f t="shared" si="1"/>
        <v>0</v>
      </c>
    </row>
    <row r="12" spans="1:7" x14ac:dyDescent="0.35">
      <c r="A12" s="13">
        <v>44263</v>
      </c>
      <c r="B12" s="19" t="s">
        <v>355</v>
      </c>
      <c r="C12" s="22">
        <f>TOTAL!C12*TOTAL!$K$33</f>
        <v>0</v>
      </c>
      <c r="D12" s="17">
        <f>IFERROR(GETPIVOTDATA("Soma de Peso bruto",$I$31,"Semana",Tabela3345[[#This Row],[Semana]]),0)-Tabela3345[[#This Row],[Atrasado]]</f>
        <v>0</v>
      </c>
      <c r="E12" s="17">
        <v>0</v>
      </c>
      <c r="F12" s="16">
        <f>IF(SUM($F$2:F11)&gt;$D$27,0,IF(SUM($F$2:F11)+C12&gt;$D$27,$D$27-SUM($F$2:F11),VALUE(C12)))</f>
        <v>0</v>
      </c>
      <c r="G12" s="16">
        <f t="shared" si="1"/>
        <v>0</v>
      </c>
    </row>
    <row r="13" spans="1:7" x14ac:dyDescent="0.35">
      <c r="A13" s="13">
        <v>44270</v>
      </c>
      <c r="B13" s="19" t="s">
        <v>356</v>
      </c>
      <c r="C13" s="22">
        <f>TOTAL!C13*TOTAL!$K$32</f>
        <v>0</v>
      </c>
      <c r="D13" s="17">
        <f>IFERROR(GETPIVOTDATA("Soma de Peso bruto",$I$31,"Semana",Tabela3345[[#This Row],[Semana]]),0)-Tabela3345[[#This Row],[Atrasado]]</f>
        <v>0</v>
      </c>
      <c r="E13" s="17">
        <v>0</v>
      </c>
      <c r="F13" s="16">
        <f>IF(SUM($F$2:F12)&gt;$D$27,0,IF(SUM($F$2:F12)+C13&gt;$D$27,$D$27-SUM($F$2:F12),VALUE(C13)))</f>
        <v>0</v>
      </c>
      <c r="G13" s="16">
        <f t="shared" si="1"/>
        <v>0</v>
      </c>
    </row>
    <row r="14" spans="1:7" x14ac:dyDescent="0.35">
      <c r="A14" s="13">
        <v>44277</v>
      </c>
      <c r="B14" s="19" t="s">
        <v>357</v>
      </c>
      <c r="C14" s="22">
        <f>TOTAL!C14*TOTAL!$K$32</f>
        <v>0</v>
      </c>
      <c r="D14" s="17">
        <f>IFERROR(GETPIVOTDATA("Soma de Peso bruto",$I$31,"Semana",Tabela3345[[#This Row],[Semana]]),0)-Tabela3345[[#This Row],[Atrasado]]</f>
        <v>0</v>
      </c>
      <c r="E14" s="17">
        <v>0</v>
      </c>
      <c r="F14" s="16">
        <f>IF(SUM($F$2:F13)&gt;$D$27,0,IF(SUM($F$2:F13)+C14&gt;$D$27,$D$27-SUM($F$2:F13),VALUE(C14)))</f>
        <v>0</v>
      </c>
      <c r="G14" s="16">
        <f t="shared" si="1"/>
        <v>0</v>
      </c>
    </row>
    <row r="15" spans="1:7" x14ac:dyDescent="0.35">
      <c r="A15" s="13">
        <v>44284</v>
      </c>
      <c r="B15" s="19" t="s">
        <v>358</v>
      </c>
      <c r="C15" s="22">
        <f>TOTAL!C15*TOTAL!$K$32</f>
        <v>0</v>
      </c>
      <c r="D15" s="17">
        <f>IFERROR(GETPIVOTDATA("Soma de Peso bruto",$I$31,"Semana",Tabela3345[[#This Row],[Semana]]),0)-Tabela3345[[#This Row],[Atrasado]]</f>
        <v>0</v>
      </c>
      <c r="E15" s="17">
        <v>0</v>
      </c>
      <c r="F15" s="16">
        <f>IF(SUM($F$2:F14)&gt;$D$27,0,IF(SUM($F$2:F14)+C15&gt;$D$27,$D$27-SUM($F$2:F14),VALUE(C15)))</f>
        <v>0</v>
      </c>
      <c r="G15" s="16">
        <f t="shared" si="1"/>
        <v>0</v>
      </c>
    </row>
    <row r="16" spans="1:7" x14ac:dyDescent="0.35">
      <c r="A16" s="13">
        <v>44291</v>
      </c>
      <c r="B16" s="19" t="s">
        <v>359</v>
      </c>
      <c r="C16" s="22">
        <f>TOTAL!C16*TOTAL!$K$32</f>
        <v>0</v>
      </c>
      <c r="D16" s="17">
        <f>IFERROR(GETPIVOTDATA("Soma de Peso bruto",$I$31,"Semana",Tabela3345[[#This Row],[Semana]]),0)-Tabela3345[[#This Row],[Atrasado]]</f>
        <v>0</v>
      </c>
      <c r="E16" s="17">
        <v>0</v>
      </c>
      <c r="F16" s="16">
        <f>IF(SUM($F$2:F15)&gt;$D$27,0,IF(SUM($F$2:F15)+C16&gt;$D$27,$D$27-SUM($F$2:F15),VALUE(C16)))</f>
        <v>0</v>
      </c>
      <c r="G16" s="16">
        <f t="shared" si="1"/>
        <v>0</v>
      </c>
    </row>
    <row r="17" spans="1:11" x14ac:dyDescent="0.35">
      <c r="A17" s="13">
        <v>44298</v>
      </c>
      <c r="B17" s="19" t="s">
        <v>360</v>
      </c>
      <c r="C17" s="22">
        <f>TOTAL!C17*TOTAL!$K$32</f>
        <v>0</v>
      </c>
      <c r="D17" s="17">
        <f>IFERROR(GETPIVOTDATA("Soma de Peso bruto",$I$31,"Semana",Tabela3345[[#This Row],[Semana]]),0)-Tabela3345[[#This Row],[Atrasado]]</f>
        <v>155.02000000000001</v>
      </c>
      <c r="E17" s="17">
        <v>0</v>
      </c>
      <c r="F17" s="16">
        <f>IF(SUM($F$2:F16)&gt;$D$27,0,IF(SUM($F$2:F16)+C17&gt;$D$27,$D$27-SUM($F$2:F16),VALUE(C17)))</f>
        <v>0</v>
      </c>
      <c r="G17" s="16">
        <f t="shared" si="1"/>
        <v>0</v>
      </c>
    </row>
    <row r="18" spans="1:11" x14ac:dyDescent="0.35">
      <c r="A18" s="13">
        <v>44305</v>
      </c>
      <c r="B18" s="19" t="s">
        <v>361</v>
      </c>
      <c r="C18" s="22">
        <f>TOTAL!C18*TOTAL!$K$32</f>
        <v>0</v>
      </c>
      <c r="D18" s="17">
        <f>IFERROR(GETPIVOTDATA("Soma de Peso bruto",$I$31,"Semana",Tabela3345[[#This Row],[Semana]]),0)-Tabela3345[[#This Row],[Atrasado]]</f>
        <v>901.87</v>
      </c>
      <c r="E18" s="17">
        <v>0</v>
      </c>
      <c r="F18" s="16">
        <f>IF(SUM($F$2:F17)&gt;$D$27,0,IF(SUM($F$2:F17)+C18&gt;$D$27,$D$27-SUM($F$2:F17),VALUE(C18)))</f>
        <v>0</v>
      </c>
      <c r="G18" s="16">
        <f t="shared" si="1"/>
        <v>0</v>
      </c>
    </row>
    <row r="19" spans="1:11" x14ac:dyDescent="0.35">
      <c r="A19" s="13">
        <v>44312</v>
      </c>
      <c r="B19" s="19" t="s">
        <v>362</v>
      </c>
      <c r="C19" s="22">
        <f>TOTAL!C19*TOTAL!$K$32</f>
        <v>396640</v>
      </c>
      <c r="D19" s="17">
        <f>IFERROR(GETPIVOTDATA("Soma de Peso bruto",$I$31,"Semana",Tabela3345[[#This Row],[Semana]]),0)-Tabela3345[[#This Row],[Atrasado]]</f>
        <v>36579.749999999993</v>
      </c>
      <c r="E19" s="17">
        <v>0</v>
      </c>
      <c r="F19" s="16">
        <f>IF(SUM($F$2:F18)&gt;$D$27,0,IF(SUM($F$2:F18)+C19&gt;$D$27,$D$27-SUM($F$2:F18),VALUE(C19)))</f>
        <v>396640</v>
      </c>
      <c r="G19" s="16">
        <f t="shared" si="1"/>
        <v>0</v>
      </c>
    </row>
    <row r="20" spans="1:11" x14ac:dyDescent="0.35">
      <c r="A20" s="13">
        <v>44319</v>
      </c>
      <c r="B20" s="19" t="s">
        <v>363</v>
      </c>
      <c r="C20" s="22">
        <f>TOTAL!C20*TOTAL!$K$32</f>
        <v>342560</v>
      </c>
      <c r="D20" s="17">
        <f>IFERROR(GETPIVOTDATA("Soma de Peso bruto",$I$31,"Semana",Tabela3345[[#This Row],[Semana]]),0)-Tabela3345[[#This Row],[Atrasado]]</f>
        <v>248522.47999999995</v>
      </c>
      <c r="E20" s="17">
        <v>0</v>
      </c>
      <c r="F20" s="16">
        <f>IF(SUM($F$2:F19)&gt;$D$27,0,IF(SUM($F$2:F19)+C20&gt;$D$27,$D$27-SUM($F$2:F19),VALUE(C20)))</f>
        <v>342560</v>
      </c>
      <c r="G20" s="16">
        <f t="shared" si="1"/>
        <v>0</v>
      </c>
    </row>
    <row r="21" spans="1:11" x14ac:dyDescent="0.35">
      <c r="A21" s="13">
        <v>44326</v>
      </c>
      <c r="B21" s="19" t="s">
        <v>364</v>
      </c>
      <c r="C21" s="22">
        <f>TOTAL!C21*TOTAL!$K$32</f>
        <v>418560</v>
      </c>
      <c r="D21" s="17">
        <f>IFERROR(GETPIVOTDATA("Soma de Peso bruto",$I$31,"Semana",Tabela3345[[#This Row],[Semana]]),0)-Tabela3345[[#This Row],[Atrasado]]</f>
        <v>604273.13000000012</v>
      </c>
      <c r="E21" s="17">
        <v>0</v>
      </c>
      <c r="F21" s="16">
        <f>IF(SUM($F$2:F20)&gt;$D$27,0,IF(SUM($F$2:F20)+C21&gt;$D$27,$D$27-SUM($F$2:F20),VALUE(C21)))</f>
        <v>209195.53000000003</v>
      </c>
      <c r="G21" s="16">
        <f t="shared" si="1"/>
        <v>209364.46999999997</v>
      </c>
    </row>
    <row r="22" spans="1:11" x14ac:dyDescent="0.35">
      <c r="A22" s="13">
        <v>44333</v>
      </c>
      <c r="B22" s="19" t="s">
        <v>365</v>
      </c>
      <c r="C22" s="22">
        <f>TOTAL!C22*TOTAL!$K$32</f>
        <v>411360</v>
      </c>
      <c r="D22" s="17">
        <f>IFERROR(GETPIVOTDATA("Soma de Peso bruto",$I$31,"Semana",Tabela3345[[#This Row],[Semana]]),0)-Tabela3345[[#This Row],[Atrasado]]</f>
        <v>57963.28</v>
      </c>
      <c r="E22" s="17">
        <v>0</v>
      </c>
      <c r="F22" s="16">
        <f>IF(SUM($F$2:F21)&gt;$D$27,0,IF(SUM($F$2:F21)+C22&gt;$D$27,$D$27-SUM($F$2:F21),VALUE(C22)))</f>
        <v>0</v>
      </c>
      <c r="G22" s="16">
        <f t="shared" si="1"/>
        <v>411360</v>
      </c>
    </row>
    <row r="23" spans="1:11" x14ac:dyDescent="0.35">
      <c r="A23" s="13">
        <v>44340</v>
      </c>
      <c r="B23" s="19" t="s">
        <v>366</v>
      </c>
      <c r="C23" s="22">
        <f>TOTAL!C23*TOTAL!$K$32</f>
        <v>390560</v>
      </c>
      <c r="D23" s="17">
        <f>IFERROR(GETPIVOTDATA("Soma de Peso bruto",$I$31,"Semana",Tabela3345[[#This Row],[Semana]]),0)-Tabela3345[[#This Row],[Atrasado]]</f>
        <v>0</v>
      </c>
      <c r="E23" s="17">
        <v>0</v>
      </c>
      <c r="F23" s="16">
        <f>IF(SUM($F$2:F22)&gt;$D$27,0,IF(SUM($F$2:F22)+C23&gt;$D$27,$D$27-SUM($F$2:F22),VALUE(C23)))</f>
        <v>0</v>
      </c>
      <c r="G23" s="16">
        <f t="shared" si="1"/>
        <v>390560</v>
      </c>
    </row>
    <row r="24" spans="1:11" x14ac:dyDescent="0.35">
      <c r="A24" s="13">
        <v>44347</v>
      </c>
      <c r="B24" s="19" t="s">
        <v>367</v>
      </c>
      <c r="C24" s="22">
        <f>TOTAL!C24*TOTAL!$K$32</f>
        <v>411360</v>
      </c>
      <c r="D24" s="17">
        <f>IFERROR(GETPIVOTDATA("Soma de Peso bruto",$I$31,"Semana",Tabela3345[[#This Row],[Semana]]),0)-Tabela3345[[#This Row],[Atrasado]]</f>
        <v>0</v>
      </c>
      <c r="E24" s="17">
        <v>0</v>
      </c>
      <c r="F24" s="16">
        <f>IF(SUM($F$2:F23)&gt;$D$27,0,IF(SUM($F$2:F23)+C24&gt;$D$27,$D$27-SUM($F$2:F23),VALUE(C24)))</f>
        <v>0</v>
      </c>
      <c r="G24" s="16">
        <f t="shared" si="1"/>
        <v>411360</v>
      </c>
    </row>
    <row r="25" spans="1:11" x14ac:dyDescent="0.35">
      <c r="A25" s="13">
        <v>44354</v>
      </c>
      <c r="B25" s="19" t="s">
        <v>368</v>
      </c>
      <c r="C25" s="22">
        <f>TOTAL!C25*TOTAL!$K$32</f>
        <v>340160</v>
      </c>
      <c r="D25" s="17">
        <f>IFERROR(GETPIVOTDATA("Soma de Peso bruto",$I$31,"Semana",Tabela3345[[#This Row],[Semana]]),0)-Tabela3345[[#This Row],[Atrasado]]</f>
        <v>0</v>
      </c>
      <c r="E25" s="17">
        <v>0</v>
      </c>
      <c r="F25" s="16">
        <f>IF(SUM($F$2:F24)&gt;$D$27,0,IF(SUM($F$2:F24)+C25&gt;$D$27,$D$27-SUM($F$2:F24),VALUE(C25)))</f>
        <v>0</v>
      </c>
      <c r="G25" s="16">
        <f t="shared" si="1"/>
        <v>340160</v>
      </c>
    </row>
    <row r="26" spans="1:11" x14ac:dyDescent="0.35">
      <c r="A26" s="13"/>
      <c r="B26" s="13"/>
      <c r="C26" s="23"/>
      <c r="D26" s="13"/>
      <c r="E26" s="13"/>
      <c r="F26" s="13"/>
      <c r="G26" s="13"/>
      <c r="H26" s="13"/>
      <c r="J26" s="18"/>
    </row>
    <row r="27" spans="1:11" x14ac:dyDescent="0.35">
      <c r="A27" s="13"/>
      <c r="B27" s="13"/>
      <c r="C27" s="24">
        <f>SUBTOTAL(9,Tabela3345[Ton limite])</f>
        <v>2711200</v>
      </c>
      <c r="D27" s="16">
        <f>SUM(Tabela3345[Programado])</f>
        <v>948395.53</v>
      </c>
      <c r="F27" s="16">
        <f>SUBTOTAL(109,Tabela3345[Balizador])</f>
        <v>948395.53</v>
      </c>
      <c r="G27" s="13"/>
      <c r="H27" s="13"/>
      <c r="I27"/>
      <c r="J27"/>
    </row>
    <row r="28" spans="1:11" x14ac:dyDescent="0.35">
      <c r="I28" s="1" t="s">
        <v>2</v>
      </c>
      <c r="J28" t="s">
        <v>123</v>
      </c>
    </row>
    <row r="29" spans="1:11" x14ac:dyDescent="0.35">
      <c r="I29" s="1" t="s">
        <v>85</v>
      </c>
      <c r="J29" t="s">
        <v>92</v>
      </c>
    </row>
    <row r="30" spans="1:11" x14ac:dyDescent="0.35">
      <c r="I30" s="12">
        <v>2</v>
      </c>
    </row>
    <row r="31" spans="1:11" x14ac:dyDescent="0.35">
      <c r="I31" s="1" t="s">
        <v>82</v>
      </c>
      <c r="J31" s="4" t="s">
        <v>98</v>
      </c>
      <c r="K31" s="4" t="s">
        <v>84</v>
      </c>
    </row>
    <row r="32" spans="1:11" x14ac:dyDescent="0.35">
      <c r="I32" s="8" t="s">
        <v>360</v>
      </c>
      <c r="J32" s="2">
        <v>75707.75</v>
      </c>
      <c r="K32" s="3">
        <v>155.02000000000001</v>
      </c>
    </row>
    <row r="33" spans="9:12" x14ac:dyDescent="0.35">
      <c r="I33" s="8" t="s">
        <v>352</v>
      </c>
      <c r="J33" s="2">
        <v>3.0300000000000002</v>
      </c>
      <c r="K33" s="3">
        <v>0</v>
      </c>
    </row>
    <row r="34" spans="9:12" x14ac:dyDescent="0.35">
      <c r="I34" s="8" t="s">
        <v>364</v>
      </c>
      <c r="J34" s="2">
        <v>14197101.480000002</v>
      </c>
      <c r="K34" s="3">
        <v>604273.13000000012</v>
      </c>
    </row>
    <row r="35" spans="9:12" x14ac:dyDescent="0.35">
      <c r="I35" s="8" t="s">
        <v>363</v>
      </c>
      <c r="J35" s="2">
        <v>8400382.0399999991</v>
      </c>
      <c r="K35" s="3">
        <v>248522.47999999995</v>
      </c>
      <c r="L35" s="18"/>
    </row>
    <row r="36" spans="9:12" x14ac:dyDescent="0.35">
      <c r="I36" s="8" t="s">
        <v>362</v>
      </c>
      <c r="J36" s="2">
        <v>2141597.0500000003</v>
      </c>
      <c r="K36" s="3">
        <v>36579.749999999993</v>
      </c>
      <c r="L36" s="18"/>
    </row>
    <row r="37" spans="9:12" x14ac:dyDescent="0.35">
      <c r="I37" s="8" t="s">
        <v>361</v>
      </c>
      <c r="J37" s="2">
        <v>49682.86</v>
      </c>
      <c r="K37" s="3">
        <v>901.87</v>
      </c>
    </row>
    <row r="38" spans="9:12" x14ac:dyDescent="0.35">
      <c r="I38" s="8" t="s">
        <v>359</v>
      </c>
      <c r="J38" s="2">
        <v>12487.06</v>
      </c>
      <c r="K38" s="3">
        <v>0</v>
      </c>
    </row>
    <row r="39" spans="9:12" x14ac:dyDescent="0.35">
      <c r="I39" s="8" t="s">
        <v>365</v>
      </c>
      <c r="J39" s="2">
        <v>1787809.44</v>
      </c>
      <c r="K39" s="3">
        <v>57963.28</v>
      </c>
    </row>
    <row r="40" spans="9:12" x14ac:dyDescent="0.35">
      <c r="I40" s="8" t="s">
        <v>83</v>
      </c>
      <c r="J40" s="2">
        <v>26664770.710000001</v>
      </c>
      <c r="K40" s="3">
        <v>948395.53000000014</v>
      </c>
    </row>
    <row r="41" spans="9:12" x14ac:dyDescent="0.35">
      <c r="I41"/>
      <c r="J41"/>
      <c r="K41"/>
    </row>
    <row r="42" spans="9:12" x14ac:dyDescent="0.35">
      <c r="I42"/>
      <c r="J42"/>
      <c r="K42"/>
    </row>
    <row r="43" spans="9:12" x14ac:dyDescent="0.35">
      <c r="I43"/>
      <c r="J43"/>
      <c r="K43"/>
    </row>
    <row r="44" spans="9:12" x14ac:dyDescent="0.35">
      <c r="I44"/>
      <c r="J44"/>
      <c r="K44"/>
    </row>
    <row r="45" spans="9:12" x14ac:dyDescent="0.35">
      <c r="I45"/>
      <c r="J45"/>
      <c r="K45"/>
    </row>
    <row r="46" spans="9:12" x14ac:dyDescent="0.35">
      <c r="I46"/>
      <c r="J46"/>
      <c r="K46"/>
    </row>
    <row r="47" spans="9:12" x14ac:dyDescent="0.35">
      <c r="I47"/>
      <c r="J47"/>
      <c r="K47"/>
    </row>
    <row r="48" spans="9:12" x14ac:dyDescent="0.35">
      <c r="I48"/>
      <c r="J48"/>
      <c r="K48"/>
    </row>
    <row r="49" spans="9:11" x14ac:dyDescent="0.35">
      <c r="I49"/>
      <c r="J49"/>
      <c r="K49"/>
    </row>
    <row r="50" spans="9:11" x14ac:dyDescent="0.35">
      <c r="I50"/>
      <c r="J50"/>
      <c r="K50"/>
    </row>
    <row r="51" spans="9:11" x14ac:dyDescent="0.35">
      <c r="I51"/>
      <c r="J51"/>
      <c r="K51"/>
    </row>
    <row r="52" spans="9:11" x14ac:dyDescent="0.35">
      <c r="I52"/>
      <c r="J52"/>
      <c r="K52"/>
    </row>
    <row r="53" spans="9:11" x14ac:dyDescent="0.35">
      <c r="I53"/>
      <c r="J53"/>
      <c r="K53"/>
    </row>
    <row r="54" spans="9:11" x14ac:dyDescent="0.35">
      <c r="I54"/>
      <c r="J54"/>
      <c r="K54"/>
    </row>
    <row r="55" spans="9:11" x14ac:dyDescent="0.35">
      <c r="I55"/>
      <c r="J55"/>
      <c r="K55"/>
    </row>
    <row r="56" spans="9:11" x14ac:dyDescent="0.35">
      <c r="I56"/>
      <c r="J56"/>
      <c r="K56"/>
    </row>
    <row r="57" spans="9:11" x14ac:dyDescent="0.35">
      <c r="I57"/>
      <c r="J57"/>
      <c r="K57"/>
    </row>
    <row r="58" spans="9:11" x14ac:dyDescent="0.35">
      <c r="I58"/>
      <c r="J58"/>
      <c r="K58"/>
    </row>
    <row r="59" spans="9:11" x14ac:dyDescent="0.35">
      <c r="I59"/>
      <c r="J59"/>
      <c r="K59"/>
    </row>
    <row r="60" spans="9:11" x14ac:dyDescent="0.35">
      <c r="I60"/>
      <c r="J60"/>
      <c r="K60"/>
    </row>
    <row r="61" spans="9:11" x14ac:dyDescent="0.35">
      <c r="I61"/>
      <c r="J61"/>
      <c r="K61"/>
    </row>
    <row r="62" spans="9:11" x14ac:dyDescent="0.35">
      <c r="I62"/>
      <c r="J62"/>
      <c r="K62"/>
    </row>
    <row r="63" spans="9:11" x14ac:dyDescent="0.35">
      <c r="I63"/>
      <c r="J63"/>
      <c r="K63"/>
    </row>
    <row r="64" spans="9:11" x14ac:dyDescent="0.35">
      <c r="I64"/>
      <c r="J64"/>
      <c r="K64"/>
    </row>
    <row r="65" spans="9:13" x14ac:dyDescent="0.35">
      <c r="I65"/>
      <c r="J65"/>
      <c r="K65"/>
    </row>
    <row r="66" spans="9:13" x14ac:dyDescent="0.35">
      <c r="I66"/>
      <c r="J66"/>
      <c r="K66"/>
    </row>
    <row r="67" spans="9:13" x14ac:dyDescent="0.35">
      <c r="I67"/>
      <c r="J67"/>
      <c r="K67"/>
      <c r="L67"/>
      <c r="M67"/>
    </row>
    <row r="68" spans="9:13" x14ac:dyDescent="0.35">
      <c r="I68"/>
      <c r="J68"/>
      <c r="K68"/>
      <c r="L68"/>
      <c r="M68"/>
    </row>
    <row r="69" spans="9:13" x14ac:dyDescent="0.35">
      <c r="I69"/>
      <c r="J69"/>
      <c r="K69"/>
      <c r="L69"/>
      <c r="M69"/>
    </row>
    <row r="70" spans="9:13" x14ac:dyDescent="0.35">
      <c r="I70"/>
      <c r="J70"/>
      <c r="K70"/>
      <c r="L70"/>
      <c r="M70"/>
    </row>
    <row r="71" spans="9:13" x14ac:dyDescent="0.35">
      <c r="I71"/>
      <c r="J71"/>
      <c r="K71"/>
      <c r="L71"/>
      <c r="M71"/>
    </row>
    <row r="72" spans="9:13" x14ac:dyDescent="0.35">
      <c r="I72"/>
      <c r="J72"/>
      <c r="K72"/>
      <c r="L72"/>
      <c r="M72"/>
    </row>
    <row r="73" spans="9:13" x14ac:dyDescent="0.35">
      <c r="I73"/>
      <c r="J73"/>
      <c r="K73"/>
      <c r="L73"/>
      <c r="M73"/>
    </row>
    <row r="74" spans="9:13" x14ac:dyDescent="0.35">
      <c r="I74"/>
      <c r="J74"/>
      <c r="K74"/>
      <c r="L74"/>
      <c r="M74"/>
    </row>
    <row r="75" spans="9:13" x14ac:dyDescent="0.35">
      <c r="K75"/>
      <c r="L75"/>
      <c r="M75"/>
    </row>
    <row r="76" spans="9:13" x14ac:dyDescent="0.35">
      <c r="K76"/>
      <c r="L76"/>
      <c r="M76"/>
    </row>
    <row r="77" spans="9:13" x14ac:dyDescent="0.35">
      <c r="K77"/>
      <c r="L77"/>
      <c r="M77"/>
    </row>
    <row r="78" spans="9:13" x14ac:dyDescent="0.35">
      <c r="K78"/>
      <c r="L78"/>
      <c r="M78"/>
    </row>
    <row r="79" spans="9:13" x14ac:dyDescent="0.35">
      <c r="K79"/>
      <c r="L79"/>
      <c r="M79"/>
    </row>
    <row r="80" spans="9:13" x14ac:dyDescent="0.35">
      <c r="K80"/>
      <c r="L80"/>
      <c r="M80"/>
    </row>
    <row r="81" spans="11:13" x14ac:dyDescent="0.35">
      <c r="K81"/>
      <c r="L81"/>
      <c r="M81"/>
    </row>
    <row r="82" spans="11:13" x14ac:dyDescent="0.35">
      <c r="K82"/>
      <c r="L82"/>
      <c r="M82"/>
    </row>
    <row r="83" spans="11:13" x14ac:dyDescent="0.35">
      <c r="K83"/>
      <c r="L83"/>
      <c r="M83"/>
    </row>
    <row r="84" spans="11:13" x14ac:dyDescent="0.35">
      <c r="K84"/>
      <c r="L84"/>
      <c r="M84"/>
    </row>
    <row r="85" spans="11:13" x14ac:dyDescent="0.35">
      <c r="K85"/>
      <c r="L85"/>
      <c r="M85"/>
    </row>
    <row r="86" spans="11:13" x14ac:dyDescent="0.35">
      <c r="K86"/>
      <c r="L86"/>
      <c r="M86"/>
    </row>
    <row r="87" spans="11:13" x14ac:dyDescent="0.35">
      <c r="K87"/>
      <c r="L87"/>
      <c r="M87"/>
    </row>
    <row r="88" spans="11:13" x14ac:dyDescent="0.35">
      <c r="K88"/>
      <c r="L88"/>
      <c r="M88"/>
    </row>
    <row r="89" spans="11:13" x14ac:dyDescent="0.35">
      <c r="K89"/>
      <c r="L89"/>
      <c r="M89"/>
    </row>
    <row r="90" spans="11:13" x14ac:dyDescent="0.35">
      <c r="K90"/>
      <c r="L90"/>
      <c r="M90"/>
    </row>
    <row r="91" spans="11:13" x14ac:dyDescent="0.35">
      <c r="K91"/>
      <c r="L91"/>
      <c r="M91"/>
    </row>
    <row r="92" spans="11:13" x14ac:dyDescent="0.35">
      <c r="K92"/>
      <c r="L92"/>
      <c r="M92"/>
    </row>
    <row r="93" spans="11:13" x14ac:dyDescent="0.35">
      <c r="K93"/>
      <c r="L93"/>
      <c r="M93"/>
    </row>
    <row r="94" spans="11:13" x14ac:dyDescent="0.35">
      <c r="K94"/>
      <c r="L94"/>
      <c r="M94"/>
    </row>
    <row r="95" spans="11:13" x14ac:dyDescent="0.35">
      <c r="K95"/>
      <c r="L95"/>
      <c r="M95"/>
    </row>
    <row r="96" spans="11:13" x14ac:dyDescent="0.35">
      <c r="K96"/>
      <c r="L96"/>
      <c r="M96"/>
    </row>
    <row r="97" spans="11:13" x14ac:dyDescent="0.35">
      <c r="K97"/>
      <c r="L97"/>
      <c r="M97"/>
    </row>
    <row r="98" spans="11:13" x14ac:dyDescent="0.35">
      <c r="K98"/>
      <c r="L98"/>
      <c r="M98"/>
    </row>
    <row r="99" spans="11:13" x14ac:dyDescent="0.35">
      <c r="K99"/>
      <c r="L99"/>
      <c r="M99"/>
    </row>
    <row r="100" spans="11:13" x14ac:dyDescent="0.35">
      <c r="K100"/>
      <c r="L100"/>
      <c r="M100"/>
    </row>
    <row r="101" spans="11:13" x14ac:dyDescent="0.35">
      <c r="K101"/>
      <c r="L101"/>
      <c r="M101"/>
    </row>
    <row r="102" spans="11:13" x14ac:dyDescent="0.35">
      <c r="K102"/>
      <c r="L102"/>
      <c r="M102"/>
    </row>
    <row r="103" spans="11:13" x14ac:dyDescent="0.35">
      <c r="K103"/>
      <c r="L103"/>
      <c r="M103"/>
    </row>
    <row r="104" spans="11:13" x14ac:dyDescent="0.35">
      <c r="K104"/>
      <c r="L104"/>
      <c r="M104"/>
    </row>
    <row r="105" spans="11:13" x14ac:dyDescent="0.35">
      <c r="K105"/>
      <c r="L105"/>
      <c r="M105"/>
    </row>
    <row r="106" spans="11:13" x14ac:dyDescent="0.35">
      <c r="K106"/>
      <c r="L106"/>
      <c r="M106"/>
    </row>
    <row r="107" spans="11:13" x14ac:dyDescent="0.35">
      <c r="K107"/>
      <c r="L107"/>
      <c r="M107"/>
    </row>
    <row r="108" spans="11:13" x14ac:dyDescent="0.35">
      <c r="K108"/>
      <c r="L108"/>
      <c r="M108"/>
    </row>
    <row r="109" spans="11:13" x14ac:dyDescent="0.35">
      <c r="K109"/>
      <c r="L109"/>
      <c r="M109"/>
    </row>
    <row r="110" spans="11:13" x14ac:dyDescent="0.35">
      <c r="K110"/>
      <c r="L110"/>
      <c r="M110"/>
    </row>
    <row r="111" spans="11:13" x14ac:dyDescent="0.35">
      <c r="K111"/>
      <c r="L111"/>
      <c r="M111"/>
    </row>
    <row r="112" spans="11:13" x14ac:dyDescent="0.35">
      <c r="K112"/>
      <c r="L112"/>
      <c r="M112"/>
    </row>
    <row r="113" spans="11:13" x14ac:dyDescent="0.35">
      <c r="K113"/>
      <c r="L113"/>
      <c r="M113"/>
    </row>
    <row r="114" spans="11:13" x14ac:dyDescent="0.35">
      <c r="K114"/>
      <c r="L114"/>
      <c r="M114"/>
    </row>
    <row r="115" spans="11:13" x14ac:dyDescent="0.35">
      <c r="K115"/>
      <c r="L115"/>
      <c r="M115"/>
    </row>
    <row r="116" spans="11:13" x14ac:dyDescent="0.35">
      <c r="K116"/>
      <c r="L116"/>
      <c r="M116"/>
    </row>
    <row r="117" spans="11:13" x14ac:dyDescent="0.35">
      <c r="K117"/>
      <c r="L117"/>
      <c r="M117"/>
    </row>
    <row r="118" spans="11:13" x14ac:dyDescent="0.35">
      <c r="K118"/>
      <c r="L118"/>
      <c r="M118"/>
    </row>
    <row r="119" spans="11:13" x14ac:dyDescent="0.35">
      <c r="K119"/>
      <c r="L119"/>
      <c r="M119"/>
    </row>
    <row r="120" spans="11:13" x14ac:dyDescent="0.35">
      <c r="K120"/>
      <c r="L120"/>
      <c r="M120"/>
    </row>
  </sheetData>
  <protectedRanges>
    <protectedRange algorithmName="SHA-512" hashValue="qdtv/TDXtsMvpZTD46CUiylflvlJqOafLYfMK28QkTCY6UjfnJ/NNIPCQhBC2EXLjwMcdT3Lbyjj/LrMZ0Dj2g==" saltValue="3+2tHwc1s9OUC+bgJNm7uw==" spinCount="100000" sqref="A2:A25" name="Alex colunas fixas"/>
  </protectedRanges>
  <conditionalFormatting pivot="1" sqref="K32:K40">
    <cfRule type="cellIs" dxfId="39" priority="2" operator="greaterThan">
      <formula>375000</formula>
    </cfRule>
  </conditionalFormatting>
  <conditionalFormatting pivot="1" sqref="K32:K40">
    <cfRule type="cellIs" dxfId="38" priority="1" operator="between">
      <formula>0</formula>
      <formula>374999</formula>
    </cfRule>
  </conditionalFormatting>
  <pageMargins left="0.511811024" right="0.511811024" top="0.78740157499999996" bottom="0.78740157499999996" header="0.31496062000000002" footer="0.31496062000000002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F0D890D5-585D-479E-981B-C694421199A4}">
            <xm:f>NOT(ISERROR(SEARCH($A$4,I32)))</xm:f>
            <xm:f>$A$4</xm:f>
            <x14:dxf>
              <font>
                <b/>
                <i val="0"/>
              </font>
              <fill>
                <patternFill patternType="darkUp">
                  <fgColor theme="5" tint="0.79998168889431442"/>
                  <bgColor auto="1"/>
                </patternFill>
              </fill>
              <border>
                <top style="dashed">
                  <color rgb="FFC00000"/>
                </top>
                <bottom style="dashed">
                  <color rgb="FFC00000"/>
                </bottom>
                <vertical/>
                <horizontal/>
              </border>
            </x14:dxf>
          </x14:cfRule>
          <xm:sqref>I32:I50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F5534-F8C1-40B6-9BF6-7E0738F2B63A}">
  <sheetPr codeName="Plan8">
    <tabColor theme="4" tint="0.59999389629810485"/>
  </sheetPr>
  <dimension ref="A1:M120"/>
  <sheetViews>
    <sheetView showGridLines="0" zoomScale="70" zoomScaleNormal="70" workbookViewId="0">
      <selection activeCell="F37" sqref="F37"/>
    </sheetView>
  </sheetViews>
  <sheetFormatPr defaultColWidth="9.1796875" defaultRowHeight="14.5" x14ac:dyDescent="0.35"/>
  <cols>
    <col min="1" max="1" width="13.1796875" style="12" customWidth="1"/>
    <col min="2" max="2" width="17.1796875" style="12" bestFit="1" customWidth="1"/>
    <col min="3" max="3" width="20.81640625" style="20" bestFit="1" customWidth="1"/>
    <col min="4" max="4" width="18.7265625" style="12" bestFit="1" customWidth="1"/>
    <col min="5" max="5" width="18.7265625" style="12" hidden="1" customWidth="1"/>
    <col min="6" max="6" width="18.7265625" style="12" customWidth="1"/>
    <col min="7" max="7" width="34.26953125" style="12" bestFit="1" customWidth="1"/>
    <col min="8" max="8" width="33.1796875" style="12" customWidth="1"/>
    <col min="9" max="9" width="19.7265625" style="12" bestFit="1" customWidth="1"/>
    <col min="10" max="10" width="16.453125" style="12" bestFit="1" customWidth="1"/>
    <col min="11" max="11" width="19.6328125" style="12" bestFit="1" customWidth="1"/>
    <col min="12" max="12" width="18.54296875" style="12" bestFit="1" customWidth="1"/>
    <col min="13" max="13" width="20.54296875" style="12" bestFit="1" customWidth="1"/>
    <col min="14" max="16384" width="9.1796875" style="12"/>
  </cols>
  <sheetData>
    <row r="1" spans="1:7" x14ac:dyDescent="0.35">
      <c r="A1" s="12" t="s">
        <v>117</v>
      </c>
      <c r="B1" s="12" t="s">
        <v>120</v>
      </c>
      <c r="C1" s="20" t="s">
        <v>118</v>
      </c>
      <c r="D1" s="12" t="s">
        <v>119</v>
      </c>
      <c r="E1" s="12" t="s">
        <v>178</v>
      </c>
      <c r="F1" s="12" t="s">
        <v>183</v>
      </c>
      <c r="G1" s="12" t="s">
        <v>369</v>
      </c>
    </row>
    <row r="2" spans="1:7" x14ac:dyDescent="0.35">
      <c r="A2" s="13">
        <v>44197</v>
      </c>
      <c r="B2" s="19" t="s">
        <v>345</v>
      </c>
      <c r="C2" s="21">
        <v>0</v>
      </c>
      <c r="D2" s="14">
        <f>IFERROR(GETPIVOTDATA("Soma de Peso bruto",$I$31,"Semana",TabelaDRI[[#This Row],[Semana]]),0)-TabelaDRI[[#This Row],[Atrasado]]</f>
        <v>0</v>
      </c>
      <c r="E2" s="15">
        <v>0</v>
      </c>
      <c r="F2" s="16">
        <v>0</v>
      </c>
      <c r="G2" s="16">
        <f t="shared" ref="G2" si="0">C2-F2</f>
        <v>0</v>
      </c>
    </row>
    <row r="3" spans="1:7" x14ac:dyDescent="0.35">
      <c r="A3" s="13">
        <v>44200</v>
      </c>
      <c r="B3" s="19" t="s">
        <v>346</v>
      </c>
      <c r="C3" s="22">
        <v>0</v>
      </c>
      <c r="D3" s="17">
        <f>IFERROR(GETPIVOTDATA("Soma de Peso bruto",$I$31,"Semana",TabelaDRI[[#This Row],[Semana]]),0)-TabelaDRI[[#This Row],[Atrasado]]</f>
        <v>0</v>
      </c>
      <c r="E3" s="17">
        <v>0</v>
      </c>
      <c r="F3" s="16">
        <v>0</v>
      </c>
      <c r="G3" s="16">
        <f>C3-F3</f>
        <v>0</v>
      </c>
    </row>
    <row r="4" spans="1:7" x14ac:dyDescent="0.35">
      <c r="A4" s="13">
        <v>44207</v>
      </c>
      <c r="B4" s="19" t="s">
        <v>347</v>
      </c>
      <c r="C4" s="22">
        <v>0</v>
      </c>
      <c r="D4" s="17">
        <f>IFERROR(GETPIVOTDATA("Soma de Peso bruto",$I$31,"Semana",TabelaDRI[[#This Row],[Semana]]),0)-TabelaDRI[[#This Row],[Atrasado]]</f>
        <v>0</v>
      </c>
      <c r="E4" s="17">
        <v>0</v>
      </c>
      <c r="F4" s="16">
        <v>0</v>
      </c>
      <c r="G4" s="16">
        <f t="shared" ref="G4:G25" si="1">C4-F4</f>
        <v>0</v>
      </c>
    </row>
    <row r="5" spans="1:7" x14ac:dyDescent="0.35">
      <c r="A5" s="13">
        <v>44214</v>
      </c>
      <c r="B5" s="19" t="s">
        <v>348</v>
      </c>
      <c r="C5" s="22">
        <v>0</v>
      </c>
      <c r="D5" s="17">
        <f>IFERROR(GETPIVOTDATA("Soma de Peso bruto",$I$31,"Semana",TabelaDRI[[#This Row],[Semana]]),0)-TabelaDRI[[#This Row],[Atrasado]]</f>
        <v>0</v>
      </c>
      <c r="E5" s="17">
        <v>0</v>
      </c>
      <c r="F5" s="16">
        <v>0</v>
      </c>
      <c r="G5" s="16">
        <f t="shared" si="1"/>
        <v>0</v>
      </c>
    </row>
    <row r="6" spans="1:7" x14ac:dyDescent="0.35">
      <c r="A6" s="13">
        <v>44221</v>
      </c>
      <c r="B6" s="19" t="s">
        <v>349</v>
      </c>
      <c r="C6" s="22">
        <v>0</v>
      </c>
      <c r="D6" s="17">
        <f>IFERROR(GETPIVOTDATA("Soma de Peso bruto",$I$31,"Semana",TabelaDRI[[#This Row],[Semana]]),0)-TabelaDRI[[#This Row],[Atrasado]]</f>
        <v>0</v>
      </c>
      <c r="E6" s="17">
        <v>0</v>
      </c>
      <c r="F6" s="16">
        <v>0</v>
      </c>
      <c r="G6" s="16">
        <f t="shared" si="1"/>
        <v>0</v>
      </c>
    </row>
    <row r="7" spans="1:7" x14ac:dyDescent="0.35">
      <c r="A7" s="13">
        <v>44228</v>
      </c>
      <c r="B7" s="19" t="s">
        <v>350</v>
      </c>
      <c r="C7" s="22">
        <v>0</v>
      </c>
      <c r="D7" s="17">
        <f>IFERROR(GETPIVOTDATA("Soma de Peso bruto",$I$31,"Semana",TabelaDRI[[#This Row],[Semana]]),0)-TabelaDRI[[#This Row],[Atrasado]]</f>
        <v>0</v>
      </c>
      <c r="E7" s="17">
        <v>0</v>
      </c>
      <c r="F7" s="16">
        <v>0</v>
      </c>
      <c r="G7" s="16">
        <f t="shared" si="1"/>
        <v>0</v>
      </c>
    </row>
    <row r="8" spans="1:7" x14ac:dyDescent="0.35">
      <c r="A8" s="13">
        <v>44235</v>
      </c>
      <c r="B8" s="19" t="s">
        <v>351</v>
      </c>
      <c r="C8" s="22">
        <v>0</v>
      </c>
      <c r="D8" s="17">
        <f>IFERROR(GETPIVOTDATA("Soma de Peso bruto",$I$31,"Semana",TabelaDRI[[#This Row],[Semana]]),0)-TabelaDRI[[#This Row],[Atrasado]]</f>
        <v>0</v>
      </c>
      <c r="E8" s="17">
        <v>0</v>
      </c>
      <c r="F8" s="16">
        <v>0</v>
      </c>
      <c r="G8" s="16">
        <f t="shared" si="1"/>
        <v>0</v>
      </c>
    </row>
    <row r="9" spans="1:7" x14ac:dyDescent="0.35">
      <c r="A9" s="13">
        <v>44242</v>
      </c>
      <c r="B9" s="19" t="s">
        <v>352</v>
      </c>
      <c r="C9" s="22">
        <v>0</v>
      </c>
      <c r="D9" s="17">
        <f>IFERROR(GETPIVOTDATA("Soma de Peso bruto",$I$31,"Semana",TabelaDRI[[#This Row],[Semana]]),0)-TabelaDRI[[#This Row],[Atrasado]]</f>
        <v>0</v>
      </c>
      <c r="E9" s="17">
        <v>0</v>
      </c>
      <c r="F9" s="16">
        <f>IF(SUM($F$2:F8)&gt;$D$27,0,IF(SUM($F$2:F8)+C9&gt;$D$27,$D$27-SUM($F$2:F8),VALUE(C9)))</f>
        <v>0</v>
      </c>
      <c r="G9" s="16">
        <f t="shared" si="1"/>
        <v>0</v>
      </c>
    </row>
    <row r="10" spans="1:7" x14ac:dyDescent="0.35">
      <c r="A10" s="13">
        <v>44249</v>
      </c>
      <c r="B10" s="19" t="s">
        <v>353</v>
      </c>
      <c r="C10" s="22">
        <v>0</v>
      </c>
      <c r="D10" s="17">
        <f>IFERROR(GETPIVOTDATA("Soma de Peso bruto",$I$31,"Semana",TabelaDRI[[#This Row],[Semana]]),0)-TabelaDRI[[#This Row],[Atrasado]]</f>
        <v>0</v>
      </c>
      <c r="E10" s="17">
        <v>0</v>
      </c>
      <c r="F10" s="16">
        <f>IF(SUM($F$2:F9)&gt;$D$27,0,IF(SUM($F$2:F9)+C10&gt;$D$27,$D$27-SUM($F$2:F9),VALUE(C10)))</f>
        <v>0</v>
      </c>
      <c r="G10" s="16">
        <f t="shared" si="1"/>
        <v>0</v>
      </c>
    </row>
    <row r="11" spans="1:7" x14ac:dyDescent="0.35">
      <c r="A11" s="13">
        <v>44256</v>
      </c>
      <c r="B11" s="19" t="s">
        <v>354</v>
      </c>
      <c r="C11" s="22">
        <f>TOTAL!C11*0.24</f>
        <v>0</v>
      </c>
      <c r="D11" s="17">
        <f>IFERROR(GETPIVOTDATA("Soma de Peso bruto",$I$31,"Semana",TabelaDRI[[#This Row],[Semana]]),0)-TabelaDRI[[#This Row],[Atrasado]]</f>
        <v>0</v>
      </c>
      <c r="E11" s="17">
        <v>0</v>
      </c>
      <c r="F11" s="16">
        <v>0</v>
      </c>
      <c r="G11" s="16">
        <f t="shared" si="1"/>
        <v>0</v>
      </c>
    </row>
    <row r="12" spans="1:7" x14ac:dyDescent="0.35">
      <c r="A12" s="13">
        <v>44263</v>
      </c>
      <c r="B12" s="19" t="s">
        <v>355</v>
      </c>
      <c r="C12" s="22">
        <f>TOTAL!C12*TOTAL!$K$28</f>
        <v>0</v>
      </c>
      <c r="D12" s="17">
        <f>IFERROR(GETPIVOTDATA("Soma de Peso bruto",$I$31,"Semana",TabelaDRI[[#This Row],[Semana]]),0)-TabelaDRI[[#This Row],[Atrasado]]</f>
        <v>0</v>
      </c>
      <c r="E12" s="17">
        <v>0</v>
      </c>
      <c r="F12" s="16">
        <f>IF(SUM($F$2:F11)&gt;$D$27,0,IF(SUM($F$2:F11)+C12&gt;$D$27,$D$27-SUM($F$2:F11),VALUE(C12)))</f>
        <v>0</v>
      </c>
      <c r="G12" s="16">
        <f t="shared" si="1"/>
        <v>0</v>
      </c>
    </row>
    <row r="13" spans="1:7" x14ac:dyDescent="0.35">
      <c r="A13" s="13">
        <v>44270</v>
      </c>
      <c r="B13" s="19" t="s">
        <v>356</v>
      </c>
      <c r="C13" s="22">
        <f>TOTAL!C13*TOTAL!$K$28</f>
        <v>0</v>
      </c>
      <c r="D13" s="17">
        <f>IFERROR(GETPIVOTDATA("Soma de Peso bruto",$I$31,"Semana",TabelaDRI[[#This Row],[Semana]]),0)-TabelaDRI[[#This Row],[Atrasado]]</f>
        <v>0</v>
      </c>
      <c r="E13" s="17">
        <v>0</v>
      </c>
      <c r="F13" s="16">
        <f>IF(SUM($F$2:F12)&gt;$D$27,0,IF(SUM($F$2:F12)+C13&gt;$D$27,$D$27-SUM($F$2:F12),VALUE(C13)))</f>
        <v>0</v>
      </c>
      <c r="G13" s="16">
        <f t="shared" si="1"/>
        <v>0</v>
      </c>
    </row>
    <row r="14" spans="1:7" x14ac:dyDescent="0.35">
      <c r="A14" s="13">
        <v>44277</v>
      </c>
      <c r="B14" s="19" t="s">
        <v>357</v>
      </c>
      <c r="C14" s="22">
        <f>TOTAL!C14*TOTAL!$K$28</f>
        <v>0</v>
      </c>
      <c r="D14" s="17">
        <f>IFERROR(GETPIVOTDATA("Soma de Peso bruto",$I$31,"Semana",TabelaDRI[[#This Row],[Semana]]),0)-TabelaDRI[[#This Row],[Atrasado]]</f>
        <v>0</v>
      </c>
      <c r="E14" s="17">
        <v>0</v>
      </c>
      <c r="F14" s="16">
        <f>IF(SUM($F$2:F13)&gt;$D$27,0,IF(SUM($F$2:F13)+C14&gt;$D$27,$D$27-SUM($F$2:F13),VALUE(C14)))</f>
        <v>0</v>
      </c>
      <c r="G14" s="16">
        <f t="shared" si="1"/>
        <v>0</v>
      </c>
    </row>
    <row r="15" spans="1:7" x14ac:dyDescent="0.35">
      <c r="A15" s="13">
        <v>44284</v>
      </c>
      <c r="B15" s="19" t="s">
        <v>358</v>
      </c>
      <c r="C15" s="22">
        <f>TOTAL!C15*TOTAL!$K$28</f>
        <v>0</v>
      </c>
      <c r="D15" s="17">
        <f>IFERROR(GETPIVOTDATA("Soma de Peso bruto",$I$31,"Semana",TabelaDRI[[#This Row],[Semana]]),0)-TabelaDRI[[#This Row],[Atrasado]]</f>
        <v>0</v>
      </c>
      <c r="E15" s="17">
        <v>0</v>
      </c>
      <c r="F15" s="16">
        <f>IF(SUM($F$2:F14)&gt;$D$27,0,IF(SUM($F$2:F14)+C15&gt;$D$27,$D$27-SUM($F$2:F14),VALUE(C15)))</f>
        <v>0</v>
      </c>
      <c r="G15" s="16">
        <f t="shared" si="1"/>
        <v>0</v>
      </c>
    </row>
    <row r="16" spans="1:7" x14ac:dyDescent="0.35">
      <c r="A16" s="13">
        <v>44291</v>
      </c>
      <c r="B16" s="19" t="s">
        <v>359</v>
      </c>
      <c r="C16" s="22">
        <f>TOTAL!C16*TOTAL!$K$28</f>
        <v>0</v>
      </c>
      <c r="D16" s="17">
        <f>IFERROR(GETPIVOTDATA("Soma de Peso bruto",$I$31,"Semana",TabelaDRI[[#This Row],[Semana]]),0)-TabelaDRI[[#This Row],[Atrasado]]</f>
        <v>0</v>
      </c>
      <c r="E16" s="17">
        <v>0</v>
      </c>
      <c r="F16" s="16">
        <f>IF(SUM($F$2:F15)&gt;$D$27,0,IF(SUM($F$2:F15)+C16&gt;$D$27,$D$27-SUM($F$2:F15),VALUE(C16)))</f>
        <v>0</v>
      </c>
      <c r="G16" s="16">
        <f t="shared" si="1"/>
        <v>0</v>
      </c>
    </row>
    <row r="17" spans="1:11" x14ac:dyDescent="0.35">
      <c r="A17" s="13">
        <v>44298</v>
      </c>
      <c r="B17" s="19" t="s">
        <v>360</v>
      </c>
      <c r="C17" s="22">
        <f>TOTAL!C17*TOTAL!$K$28</f>
        <v>0</v>
      </c>
      <c r="D17" s="17">
        <f>IFERROR(GETPIVOTDATA("Soma de Peso bruto",$I$31,"Semana",TabelaDRI[[#This Row],[Semana]]),0)-TabelaDRI[[#This Row],[Atrasado]]</f>
        <v>0</v>
      </c>
      <c r="E17" s="17">
        <v>0</v>
      </c>
      <c r="F17" s="16">
        <f>IF(SUM($F$2:F16)&gt;$D$27,0,IF(SUM($F$2:F16)+C17&gt;$D$27,$D$27-SUM($F$2:F16),VALUE(C17)))</f>
        <v>0</v>
      </c>
      <c r="G17" s="16">
        <f t="shared" si="1"/>
        <v>0</v>
      </c>
    </row>
    <row r="18" spans="1:11" x14ac:dyDescent="0.35">
      <c r="A18" s="13">
        <v>44305</v>
      </c>
      <c r="B18" s="19" t="s">
        <v>361</v>
      </c>
      <c r="C18" s="22">
        <f>TOTAL!C18*TOTAL!$K$28</f>
        <v>0</v>
      </c>
      <c r="D18" s="17">
        <f>IFERROR(GETPIVOTDATA("Soma de Peso bruto",$I$31,"Semana",TabelaDRI[[#This Row],[Semana]]),0)-TabelaDRI[[#This Row],[Atrasado]]</f>
        <v>177.83</v>
      </c>
      <c r="E18" s="17">
        <v>0</v>
      </c>
      <c r="F18" s="16">
        <f>IF(SUM($F$2:F17)&gt;$D$27,0,IF(SUM($F$2:F17)+C18&gt;$D$27,$D$27-SUM($F$2:F17),VALUE(C18)))</f>
        <v>0</v>
      </c>
      <c r="G18" s="16">
        <f t="shared" si="1"/>
        <v>0</v>
      </c>
    </row>
    <row r="19" spans="1:11" x14ac:dyDescent="0.35">
      <c r="A19" s="13">
        <v>44312</v>
      </c>
      <c r="B19" s="19" t="s">
        <v>362</v>
      </c>
      <c r="C19" s="22">
        <f>TOTAL!C19*TOTAL!$K$28</f>
        <v>396640</v>
      </c>
      <c r="D19" s="17">
        <f>IFERROR(GETPIVOTDATA("Soma de Peso bruto",$I$31,"Semana",TabelaDRI[[#This Row],[Semana]]),0)-TabelaDRI[[#This Row],[Atrasado]]</f>
        <v>72247.81</v>
      </c>
      <c r="E19" s="17">
        <v>0</v>
      </c>
      <c r="F19" s="16">
        <f>IF(SUM($F$2:F18)&gt;$D$27,0,IF(SUM($F$2:F18)+C19&gt;$D$27,$D$27-SUM($F$2:F18),VALUE(C19)))</f>
        <v>396640</v>
      </c>
      <c r="G19" s="16">
        <f t="shared" si="1"/>
        <v>0</v>
      </c>
    </row>
    <row r="20" spans="1:11" x14ac:dyDescent="0.35">
      <c r="A20" s="13">
        <v>44319</v>
      </c>
      <c r="B20" s="19" t="s">
        <v>363</v>
      </c>
      <c r="C20" s="22">
        <f>TOTAL!C20*TOTAL!$K$28</f>
        <v>342560</v>
      </c>
      <c r="D20" s="17">
        <f>IFERROR(GETPIVOTDATA("Soma de Peso bruto",$I$31,"Semana",TabelaDRI[[#This Row],[Semana]]),0)-TabelaDRI[[#This Row],[Atrasado]]</f>
        <v>275866.21600000001</v>
      </c>
      <c r="E20" s="17">
        <v>0</v>
      </c>
      <c r="F20" s="16">
        <f>IF(SUM($F$2:F19)&gt;$D$27,0,IF(SUM($F$2:F19)+C20&gt;$D$27,$D$27-SUM($F$2:F19),VALUE(C20)))</f>
        <v>78218.866000000038</v>
      </c>
      <c r="G20" s="16">
        <f t="shared" si="1"/>
        <v>264341.13399999996</v>
      </c>
    </row>
    <row r="21" spans="1:11" x14ac:dyDescent="0.35">
      <c r="A21" s="13">
        <v>44326</v>
      </c>
      <c r="B21" s="19" t="s">
        <v>364</v>
      </c>
      <c r="C21" s="22">
        <f>TOTAL!C21*TOTAL!$K$28</f>
        <v>418560</v>
      </c>
      <c r="D21" s="17">
        <f>IFERROR(GETPIVOTDATA("Soma de Peso bruto",$I$31,"Semana",TabelaDRI[[#This Row],[Semana]]),0)-TabelaDRI[[#This Row],[Atrasado]]</f>
        <v>5471.1100000000006</v>
      </c>
      <c r="E21" s="17">
        <v>0</v>
      </c>
      <c r="F21" s="16">
        <f>IF(SUM($F$2:F20)&gt;$D$27,0,IF(SUM($F$2:F20)+C21&gt;$D$27,$D$27-SUM($F$2:F20),VALUE(C21)))</f>
        <v>0</v>
      </c>
      <c r="G21" s="16">
        <f t="shared" si="1"/>
        <v>418560</v>
      </c>
    </row>
    <row r="22" spans="1:11" x14ac:dyDescent="0.35">
      <c r="A22" s="13">
        <v>44333</v>
      </c>
      <c r="B22" s="19" t="s">
        <v>365</v>
      </c>
      <c r="C22" s="22">
        <f>TOTAL!C22*TOTAL!$K$28</f>
        <v>411360</v>
      </c>
      <c r="D22" s="17">
        <f>IFERROR(GETPIVOTDATA("Soma de Peso bruto",$I$31,"Semana",TabelaDRI[[#This Row],[Semana]]),0)-TabelaDRI[[#This Row],[Atrasado]]</f>
        <v>118235.06000000001</v>
      </c>
      <c r="E22" s="17">
        <v>0</v>
      </c>
      <c r="F22" s="16">
        <f>IF(SUM($F$2:F21)&gt;$D$27,0,IF(SUM($F$2:F21)+C22&gt;$D$27,$D$27-SUM($F$2:F21),VALUE(C22)))</f>
        <v>0</v>
      </c>
      <c r="G22" s="16">
        <f t="shared" si="1"/>
        <v>411360</v>
      </c>
    </row>
    <row r="23" spans="1:11" x14ac:dyDescent="0.35">
      <c r="A23" s="13">
        <v>44340</v>
      </c>
      <c r="B23" s="19" t="s">
        <v>366</v>
      </c>
      <c r="C23" s="22">
        <f>TOTAL!C23*TOTAL!$K$28</f>
        <v>390560</v>
      </c>
      <c r="D23" s="17">
        <f>IFERROR(GETPIVOTDATA("Soma de Peso bruto",$I$31,"Semana",TabelaDRI[[#This Row],[Semana]]),0)-TabelaDRI[[#This Row],[Atrasado]]</f>
        <v>2860.84</v>
      </c>
      <c r="E23" s="17">
        <v>0</v>
      </c>
      <c r="F23" s="16">
        <f>IF(SUM($F$2:F22)&gt;$D$27,0,IF(SUM($F$2:F22)+C23&gt;$D$27,$D$27-SUM($F$2:F22),VALUE(C23)))</f>
        <v>0</v>
      </c>
      <c r="G23" s="16">
        <f t="shared" si="1"/>
        <v>390560</v>
      </c>
    </row>
    <row r="24" spans="1:11" x14ac:dyDescent="0.35">
      <c r="A24" s="13">
        <v>44347</v>
      </c>
      <c r="B24" s="19" t="s">
        <v>367</v>
      </c>
      <c r="C24" s="22">
        <f>TOTAL!C24*TOTAL!$K$28</f>
        <v>411360</v>
      </c>
      <c r="D24" s="17">
        <f>IFERROR(GETPIVOTDATA("Soma de Peso bruto",$I$31,"Semana",TabelaDRI[[#This Row],[Semana]]),0)-TabelaDRI[[#This Row],[Atrasado]]</f>
        <v>0</v>
      </c>
      <c r="E24" s="17">
        <v>0</v>
      </c>
      <c r="F24" s="16">
        <f>IF(SUM($F$2:F23)&gt;$D$27,0,IF(SUM($F$2:F23)+C24&gt;$D$27,$D$27-SUM($F$2:F23),VALUE(C24)))</f>
        <v>0</v>
      </c>
      <c r="G24" s="16">
        <f t="shared" si="1"/>
        <v>411360</v>
      </c>
    </row>
    <row r="25" spans="1:11" x14ac:dyDescent="0.35">
      <c r="A25" s="13">
        <v>44354</v>
      </c>
      <c r="B25" s="19" t="s">
        <v>368</v>
      </c>
      <c r="C25" s="22">
        <f>TOTAL!C25*TOTAL!$K$28</f>
        <v>340160</v>
      </c>
      <c r="D25" s="17">
        <f>IFERROR(GETPIVOTDATA("Soma de Peso bruto",$I$31,"Semana",TabelaDRI[[#This Row],[Semana]]),0)-TabelaDRI[[#This Row],[Atrasado]]</f>
        <v>0</v>
      </c>
      <c r="E25" s="17">
        <v>0</v>
      </c>
      <c r="F25" s="16">
        <f>IF(SUM($F$2:F24)&gt;$D$27,0,IF(SUM($F$2:F24)+C25&gt;$D$27,$D$27-SUM($F$2:F24),VALUE(C25)))</f>
        <v>0</v>
      </c>
      <c r="G25" s="16">
        <f t="shared" si="1"/>
        <v>340160</v>
      </c>
    </row>
    <row r="26" spans="1:11" x14ac:dyDescent="0.35">
      <c r="A26" s="13"/>
      <c r="B26" s="13"/>
      <c r="C26" s="23"/>
      <c r="D26" s="13"/>
      <c r="E26" s="13"/>
      <c r="F26" s="13"/>
      <c r="G26" s="13"/>
      <c r="H26" s="13"/>
      <c r="J26" s="18"/>
    </row>
    <row r="27" spans="1:11" x14ac:dyDescent="0.35">
      <c r="A27" s="13"/>
      <c r="B27" s="13"/>
      <c r="C27" s="24">
        <f>SUBTOTAL(9,TabelaDRI[Ton limite])</f>
        <v>2711200</v>
      </c>
      <c r="D27" s="16">
        <f>SUM(TabelaDRI[Programado])</f>
        <v>474858.86600000004</v>
      </c>
      <c r="F27" s="16">
        <f>SUBTOTAL(109,TabelaDRI[Balizador])</f>
        <v>474858.86600000004</v>
      </c>
      <c r="G27" s="13"/>
      <c r="H27" s="13"/>
      <c r="I27"/>
      <c r="J27"/>
    </row>
    <row r="28" spans="1:11" x14ac:dyDescent="0.35">
      <c r="I28" s="1" t="s">
        <v>2</v>
      </c>
      <c r="J28" t="s">
        <v>123</v>
      </c>
    </row>
    <row r="29" spans="1:11" x14ac:dyDescent="0.35">
      <c r="I29" s="1" t="s">
        <v>85</v>
      </c>
      <c r="J29" t="s">
        <v>260</v>
      </c>
    </row>
    <row r="30" spans="1:11" x14ac:dyDescent="0.35">
      <c r="I30" s="12">
        <v>2</v>
      </c>
    </row>
    <row r="31" spans="1:11" x14ac:dyDescent="0.35">
      <c r="I31" s="1" t="s">
        <v>82</v>
      </c>
      <c r="J31" s="4" t="s">
        <v>98</v>
      </c>
      <c r="K31" s="4" t="s">
        <v>84</v>
      </c>
    </row>
    <row r="32" spans="1:11" x14ac:dyDescent="0.35">
      <c r="I32" s="8" t="s">
        <v>360</v>
      </c>
      <c r="J32" s="2">
        <v>508991.71000000008</v>
      </c>
      <c r="K32" s="3">
        <v>0</v>
      </c>
    </row>
    <row r="33" spans="9:12" x14ac:dyDescent="0.35">
      <c r="I33" s="8" t="s">
        <v>364</v>
      </c>
      <c r="J33" s="2">
        <v>1972134.37</v>
      </c>
      <c r="K33" s="3">
        <v>5471.1100000000006</v>
      </c>
    </row>
    <row r="34" spans="9:12" x14ac:dyDescent="0.35">
      <c r="I34" s="8" t="s">
        <v>363</v>
      </c>
      <c r="J34" s="2">
        <v>7995484.1099999994</v>
      </c>
      <c r="K34" s="3">
        <v>275866.21600000001</v>
      </c>
    </row>
    <row r="35" spans="9:12" x14ac:dyDescent="0.35">
      <c r="I35" s="8" t="s">
        <v>362</v>
      </c>
      <c r="J35" s="2">
        <v>3687039.23</v>
      </c>
      <c r="K35" s="3">
        <v>72247.81</v>
      </c>
      <c r="L35" s="18"/>
    </row>
    <row r="36" spans="9:12" x14ac:dyDescent="0.35">
      <c r="I36" s="8" t="s">
        <v>361</v>
      </c>
      <c r="J36" s="2">
        <v>213195.68</v>
      </c>
      <c r="K36" s="3">
        <v>177.83</v>
      </c>
      <c r="L36" s="18"/>
    </row>
    <row r="37" spans="9:12" x14ac:dyDescent="0.35">
      <c r="I37" s="8" t="s">
        <v>359</v>
      </c>
      <c r="J37" s="2">
        <v>40076.49</v>
      </c>
      <c r="K37" s="3">
        <v>0</v>
      </c>
    </row>
    <row r="38" spans="9:12" x14ac:dyDescent="0.35">
      <c r="I38" s="8" t="s">
        <v>366</v>
      </c>
      <c r="J38" s="2">
        <v>212410.63</v>
      </c>
      <c r="K38" s="3">
        <v>2860.84</v>
      </c>
    </row>
    <row r="39" spans="9:12" x14ac:dyDescent="0.35">
      <c r="I39" s="8" t="s">
        <v>365</v>
      </c>
      <c r="J39" s="2">
        <v>3461651.7899999996</v>
      </c>
      <c r="K39" s="3">
        <v>118235.06000000001</v>
      </c>
    </row>
    <row r="40" spans="9:12" x14ac:dyDescent="0.35">
      <c r="I40" s="8" t="s">
        <v>83</v>
      </c>
      <c r="J40" s="2">
        <v>18090984.010000002</v>
      </c>
      <c r="K40" s="3">
        <v>474858.86600000004</v>
      </c>
    </row>
    <row r="41" spans="9:12" x14ac:dyDescent="0.35">
      <c r="I41"/>
      <c r="J41"/>
      <c r="K41"/>
    </row>
    <row r="42" spans="9:12" x14ac:dyDescent="0.35">
      <c r="I42"/>
      <c r="J42"/>
      <c r="K42"/>
    </row>
    <row r="43" spans="9:12" x14ac:dyDescent="0.35">
      <c r="I43"/>
      <c r="J43"/>
      <c r="K43"/>
    </row>
    <row r="44" spans="9:12" x14ac:dyDescent="0.35">
      <c r="I44"/>
      <c r="J44"/>
      <c r="K44"/>
    </row>
    <row r="45" spans="9:12" x14ac:dyDescent="0.35">
      <c r="I45"/>
      <c r="J45"/>
      <c r="K45"/>
    </row>
    <row r="46" spans="9:12" x14ac:dyDescent="0.35">
      <c r="I46"/>
      <c r="J46"/>
      <c r="K46"/>
    </row>
    <row r="47" spans="9:12" x14ac:dyDescent="0.35">
      <c r="I47"/>
      <c r="J47"/>
      <c r="K47"/>
    </row>
    <row r="48" spans="9:12" x14ac:dyDescent="0.35">
      <c r="I48"/>
      <c r="J48"/>
      <c r="K48"/>
    </row>
    <row r="49" spans="9:11" x14ac:dyDescent="0.35">
      <c r="I49"/>
      <c r="J49"/>
      <c r="K49"/>
    </row>
    <row r="50" spans="9:11" x14ac:dyDescent="0.35">
      <c r="I50"/>
      <c r="J50"/>
      <c r="K50"/>
    </row>
    <row r="51" spans="9:11" x14ac:dyDescent="0.35">
      <c r="I51"/>
      <c r="J51"/>
      <c r="K51"/>
    </row>
    <row r="52" spans="9:11" x14ac:dyDescent="0.35">
      <c r="I52"/>
      <c r="J52"/>
      <c r="K52"/>
    </row>
    <row r="53" spans="9:11" x14ac:dyDescent="0.35">
      <c r="I53"/>
      <c r="J53"/>
      <c r="K53"/>
    </row>
    <row r="54" spans="9:11" x14ac:dyDescent="0.35">
      <c r="I54"/>
      <c r="J54"/>
      <c r="K54"/>
    </row>
    <row r="55" spans="9:11" x14ac:dyDescent="0.35">
      <c r="I55"/>
      <c r="J55"/>
      <c r="K55"/>
    </row>
    <row r="56" spans="9:11" x14ac:dyDescent="0.35">
      <c r="I56"/>
      <c r="J56"/>
      <c r="K56"/>
    </row>
    <row r="57" spans="9:11" x14ac:dyDescent="0.35">
      <c r="I57"/>
      <c r="J57"/>
      <c r="K57"/>
    </row>
    <row r="58" spans="9:11" x14ac:dyDescent="0.35">
      <c r="I58"/>
      <c r="J58"/>
      <c r="K58"/>
    </row>
    <row r="59" spans="9:11" x14ac:dyDescent="0.35">
      <c r="I59"/>
      <c r="J59"/>
      <c r="K59"/>
    </row>
    <row r="60" spans="9:11" x14ac:dyDescent="0.35">
      <c r="I60"/>
      <c r="J60"/>
      <c r="K60"/>
    </row>
    <row r="61" spans="9:11" x14ac:dyDescent="0.35">
      <c r="I61"/>
      <c r="J61"/>
      <c r="K61"/>
    </row>
    <row r="62" spans="9:11" x14ac:dyDescent="0.35">
      <c r="I62"/>
      <c r="J62"/>
      <c r="K62"/>
    </row>
    <row r="63" spans="9:11" x14ac:dyDescent="0.35">
      <c r="I63"/>
      <c r="J63"/>
      <c r="K63"/>
    </row>
    <row r="64" spans="9:11" x14ac:dyDescent="0.35">
      <c r="I64"/>
      <c r="J64"/>
      <c r="K64"/>
    </row>
    <row r="65" spans="9:13" x14ac:dyDescent="0.35">
      <c r="I65"/>
      <c r="J65"/>
      <c r="K65"/>
    </row>
    <row r="66" spans="9:13" x14ac:dyDescent="0.35">
      <c r="I66"/>
      <c r="J66"/>
      <c r="K66"/>
    </row>
    <row r="67" spans="9:13" x14ac:dyDescent="0.35">
      <c r="I67"/>
      <c r="J67"/>
      <c r="K67"/>
      <c r="L67"/>
      <c r="M67"/>
    </row>
    <row r="68" spans="9:13" x14ac:dyDescent="0.35">
      <c r="I68"/>
      <c r="J68"/>
      <c r="K68"/>
      <c r="L68"/>
      <c r="M68"/>
    </row>
    <row r="69" spans="9:13" x14ac:dyDescent="0.35">
      <c r="I69"/>
      <c r="J69"/>
      <c r="K69"/>
      <c r="L69"/>
      <c r="M69"/>
    </row>
    <row r="70" spans="9:13" x14ac:dyDescent="0.35">
      <c r="I70"/>
      <c r="J70"/>
      <c r="K70"/>
      <c r="L70"/>
      <c r="M70"/>
    </row>
    <row r="71" spans="9:13" x14ac:dyDescent="0.35">
      <c r="I71"/>
      <c r="J71"/>
      <c r="K71"/>
      <c r="L71"/>
      <c r="M71"/>
    </row>
    <row r="72" spans="9:13" x14ac:dyDescent="0.35">
      <c r="I72"/>
      <c r="J72"/>
      <c r="K72"/>
      <c r="L72"/>
      <c r="M72"/>
    </row>
    <row r="73" spans="9:13" x14ac:dyDescent="0.35">
      <c r="K73"/>
      <c r="L73"/>
      <c r="M73"/>
    </row>
    <row r="74" spans="9:13" x14ac:dyDescent="0.35">
      <c r="K74"/>
      <c r="L74"/>
      <c r="M74"/>
    </row>
    <row r="75" spans="9:13" x14ac:dyDescent="0.35">
      <c r="K75"/>
      <c r="L75"/>
      <c r="M75"/>
    </row>
    <row r="76" spans="9:13" x14ac:dyDescent="0.35">
      <c r="K76"/>
      <c r="L76"/>
      <c r="M76"/>
    </row>
    <row r="77" spans="9:13" x14ac:dyDescent="0.35">
      <c r="K77"/>
      <c r="L77"/>
      <c r="M77"/>
    </row>
    <row r="78" spans="9:13" x14ac:dyDescent="0.35">
      <c r="K78"/>
      <c r="L78"/>
      <c r="M78"/>
    </row>
    <row r="79" spans="9:13" x14ac:dyDescent="0.35">
      <c r="K79"/>
      <c r="L79"/>
      <c r="M79"/>
    </row>
    <row r="80" spans="9:13" x14ac:dyDescent="0.35">
      <c r="K80"/>
      <c r="L80"/>
      <c r="M80"/>
    </row>
    <row r="81" spans="11:13" x14ac:dyDescent="0.35">
      <c r="K81"/>
      <c r="L81"/>
      <c r="M81"/>
    </row>
    <row r="82" spans="11:13" x14ac:dyDescent="0.35">
      <c r="K82"/>
      <c r="L82"/>
      <c r="M82"/>
    </row>
    <row r="83" spans="11:13" x14ac:dyDescent="0.35">
      <c r="K83"/>
      <c r="L83"/>
      <c r="M83"/>
    </row>
    <row r="84" spans="11:13" x14ac:dyDescent="0.35">
      <c r="K84"/>
      <c r="L84"/>
      <c r="M84"/>
    </row>
    <row r="85" spans="11:13" x14ac:dyDescent="0.35">
      <c r="K85"/>
      <c r="L85"/>
      <c r="M85"/>
    </row>
    <row r="86" spans="11:13" x14ac:dyDescent="0.35">
      <c r="K86"/>
      <c r="L86"/>
      <c r="M86"/>
    </row>
    <row r="87" spans="11:13" x14ac:dyDescent="0.35">
      <c r="K87"/>
      <c r="L87"/>
      <c r="M87"/>
    </row>
    <row r="88" spans="11:13" x14ac:dyDescent="0.35">
      <c r="K88"/>
      <c r="L88"/>
      <c r="M88"/>
    </row>
    <row r="89" spans="11:13" x14ac:dyDescent="0.35">
      <c r="K89"/>
      <c r="L89"/>
      <c r="M89"/>
    </row>
    <row r="90" spans="11:13" x14ac:dyDescent="0.35">
      <c r="K90"/>
      <c r="L90"/>
      <c r="M90"/>
    </row>
    <row r="91" spans="11:13" x14ac:dyDescent="0.35">
      <c r="K91"/>
      <c r="L91"/>
      <c r="M91"/>
    </row>
    <row r="92" spans="11:13" x14ac:dyDescent="0.35">
      <c r="K92"/>
      <c r="L92"/>
      <c r="M92"/>
    </row>
    <row r="93" spans="11:13" x14ac:dyDescent="0.35">
      <c r="K93"/>
      <c r="L93"/>
      <c r="M93"/>
    </row>
    <row r="94" spans="11:13" x14ac:dyDescent="0.35">
      <c r="K94"/>
      <c r="L94"/>
      <c r="M94"/>
    </row>
    <row r="95" spans="11:13" x14ac:dyDescent="0.35">
      <c r="K95"/>
      <c r="L95"/>
      <c r="M95"/>
    </row>
    <row r="96" spans="11:13" x14ac:dyDescent="0.35">
      <c r="K96"/>
      <c r="L96"/>
      <c r="M96"/>
    </row>
    <row r="97" spans="11:13" x14ac:dyDescent="0.35">
      <c r="K97"/>
      <c r="L97"/>
      <c r="M97"/>
    </row>
    <row r="98" spans="11:13" x14ac:dyDescent="0.35">
      <c r="K98"/>
      <c r="L98"/>
      <c r="M98"/>
    </row>
    <row r="99" spans="11:13" x14ac:dyDescent="0.35">
      <c r="K99"/>
      <c r="L99"/>
      <c r="M99"/>
    </row>
    <row r="100" spans="11:13" x14ac:dyDescent="0.35">
      <c r="K100"/>
      <c r="L100"/>
      <c r="M100"/>
    </row>
    <row r="101" spans="11:13" x14ac:dyDescent="0.35">
      <c r="K101"/>
      <c r="L101"/>
      <c r="M101"/>
    </row>
    <row r="102" spans="11:13" x14ac:dyDescent="0.35">
      <c r="K102"/>
      <c r="L102"/>
      <c r="M102"/>
    </row>
    <row r="103" spans="11:13" x14ac:dyDescent="0.35">
      <c r="K103"/>
      <c r="L103"/>
      <c r="M103"/>
    </row>
    <row r="104" spans="11:13" x14ac:dyDescent="0.35">
      <c r="K104"/>
      <c r="L104"/>
      <c r="M104"/>
    </row>
    <row r="105" spans="11:13" x14ac:dyDescent="0.35">
      <c r="K105"/>
      <c r="L105"/>
      <c r="M105"/>
    </row>
    <row r="106" spans="11:13" x14ac:dyDescent="0.35">
      <c r="K106"/>
      <c r="L106"/>
      <c r="M106"/>
    </row>
    <row r="107" spans="11:13" x14ac:dyDescent="0.35">
      <c r="K107"/>
      <c r="L107"/>
      <c r="M107"/>
    </row>
    <row r="108" spans="11:13" x14ac:dyDescent="0.35">
      <c r="K108"/>
      <c r="L108"/>
      <c r="M108"/>
    </row>
    <row r="109" spans="11:13" x14ac:dyDescent="0.35">
      <c r="K109"/>
      <c r="L109"/>
      <c r="M109"/>
    </row>
    <row r="110" spans="11:13" x14ac:dyDescent="0.35">
      <c r="K110"/>
      <c r="L110"/>
      <c r="M110"/>
    </row>
    <row r="111" spans="11:13" x14ac:dyDescent="0.35">
      <c r="K111"/>
      <c r="L111"/>
      <c r="M111"/>
    </row>
    <row r="112" spans="11:13" x14ac:dyDescent="0.35">
      <c r="K112"/>
      <c r="L112"/>
      <c r="M112"/>
    </row>
    <row r="113" spans="11:13" x14ac:dyDescent="0.35">
      <c r="K113"/>
      <c r="L113"/>
      <c r="M113"/>
    </row>
    <row r="114" spans="11:13" x14ac:dyDescent="0.35">
      <c r="K114"/>
      <c r="L114"/>
      <c r="M114"/>
    </row>
    <row r="115" spans="11:13" x14ac:dyDescent="0.35">
      <c r="K115"/>
      <c r="L115"/>
      <c r="M115"/>
    </row>
    <row r="116" spans="11:13" x14ac:dyDescent="0.35">
      <c r="K116"/>
      <c r="L116"/>
      <c r="M116"/>
    </row>
    <row r="117" spans="11:13" x14ac:dyDescent="0.35">
      <c r="K117"/>
      <c r="L117"/>
      <c r="M117"/>
    </row>
    <row r="118" spans="11:13" x14ac:dyDescent="0.35">
      <c r="K118"/>
      <c r="L118"/>
      <c r="M118"/>
    </row>
    <row r="119" spans="11:13" x14ac:dyDescent="0.35">
      <c r="K119"/>
      <c r="L119"/>
      <c r="M119"/>
    </row>
    <row r="120" spans="11:13" x14ac:dyDescent="0.35">
      <c r="K120"/>
      <c r="L120"/>
      <c r="M120"/>
    </row>
  </sheetData>
  <protectedRanges>
    <protectedRange algorithmName="SHA-512" hashValue="qdtv/TDXtsMvpZTD46CUiylflvlJqOafLYfMK28QkTCY6UjfnJ/NNIPCQhBC2EXLjwMcdT3Lbyjj/LrMZ0Dj2g==" saltValue="3+2tHwc1s9OUC+bgJNm7uw==" spinCount="100000" sqref="A2:A25" name="Alex colunas fixas"/>
  </protectedRanges>
  <conditionalFormatting pivot="1" sqref="K32:K40">
    <cfRule type="cellIs" dxfId="29" priority="2" operator="greaterThan">
      <formula>375000</formula>
    </cfRule>
  </conditionalFormatting>
  <conditionalFormatting pivot="1" sqref="K32:K40">
    <cfRule type="cellIs" dxfId="28" priority="1" operator="between">
      <formula>0</formula>
      <formula>374999</formula>
    </cfRule>
  </conditionalFormatting>
  <pageMargins left="0.511811024" right="0.511811024" top="0.78740157499999996" bottom="0.78740157499999996" header="0.31496062000000002" footer="0.31496062000000002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25877D03-D2EB-4C31-A36F-04082155B703}">
            <xm:f>NOT(ISERROR(SEARCH($A$4,I32)))</xm:f>
            <xm:f>$A$4</xm:f>
            <x14:dxf>
              <font>
                <b/>
                <i val="0"/>
              </font>
              <fill>
                <patternFill patternType="darkUp">
                  <fgColor theme="5" tint="0.79998168889431442"/>
                  <bgColor auto="1"/>
                </patternFill>
              </fill>
              <border>
                <top style="dashed">
                  <color rgb="FFC00000"/>
                </top>
                <bottom style="dashed">
                  <color rgb="FFC00000"/>
                </bottom>
                <vertical/>
                <horizontal/>
              </border>
            </x14:dxf>
          </x14:cfRule>
          <xm:sqref>I32:I50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E7AAB-F0D2-49A1-8EBA-A2C77D42E866}">
  <sheetPr codeName="Plan9">
    <tabColor theme="4" tint="0.59999389629810485"/>
  </sheetPr>
  <dimension ref="A1:M120"/>
  <sheetViews>
    <sheetView showGridLines="0" topLeftCell="A13" zoomScale="70" zoomScaleNormal="70" workbookViewId="0">
      <selection activeCell="G4" sqref="G4:G25"/>
    </sheetView>
  </sheetViews>
  <sheetFormatPr defaultColWidth="9.1796875" defaultRowHeight="14.5" x14ac:dyDescent="0.35"/>
  <cols>
    <col min="1" max="1" width="13.1796875" style="12" customWidth="1"/>
    <col min="2" max="2" width="17.1796875" style="12" bestFit="1" customWidth="1"/>
    <col min="3" max="3" width="20.81640625" style="20" bestFit="1" customWidth="1"/>
    <col min="4" max="4" width="18.7265625" style="12" bestFit="1" customWidth="1"/>
    <col min="5" max="5" width="18.7265625" style="12" hidden="1" customWidth="1"/>
    <col min="6" max="6" width="18.7265625" style="12" customWidth="1"/>
    <col min="7" max="7" width="34.26953125" style="12" bestFit="1" customWidth="1"/>
    <col min="8" max="8" width="33.1796875" style="12" customWidth="1"/>
    <col min="9" max="9" width="19.7265625" style="12" bestFit="1" customWidth="1"/>
    <col min="10" max="10" width="15.6328125" style="12" bestFit="1" customWidth="1"/>
    <col min="11" max="11" width="19.6328125" style="12" bestFit="1" customWidth="1"/>
    <col min="12" max="12" width="18.54296875" style="12" bestFit="1" customWidth="1"/>
    <col min="13" max="13" width="20.54296875" style="12" bestFit="1" customWidth="1"/>
    <col min="14" max="16384" width="9.1796875" style="12"/>
  </cols>
  <sheetData>
    <row r="1" spans="1:7" x14ac:dyDescent="0.35">
      <c r="A1" s="12" t="s">
        <v>117</v>
      </c>
      <c r="B1" s="12" t="s">
        <v>120</v>
      </c>
      <c r="C1" s="20" t="s">
        <v>118</v>
      </c>
      <c r="D1" s="12" t="s">
        <v>119</v>
      </c>
      <c r="E1" s="12" t="s">
        <v>178</v>
      </c>
      <c r="F1" s="12" t="s">
        <v>183</v>
      </c>
      <c r="G1" s="12" t="s">
        <v>369</v>
      </c>
    </row>
    <row r="2" spans="1:7" x14ac:dyDescent="0.35">
      <c r="A2" s="13">
        <v>44197</v>
      </c>
      <c r="B2" s="19" t="s">
        <v>345</v>
      </c>
      <c r="C2" s="21">
        <v>0</v>
      </c>
      <c r="D2" s="14">
        <f>IFERROR(GETPIVOTDATA("Soma de Peso bruto",$I$31,"Semana",Tabela334567[[#This Row],[Semana]]),0)-Tabela334567[[#This Row],[Atrasado]]</f>
        <v>0</v>
      </c>
      <c r="E2" s="15">
        <v>0</v>
      </c>
      <c r="F2" s="16">
        <v>0</v>
      </c>
      <c r="G2" s="16">
        <f t="shared" ref="G2" si="0">C2-F2</f>
        <v>0</v>
      </c>
    </row>
    <row r="3" spans="1:7" x14ac:dyDescent="0.35">
      <c r="A3" s="13">
        <v>44200</v>
      </c>
      <c r="B3" s="19" t="s">
        <v>346</v>
      </c>
      <c r="C3" s="22">
        <v>0</v>
      </c>
      <c r="D3" s="17">
        <f>IFERROR(GETPIVOTDATA("Soma de Peso bruto",$I$31,"Semana",Tabela334567[[#This Row],[Semana]]),0)-Tabela334567[[#This Row],[Atrasado]]</f>
        <v>0</v>
      </c>
      <c r="E3" s="17">
        <v>0</v>
      </c>
      <c r="F3" s="16">
        <v>0</v>
      </c>
      <c r="G3" s="16">
        <f>C3-F3</f>
        <v>0</v>
      </c>
    </row>
    <row r="4" spans="1:7" x14ac:dyDescent="0.35">
      <c r="A4" s="13">
        <v>44207</v>
      </c>
      <c r="B4" s="19" t="s">
        <v>347</v>
      </c>
      <c r="C4" s="22">
        <v>0</v>
      </c>
      <c r="D4" s="17">
        <f>IFERROR(GETPIVOTDATA("Soma de Peso bruto",$I$31,"Semana",Tabela334567[[#This Row],[Semana]]),0)-Tabela334567[[#This Row],[Atrasado]]</f>
        <v>0</v>
      </c>
      <c r="E4" s="17">
        <v>0</v>
      </c>
      <c r="F4" s="16">
        <v>0</v>
      </c>
      <c r="G4" s="16">
        <f t="shared" ref="G4:G25" si="1">C4-F4</f>
        <v>0</v>
      </c>
    </row>
    <row r="5" spans="1:7" x14ac:dyDescent="0.35">
      <c r="A5" s="13">
        <v>44214</v>
      </c>
      <c r="B5" s="19" t="s">
        <v>348</v>
      </c>
      <c r="C5" s="22">
        <v>0</v>
      </c>
      <c r="D5" s="17">
        <f>IFERROR(GETPIVOTDATA("Soma de Peso bruto",$I$31,"Semana",Tabela334567[[#This Row],[Semana]]),0)-Tabela334567[[#This Row],[Atrasado]]</f>
        <v>0</v>
      </c>
      <c r="E5" s="17">
        <v>0</v>
      </c>
      <c r="F5" s="16">
        <v>0</v>
      </c>
      <c r="G5" s="16">
        <f t="shared" si="1"/>
        <v>0</v>
      </c>
    </row>
    <row r="6" spans="1:7" x14ac:dyDescent="0.35">
      <c r="A6" s="13">
        <v>44221</v>
      </c>
      <c r="B6" s="19" t="s">
        <v>349</v>
      </c>
      <c r="C6" s="22">
        <v>0</v>
      </c>
      <c r="D6" s="17">
        <f>IFERROR(GETPIVOTDATA("Soma de Peso bruto",$I$31,"Semana",Tabela334567[[#This Row],[Semana]]),0)-Tabela334567[[#This Row],[Atrasado]]</f>
        <v>0</v>
      </c>
      <c r="E6" s="17">
        <v>0</v>
      </c>
      <c r="F6" s="16">
        <v>0</v>
      </c>
      <c r="G6" s="16">
        <f t="shared" si="1"/>
        <v>0</v>
      </c>
    </row>
    <row r="7" spans="1:7" x14ac:dyDescent="0.35">
      <c r="A7" s="13">
        <v>44228</v>
      </c>
      <c r="B7" s="19" t="s">
        <v>350</v>
      </c>
      <c r="C7" s="22">
        <v>0</v>
      </c>
      <c r="D7" s="17">
        <f>IFERROR(GETPIVOTDATA("Soma de Peso bruto",$I$31,"Semana",Tabela334567[[#This Row],[Semana]]),0)-Tabela334567[[#This Row],[Atrasado]]</f>
        <v>0</v>
      </c>
      <c r="E7" s="17">
        <v>0</v>
      </c>
      <c r="F7" s="16">
        <v>0</v>
      </c>
      <c r="G7" s="16">
        <f t="shared" si="1"/>
        <v>0</v>
      </c>
    </row>
    <row r="8" spans="1:7" x14ac:dyDescent="0.35">
      <c r="A8" s="13">
        <v>44235</v>
      </c>
      <c r="B8" s="19" t="s">
        <v>351</v>
      </c>
      <c r="C8" s="22">
        <v>0</v>
      </c>
      <c r="D8" s="17">
        <f>IFERROR(GETPIVOTDATA("Soma de Peso bruto",$I$31,"Semana",Tabela334567[[#This Row],[Semana]]),0)-Tabela334567[[#This Row],[Atrasado]]</f>
        <v>0</v>
      </c>
      <c r="E8" s="17">
        <v>0</v>
      </c>
      <c r="F8" s="16">
        <v>0</v>
      </c>
      <c r="G8" s="16">
        <f t="shared" si="1"/>
        <v>0</v>
      </c>
    </row>
    <row r="9" spans="1:7" x14ac:dyDescent="0.35">
      <c r="A9" s="13">
        <v>44242</v>
      </c>
      <c r="B9" s="19" t="s">
        <v>352</v>
      </c>
      <c r="C9" s="22">
        <v>0</v>
      </c>
      <c r="D9" s="17">
        <f>IFERROR(GETPIVOTDATA("Soma de Peso bruto",$I$31,"Semana",Tabela334567[[#This Row],[Semana]]),0)-Tabela334567[[#This Row],[Atrasado]]</f>
        <v>0</v>
      </c>
      <c r="E9" s="17">
        <v>0</v>
      </c>
      <c r="F9" s="16">
        <f>IF(SUM($F$2:F8)&gt;$D$27,0,IF(SUM($F$2:F8)+C9&gt;$D$27,$D$27-SUM($F$2:F8),VALUE(C9)))</f>
        <v>0</v>
      </c>
      <c r="G9" s="16">
        <f t="shared" si="1"/>
        <v>0</v>
      </c>
    </row>
    <row r="10" spans="1:7" x14ac:dyDescent="0.35">
      <c r="A10" s="13">
        <v>44249</v>
      </c>
      <c r="B10" s="19" t="s">
        <v>353</v>
      </c>
      <c r="C10" s="22">
        <v>0</v>
      </c>
      <c r="D10" s="17">
        <f>IFERROR(GETPIVOTDATA("Soma de Peso bruto",$I$31,"Semana",Tabela334567[[#This Row],[Semana]]),0)-Tabela334567[[#This Row],[Atrasado]]</f>
        <v>0</v>
      </c>
      <c r="E10" s="17">
        <v>0</v>
      </c>
      <c r="F10" s="16">
        <f>IF(SUM($F$2:F9)&gt;$D$27,0,IF(SUM($F$2:F9)+C10&gt;$D$27,$D$27-SUM($F$2:F9),VALUE(C10)))</f>
        <v>0</v>
      </c>
      <c r="G10" s="16">
        <f t="shared" si="1"/>
        <v>0</v>
      </c>
    </row>
    <row r="11" spans="1:7" x14ac:dyDescent="0.35">
      <c r="A11" s="13">
        <v>44256</v>
      </c>
      <c r="B11" s="19" t="s">
        <v>354</v>
      </c>
      <c r="C11" s="22">
        <f>TOTAL!C11*0.01</f>
        <v>0</v>
      </c>
      <c r="D11" s="17">
        <f>IFERROR(GETPIVOTDATA("Soma de Peso bruto",$I$31,"Semana",Tabela334567[[#This Row],[Semana]]),0)-Tabela334567[[#This Row],[Atrasado]]</f>
        <v>0</v>
      </c>
      <c r="E11" s="17">
        <v>0</v>
      </c>
      <c r="F11" s="16">
        <v>0</v>
      </c>
      <c r="G11" s="16">
        <f t="shared" si="1"/>
        <v>0</v>
      </c>
    </row>
    <row r="12" spans="1:7" x14ac:dyDescent="0.35">
      <c r="A12" s="13">
        <v>44263</v>
      </c>
      <c r="B12" s="19" t="s">
        <v>355</v>
      </c>
      <c r="C12" s="22">
        <f>TOTAL!C12*TOTAL!$K$30</f>
        <v>0</v>
      </c>
      <c r="D12" s="17">
        <f>IFERROR(GETPIVOTDATA("Soma de Peso bruto",$I$31,"Semana",Tabela334567[[#This Row],[Semana]]),0)-Tabela334567[[#This Row],[Atrasado]]</f>
        <v>0</v>
      </c>
      <c r="E12" s="17">
        <v>0</v>
      </c>
      <c r="F12" s="16">
        <f>IF(SUM($F$2:F11)&gt;$D$27,0,IF(SUM($F$2:F11)+C12&gt;$D$27,$D$27-SUM($F$2:F11),VALUE(C12)))</f>
        <v>0</v>
      </c>
      <c r="G12" s="16">
        <f t="shared" si="1"/>
        <v>0</v>
      </c>
    </row>
    <row r="13" spans="1:7" x14ac:dyDescent="0.35">
      <c r="A13" s="13">
        <v>44270</v>
      </c>
      <c r="B13" s="19" t="s">
        <v>356</v>
      </c>
      <c r="C13" s="22">
        <f>TOTAL!C13*TOTAL!$K$30</f>
        <v>0</v>
      </c>
      <c r="D13" s="17">
        <f>IFERROR(GETPIVOTDATA("Soma de Peso bruto",$I$31,"Semana",Tabela334567[[#This Row],[Semana]]),0)-Tabela334567[[#This Row],[Atrasado]]</f>
        <v>0</v>
      </c>
      <c r="E13" s="17">
        <v>0</v>
      </c>
      <c r="F13" s="16">
        <f>IF(SUM($F$2:F12)&gt;$D$27,0,IF(SUM($F$2:F12)+C13&gt;$D$27,$D$27-SUM($F$2:F12),VALUE(C13)))</f>
        <v>0</v>
      </c>
      <c r="G13" s="16">
        <f t="shared" si="1"/>
        <v>0</v>
      </c>
    </row>
    <row r="14" spans="1:7" x14ac:dyDescent="0.35">
      <c r="A14" s="13">
        <v>44277</v>
      </c>
      <c r="B14" s="19" t="s">
        <v>357</v>
      </c>
      <c r="C14" s="22">
        <f>TOTAL!C14*TOTAL!$K$30</f>
        <v>0</v>
      </c>
      <c r="D14" s="17">
        <f>IFERROR(GETPIVOTDATA("Soma de Peso bruto",$I$31,"Semana",Tabela334567[[#This Row],[Semana]]),0)-Tabela334567[[#This Row],[Atrasado]]</f>
        <v>0</v>
      </c>
      <c r="E14" s="17">
        <v>0</v>
      </c>
      <c r="F14" s="16">
        <f>IF(SUM($F$2:F13)&gt;$D$27,0,IF(SUM($F$2:F13)+C14&gt;$D$27,$D$27-SUM($F$2:F13),VALUE(C14)))</f>
        <v>0</v>
      </c>
      <c r="G14" s="16">
        <f t="shared" si="1"/>
        <v>0</v>
      </c>
    </row>
    <row r="15" spans="1:7" x14ac:dyDescent="0.35">
      <c r="A15" s="13">
        <v>44284</v>
      </c>
      <c r="B15" s="19" t="s">
        <v>358</v>
      </c>
      <c r="C15" s="22">
        <f>TOTAL!C15*TOTAL!$K$30</f>
        <v>0</v>
      </c>
      <c r="D15" s="17">
        <f>IFERROR(GETPIVOTDATA("Soma de Peso bruto",$I$31,"Semana",Tabela334567[[#This Row],[Semana]]),0)-Tabela334567[[#This Row],[Atrasado]]</f>
        <v>0</v>
      </c>
      <c r="E15" s="17">
        <v>0</v>
      </c>
      <c r="F15" s="16">
        <f>IF(SUM($F$2:F14)&gt;$D$27,0,IF(SUM($F$2:F14)+C15&gt;$D$27,$D$27-SUM($F$2:F14),VALUE(C15)))</f>
        <v>0</v>
      </c>
      <c r="G15" s="16">
        <f t="shared" si="1"/>
        <v>0</v>
      </c>
    </row>
    <row r="16" spans="1:7" x14ac:dyDescent="0.35">
      <c r="A16" s="13">
        <v>44291</v>
      </c>
      <c r="B16" s="19" t="s">
        <v>359</v>
      </c>
      <c r="C16" s="22">
        <f>TOTAL!C16*TOTAL!$K$30</f>
        <v>0</v>
      </c>
      <c r="D16" s="17">
        <f>IFERROR(GETPIVOTDATA("Soma de Peso bruto",$I$31,"Semana",Tabela334567[[#This Row],[Semana]]),0)-Tabela334567[[#This Row],[Atrasado]]</f>
        <v>0</v>
      </c>
      <c r="E16" s="17">
        <v>0</v>
      </c>
      <c r="F16" s="16">
        <f>IF(SUM($F$2:F15)&gt;$D$27,0,IF(SUM($F$2:F15)+C16&gt;$D$27,$D$27-SUM($F$2:F15),VALUE(C16)))</f>
        <v>0</v>
      </c>
      <c r="G16" s="16">
        <f t="shared" si="1"/>
        <v>0</v>
      </c>
    </row>
    <row r="17" spans="1:11" x14ac:dyDescent="0.35">
      <c r="A17" s="13">
        <v>44298</v>
      </c>
      <c r="B17" s="19" t="s">
        <v>360</v>
      </c>
      <c r="C17" s="22">
        <f>TOTAL!C17*TOTAL!$K$30</f>
        <v>0</v>
      </c>
      <c r="D17" s="17">
        <f>IFERROR(GETPIVOTDATA("Soma de Peso bruto",$I$31,"Semana",Tabela334567[[#This Row],[Semana]]),0)-Tabela334567[[#This Row],[Atrasado]]</f>
        <v>0</v>
      </c>
      <c r="E17" s="17">
        <v>0</v>
      </c>
      <c r="F17" s="16">
        <f>IF(SUM($F$2:F16)&gt;$D$27,0,IF(SUM($F$2:F16)+C17&gt;$D$27,$D$27-SUM($F$2:F16),VALUE(C17)))</f>
        <v>0</v>
      </c>
      <c r="G17" s="16">
        <f t="shared" si="1"/>
        <v>0</v>
      </c>
    </row>
    <row r="18" spans="1:11" x14ac:dyDescent="0.35">
      <c r="A18" s="13">
        <v>44305</v>
      </c>
      <c r="B18" s="19" t="s">
        <v>361</v>
      </c>
      <c r="C18" s="22">
        <f>TOTAL!C18*TOTAL!$K$30</f>
        <v>0</v>
      </c>
      <c r="D18" s="17">
        <f>IFERROR(GETPIVOTDATA("Soma de Peso bruto",$I$31,"Semana",Tabela334567[[#This Row],[Semana]]),0)-Tabela334567[[#This Row],[Atrasado]]</f>
        <v>0</v>
      </c>
      <c r="E18" s="17">
        <v>0</v>
      </c>
      <c r="F18" s="16">
        <f>IF(SUM($F$2:F17)&gt;$D$27,0,IF(SUM($F$2:F17)+C18&gt;$D$27,$D$27-SUM($F$2:F17),VALUE(C18)))</f>
        <v>0</v>
      </c>
      <c r="G18" s="16">
        <f t="shared" si="1"/>
        <v>0</v>
      </c>
    </row>
    <row r="19" spans="1:11" x14ac:dyDescent="0.35">
      <c r="A19" s="13">
        <v>44312</v>
      </c>
      <c r="B19" s="19" t="s">
        <v>362</v>
      </c>
      <c r="C19" s="22">
        <f>TOTAL!C19*TOTAL!$K$30</f>
        <v>24790</v>
      </c>
      <c r="D19" s="17">
        <f>IFERROR(GETPIVOTDATA("Soma de Peso bruto",$I$31,"Semana",Tabela334567[[#This Row],[Semana]]),0)-Tabela334567[[#This Row],[Atrasado]]</f>
        <v>0</v>
      </c>
      <c r="E19" s="17">
        <v>0</v>
      </c>
      <c r="F19" s="16">
        <f>IF(SUM($F$2:F18)&gt;$D$27,0,IF(SUM($F$2:F18)+C19&gt;$D$27,$D$27-SUM($F$2:F18),VALUE(C19)))</f>
        <v>24790</v>
      </c>
      <c r="G19" s="16">
        <f t="shared" si="1"/>
        <v>0</v>
      </c>
    </row>
    <row r="20" spans="1:11" x14ac:dyDescent="0.35">
      <c r="A20" s="13">
        <v>44319</v>
      </c>
      <c r="B20" s="19" t="s">
        <v>363</v>
      </c>
      <c r="C20" s="22">
        <f>TOTAL!C20*TOTAL!$K$30</f>
        <v>21410</v>
      </c>
      <c r="D20" s="17">
        <f>IFERROR(GETPIVOTDATA("Soma de Peso bruto",$I$31,"Semana",Tabela334567[[#This Row],[Semana]]),0)-Tabela334567[[#This Row],[Atrasado]]</f>
        <v>674.62</v>
      </c>
      <c r="E20" s="17">
        <v>0</v>
      </c>
      <c r="F20" s="16">
        <f>IF(SUM($F$2:F19)&gt;$D$27,0,IF(SUM($F$2:F19)+C20&gt;$D$27,$D$27-SUM($F$2:F19),VALUE(C20)))</f>
        <v>21410</v>
      </c>
      <c r="G20" s="16">
        <f t="shared" si="1"/>
        <v>0</v>
      </c>
    </row>
    <row r="21" spans="1:11" x14ac:dyDescent="0.35">
      <c r="A21" s="13">
        <v>44326</v>
      </c>
      <c r="B21" s="19" t="s">
        <v>364</v>
      </c>
      <c r="C21" s="22">
        <f>TOTAL!C21*TOTAL!$K$30</f>
        <v>26160</v>
      </c>
      <c r="D21" s="17">
        <f>IFERROR(GETPIVOTDATA("Soma de Peso bruto",$I$31,"Semana",Tabela334567[[#This Row],[Semana]]),0)-Tabela334567[[#This Row],[Atrasado]]</f>
        <v>42858</v>
      </c>
      <c r="E21" s="17">
        <v>0</v>
      </c>
      <c r="F21" s="16">
        <f>IF(SUM($F$2:F20)&gt;$D$27,0,IF(SUM($F$2:F20)+C21&gt;$D$27,$D$27-SUM($F$2:F20),VALUE(C21)))</f>
        <v>14701.130000000005</v>
      </c>
      <c r="G21" s="16">
        <f t="shared" si="1"/>
        <v>11458.869999999995</v>
      </c>
    </row>
    <row r="22" spans="1:11" x14ac:dyDescent="0.35">
      <c r="A22" s="13">
        <v>44333</v>
      </c>
      <c r="B22" s="19" t="s">
        <v>365</v>
      </c>
      <c r="C22" s="22">
        <f>TOTAL!C22*TOTAL!$K$30</f>
        <v>25710</v>
      </c>
      <c r="D22" s="17">
        <f>IFERROR(GETPIVOTDATA("Soma de Peso bruto",$I$31,"Semana",Tabela334567[[#This Row],[Semana]]),0)-Tabela334567[[#This Row],[Atrasado]]</f>
        <v>17368.510000000002</v>
      </c>
      <c r="E22" s="17">
        <v>0</v>
      </c>
      <c r="F22" s="16">
        <f>IF(SUM($F$2:F21)&gt;$D$27,0,IF(SUM($F$2:F21)+C22&gt;$D$27,$D$27-SUM($F$2:F21),VALUE(C22)))</f>
        <v>0</v>
      </c>
      <c r="G22" s="16">
        <f t="shared" si="1"/>
        <v>25710</v>
      </c>
    </row>
    <row r="23" spans="1:11" x14ac:dyDescent="0.35">
      <c r="A23" s="13">
        <v>44340</v>
      </c>
      <c r="B23" s="19" t="s">
        <v>366</v>
      </c>
      <c r="C23" s="22">
        <f>TOTAL!C23*TOTAL!$K$30</f>
        <v>24410</v>
      </c>
      <c r="D23" s="17">
        <f>IFERROR(GETPIVOTDATA("Soma de Peso bruto",$I$31,"Semana",Tabela334567[[#This Row],[Semana]]),0)-Tabela334567[[#This Row],[Atrasado]]</f>
        <v>0</v>
      </c>
      <c r="E23" s="17">
        <v>0</v>
      </c>
      <c r="F23" s="16">
        <f>IF(SUM($F$2:F22)&gt;$D$27,0,IF(SUM($F$2:F22)+C23&gt;$D$27,$D$27-SUM($F$2:F22),VALUE(C23)))</f>
        <v>0</v>
      </c>
      <c r="G23" s="16">
        <f t="shared" si="1"/>
        <v>24410</v>
      </c>
    </row>
    <row r="24" spans="1:11" x14ac:dyDescent="0.35">
      <c r="A24" s="13">
        <v>44347</v>
      </c>
      <c r="B24" s="19" t="s">
        <v>367</v>
      </c>
      <c r="C24" s="22">
        <f>TOTAL!C24*TOTAL!$K$30</f>
        <v>25710</v>
      </c>
      <c r="D24" s="17">
        <f>IFERROR(GETPIVOTDATA("Soma de Peso bruto",$I$31,"Semana",Tabela334567[[#This Row],[Semana]]),0)-Tabela334567[[#This Row],[Atrasado]]</f>
        <v>0</v>
      </c>
      <c r="E24" s="17">
        <v>0</v>
      </c>
      <c r="F24" s="16">
        <f>IF(SUM($F$2:F23)&gt;$D$27,0,IF(SUM($F$2:F23)+C24&gt;$D$27,$D$27-SUM($F$2:F23),VALUE(C24)))</f>
        <v>0</v>
      </c>
      <c r="G24" s="16">
        <f t="shared" si="1"/>
        <v>25710</v>
      </c>
    </row>
    <row r="25" spans="1:11" x14ac:dyDescent="0.35">
      <c r="A25" s="13">
        <v>44354</v>
      </c>
      <c r="B25" s="19" t="s">
        <v>368</v>
      </c>
      <c r="C25" s="22">
        <f>TOTAL!C25*TOTAL!$K$30</f>
        <v>21260</v>
      </c>
      <c r="D25" s="17">
        <f>IFERROR(GETPIVOTDATA("Soma de Peso bruto",$I$31,"Semana",Tabela334567[[#This Row],[Semana]]),0)-Tabela334567[[#This Row],[Atrasado]]</f>
        <v>0</v>
      </c>
      <c r="E25" s="17">
        <v>0</v>
      </c>
      <c r="F25" s="16">
        <f>IF(SUM($F$2:F24)&gt;$D$27,0,IF(SUM($F$2:F24)+C25&gt;$D$27,$D$27-SUM($F$2:F24),VALUE(C25)))</f>
        <v>0</v>
      </c>
      <c r="G25" s="16">
        <f t="shared" si="1"/>
        <v>21260</v>
      </c>
    </row>
    <row r="26" spans="1:11" x14ac:dyDescent="0.35">
      <c r="A26" s="13"/>
      <c r="B26" s="13"/>
      <c r="C26" s="23"/>
      <c r="D26" s="13"/>
      <c r="E26" s="13"/>
      <c r="F26" s="13"/>
      <c r="G26" s="13"/>
      <c r="H26" s="13"/>
      <c r="J26" s="18"/>
    </row>
    <row r="27" spans="1:11" x14ac:dyDescent="0.35">
      <c r="A27" s="13"/>
      <c r="B27" s="13"/>
      <c r="C27" s="24">
        <f>SUBTOTAL(9,Tabela334567[Ton limite])</f>
        <v>169450</v>
      </c>
      <c r="D27" s="16">
        <f>SUM(Tabela334567[Programado])</f>
        <v>60901.130000000005</v>
      </c>
      <c r="F27" s="16">
        <f>SUBTOTAL(109,Tabela334567[Balizador])</f>
        <v>60901.130000000005</v>
      </c>
      <c r="G27" s="13"/>
      <c r="H27" s="13"/>
      <c r="I27"/>
      <c r="J27"/>
    </row>
    <row r="28" spans="1:11" x14ac:dyDescent="0.35">
      <c r="I28" s="1" t="s">
        <v>2</v>
      </c>
      <c r="J28" t="s">
        <v>123</v>
      </c>
    </row>
    <row r="29" spans="1:11" x14ac:dyDescent="0.35">
      <c r="I29" s="1" t="s">
        <v>85</v>
      </c>
      <c r="J29" t="s">
        <v>93</v>
      </c>
    </row>
    <row r="30" spans="1:11" x14ac:dyDescent="0.35">
      <c r="I30" s="12">
        <v>2</v>
      </c>
    </row>
    <row r="31" spans="1:11" x14ac:dyDescent="0.35">
      <c r="I31" s="1" t="s">
        <v>82</v>
      </c>
      <c r="J31" s="4" t="s">
        <v>98</v>
      </c>
      <c r="K31" s="4" t="s">
        <v>84</v>
      </c>
    </row>
    <row r="32" spans="1:11" x14ac:dyDescent="0.35">
      <c r="I32" s="8" t="s">
        <v>364</v>
      </c>
      <c r="J32" s="2">
        <v>2886495</v>
      </c>
      <c r="K32" s="3">
        <v>42858</v>
      </c>
    </row>
    <row r="33" spans="9:12" x14ac:dyDescent="0.35">
      <c r="I33" s="8" t="s">
        <v>363</v>
      </c>
      <c r="J33" s="2">
        <v>175040.96</v>
      </c>
      <c r="K33" s="3">
        <v>674.62</v>
      </c>
    </row>
    <row r="34" spans="9:12" x14ac:dyDescent="0.35">
      <c r="I34" s="8" t="s">
        <v>362</v>
      </c>
      <c r="J34" s="2">
        <v>-1844.29</v>
      </c>
      <c r="K34" s="3">
        <v>0</v>
      </c>
    </row>
    <row r="35" spans="9:12" x14ac:dyDescent="0.35">
      <c r="I35" s="8" t="s">
        <v>361</v>
      </c>
      <c r="J35" s="2">
        <v>36750</v>
      </c>
      <c r="K35" s="3">
        <v>0</v>
      </c>
      <c r="L35" s="18"/>
    </row>
    <row r="36" spans="9:12" x14ac:dyDescent="0.35">
      <c r="I36" s="8" t="s">
        <v>365</v>
      </c>
      <c r="J36" s="2">
        <v>4776497.6500000004</v>
      </c>
      <c r="K36" s="3">
        <v>17368.510000000002</v>
      </c>
      <c r="L36" s="18"/>
    </row>
    <row r="37" spans="9:12" x14ac:dyDescent="0.35">
      <c r="I37" s="8" t="s">
        <v>83</v>
      </c>
      <c r="J37" s="2">
        <v>7872939.3200000003</v>
      </c>
      <c r="K37" s="3">
        <v>60901.130000000005</v>
      </c>
    </row>
    <row r="38" spans="9:12" x14ac:dyDescent="0.35">
      <c r="I38"/>
      <c r="J38"/>
      <c r="K38"/>
    </row>
    <row r="39" spans="9:12" x14ac:dyDescent="0.35">
      <c r="I39"/>
      <c r="J39"/>
      <c r="K39"/>
    </row>
    <row r="40" spans="9:12" x14ac:dyDescent="0.35">
      <c r="I40"/>
      <c r="J40"/>
      <c r="K40"/>
    </row>
    <row r="41" spans="9:12" x14ac:dyDescent="0.35">
      <c r="I41"/>
      <c r="J41"/>
      <c r="K41"/>
    </row>
    <row r="42" spans="9:12" x14ac:dyDescent="0.35">
      <c r="I42"/>
      <c r="J42"/>
      <c r="K42"/>
    </row>
    <row r="43" spans="9:12" x14ac:dyDescent="0.35">
      <c r="I43"/>
      <c r="J43"/>
      <c r="K43"/>
    </row>
    <row r="44" spans="9:12" x14ac:dyDescent="0.35">
      <c r="I44"/>
      <c r="J44"/>
      <c r="K44"/>
    </row>
    <row r="45" spans="9:12" x14ac:dyDescent="0.35">
      <c r="I45"/>
      <c r="J45"/>
      <c r="K45"/>
    </row>
    <row r="46" spans="9:12" x14ac:dyDescent="0.35">
      <c r="I46"/>
      <c r="J46"/>
      <c r="K46"/>
    </row>
    <row r="47" spans="9:12" x14ac:dyDescent="0.35">
      <c r="I47"/>
      <c r="J47"/>
      <c r="K47"/>
    </row>
    <row r="48" spans="9:12" x14ac:dyDescent="0.35">
      <c r="I48"/>
      <c r="J48"/>
      <c r="K48"/>
    </row>
    <row r="49" spans="9:11" x14ac:dyDescent="0.35">
      <c r="I49"/>
      <c r="J49"/>
      <c r="K49"/>
    </row>
    <row r="50" spans="9:11" x14ac:dyDescent="0.35">
      <c r="I50"/>
      <c r="J50"/>
      <c r="K50"/>
    </row>
    <row r="51" spans="9:11" x14ac:dyDescent="0.35">
      <c r="I51"/>
      <c r="J51"/>
      <c r="K51"/>
    </row>
    <row r="52" spans="9:11" x14ac:dyDescent="0.35">
      <c r="I52"/>
      <c r="J52"/>
      <c r="K52"/>
    </row>
    <row r="53" spans="9:11" x14ac:dyDescent="0.35">
      <c r="I53"/>
      <c r="J53"/>
      <c r="K53"/>
    </row>
    <row r="54" spans="9:11" x14ac:dyDescent="0.35">
      <c r="I54"/>
      <c r="J54"/>
      <c r="K54"/>
    </row>
    <row r="55" spans="9:11" x14ac:dyDescent="0.35">
      <c r="I55"/>
      <c r="J55"/>
      <c r="K55"/>
    </row>
    <row r="56" spans="9:11" x14ac:dyDescent="0.35">
      <c r="I56"/>
      <c r="J56"/>
      <c r="K56"/>
    </row>
    <row r="57" spans="9:11" x14ac:dyDescent="0.35">
      <c r="I57"/>
      <c r="J57"/>
      <c r="K57"/>
    </row>
    <row r="58" spans="9:11" x14ac:dyDescent="0.35">
      <c r="I58"/>
      <c r="J58"/>
      <c r="K58"/>
    </row>
    <row r="59" spans="9:11" x14ac:dyDescent="0.35">
      <c r="I59"/>
      <c r="J59"/>
      <c r="K59"/>
    </row>
    <row r="60" spans="9:11" x14ac:dyDescent="0.35">
      <c r="I60"/>
      <c r="J60"/>
      <c r="K60"/>
    </row>
    <row r="61" spans="9:11" x14ac:dyDescent="0.35">
      <c r="I61"/>
      <c r="J61"/>
      <c r="K61"/>
    </row>
    <row r="62" spans="9:11" x14ac:dyDescent="0.35">
      <c r="I62"/>
      <c r="J62"/>
      <c r="K62"/>
    </row>
    <row r="63" spans="9:11" x14ac:dyDescent="0.35">
      <c r="I63"/>
      <c r="J63"/>
      <c r="K63"/>
    </row>
    <row r="67" spans="11:13" x14ac:dyDescent="0.35">
      <c r="K67"/>
      <c r="L67"/>
      <c r="M67"/>
    </row>
    <row r="68" spans="11:13" x14ac:dyDescent="0.35">
      <c r="K68"/>
      <c r="L68"/>
      <c r="M68"/>
    </row>
    <row r="69" spans="11:13" x14ac:dyDescent="0.35">
      <c r="K69"/>
      <c r="L69"/>
      <c r="M69"/>
    </row>
    <row r="70" spans="11:13" x14ac:dyDescent="0.35">
      <c r="K70"/>
      <c r="L70"/>
      <c r="M70"/>
    </row>
    <row r="71" spans="11:13" x14ac:dyDescent="0.35">
      <c r="K71"/>
      <c r="L71"/>
      <c r="M71"/>
    </row>
    <row r="72" spans="11:13" x14ac:dyDescent="0.35">
      <c r="K72"/>
      <c r="L72"/>
      <c r="M72"/>
    </row>
    <row r="73" spans="11:13" x14ac:dyDescent="0.35">
      <c r="K73"/>
      <c r="L73"/>
      <c r="M73"/>
    </row>
    <row r="74" spans="11:13" x14ac:dyDescent="0.35">
      <c r="K74"/>
      <c r="L74"/>
      <c r="M74"/>
    </row>
    <row r="75" spans="11:13" x14ac:dyDescent="0.35">
      <c r="K75"/>
      <c r="L75"/>
      <c r="M75"/>
    </row>
    <row r="76" spans="11:13" x14ac:dyDescent="0.35">
      <c r="K76"/>
      <c r="L76"/>
      <c r="M76"/>
    </row>
    <row r="77" spans="11:13" x14ac:dyDescent="0.35">
      <c r="K77"/>
      <c r="L77"/>
      <c r="M77"/>
    </row>
    <row r="78" spans="11:13" x14ac:dyDescent="0.35">
      <c r="K78"/>
      <c r="L78"/>
      <c r="M78"/>
    </row>
    <row r="79" spans="11:13" x14ac:dyDescent="0.35">
      <c r="K79"/>
      <c r="L79"/>
      <c r="M79"/>
    </row>
    <row r="80" spans="11:13" x14ac:dyDescent="0.35">
      <c r="K80"/>
      <c r="L80"/>
      <c r="M80"/>
    </row>
    <row r="81" spans="11:13" x14ac:dyDescent="0.35">
      <c r="K81"/>
      <c r="L81"/>
      <c r="M81"/>
    </row>
    <row r="82" spans="11:13" x14ac:dyDescent="0.35">
      <c r="K82"/>
      <c r="L82"/>
      <c r="M82"/>
    </row>
    <row r="83" spans="11:13" x14ac:dyDescent="0.35">
      <c r="K83"/>
      <c r="L83"/>
      <c r="M83"/>
    </row>
    <row r="84" spans="11:13" x14ac:dyDescent="0.35">
      <c r="K84"/>
      <c r="L84"/>
      <c r="M84"/>
    </row>
    <row r="85" spans="11:13" x14ac:dyDescent="0.35">
      <c r="K85"/>
      <c r="L85"/>
      <c r="M85"/>
    </row>
    <row r="86" spans="11:13" x14ac:dyDescent="0.35">
      <c r="K86"/>
      <c r="L86"/>
      <c r="M86"/>
    </row>
    <row r="87" spans="11:13" x14ac:dyDescent="0.35">
      <c r="K87"/>
      <c r="L87"/>
      <c r="M87"/>
    </row>
    <row r="88" spans="11:13" x14ac:dyDescent="0.35">
      <c r="K88"/>
      <c r="L88"/>
      <c r="M88"/>
    </row>
    <row r="89" spans="11:13" x14ac:dyDescent="0.35">
      <c r="K89"/>
      <c r="L89"/>
      <c r="M89"/>
    </row>
    <row r="90" spans="11:13" x14ac:dyDescent="0.35">
      <c r="K90"/>
      <c r="L90"/>
      <c r="M90"/>
    </row>
    <row r="91" spans="11:13" x14ac:dyDescent="0.35">
      <c r="K91"/>
      <c r="L91"/>
      <c r="M91"/>
    </row>
    <row r="92" spans="11:13" x14ac:dyDescent="0.35">
      <c r="K92"/>
      <c r="L92"/>
      <c r="M92"/>
    </row>
    <row r="93" spans="11:13" x14ac:dyDescent="0.35">
      <c r="K93"/>
      <c r="L93"/>
      <c r="M93"/>
    </row>
    <row r="94" spans="11:13" x14ac:dyDescent="0.35">
      <c r="K94"/>
      <c r="L94"/>
      <c r="M94"/>
    </row>
    <row r="95" spans="11:13" x14ac:dyDescent="0.35">
      <c r="K95"/>
      <c r="L95"/>
      <c r="M95"/>
    </row>
    <row r="96" spans="11:13" x14ac:dyDescent="0.35">
      <c r="K96"/>
      <c r="L96"/>
      <c r="M96"/>
    </row>
    <row r="97" spans="11:13" x14ac:dyDescent="0.35">
      <c r="K97"/>
      <c r="L97"/>
      <c r="M97"/>
    </row>
    <row r="98" spans="11:13" x14ac:dyDescent="0.35">
      <c r="K98"/>
      <c r="L98"/>
      <c r="M98"/>
    </row>
    <row r="99" spans="11:13" x14ac:dyDescent="0.35">
      <c r="K99"/>
      <c r="L99"/>
      <c r="M99"/>
    </row>
    <row r="100" spans="11:13" x14ac:dyDescent="0.35">
      <c r="K100"/>
      <c r="L100"/>
      <c r="M100"/>
    </row>
    <row r="101" spans="11:13" x14ac:dyDescent="0.35">
      <c r="K101"/>
      <c r="L101"/>
      <c r="M101"/>
    </row>
    <row r="102" spans="11:13" x14ac:dyDescent="0.35">
      <c r="K102"/>
      <c r="L102"/>
      <c r="M102"/>
    </row>
    <row r="103" spans="11:13" x14ac:dyDescent="0.35">
      <c r="K103"/>
      <c r="L103"/>
      <c r="M103"/>
    </row>
    <row r="104" spans="11:13" x14ac:dyDescent="0.35">
      <c r="K104"/>
      <c r="L104"/>
      <c r="M104"/>
    </row>
    <row r="105" spans="11:13" x14ac:dyDescent="0.35">
      <c r="K105"/>
      <c r="L105"/>
      <c r="M105"/>
    </row>
    <row r="106" spans="11:13" x14ac:dyDescent="0.35">
      <c r="K106"/>
      <c r="L106"/>
      <c r="M106"/>
    </row>
    <row r="107" spans="11:13" x14ac:dyDescent="0.35">
      <c r="K107"/>
      <c r="L107"/>
      <c r="M107"/>
    </row>
    <row r="108" spans="11:13" x14ac:dyDescent="0.35">
      <c r="K108"/>
      <c r="L108"/>
      <c r="M108"/>
    </row>
    <row r="109" spans="11:13" x14ac:dyDescent="0.35">
      <c r="K109"/>
      <c r="L109"/>
      <c r="M109"/>
    </row>
    <row r="110" spans="11:13" x14ac:dyDescent="0.35">
      <c r="K110"/>
      <c r="L110"/>
      <c r="M110"/>
    </row>
    <row r="111" spans="11:13" x14ac:dyDescent="0.35">
      <c r="K111"/>
      <c r="L111"/>
      <c r="M111"/>
    </row>
    <row r="112" spans="11:13" x14ac:dyDescent="0.35">
      <c r="K112"/>
      <c r="L112"/>
      <c r="M112"/>
    </row>
    <row r="113" spans="11:13" x14ac:dyDescent="0.35">
      <c r="K113"/>
      <c r="L113"/>
      <c r="M113"/>
    </row>
    <row r="114" spans="11:13" x14ac:dyDescent="0.35">
      <c r="K114"/>
      <c r="L114"/>
      <c r="M114"/>
    </row>
    <row r="115" spans="11:13" x14ac:dyDescent="0.35">
      <c r="K115"/>
      <c r="L115"/>
      <c r="M115"/>
    </row>
    <row r="116" spans="11:13" x14ac:dyDescent="0.35">
      <c r="K116"/>
      <c r="L116"/>
      <c r="M116"/>
    </row>
    <row r="117" spans="11:13" x14ac:dyDescent="0.35">
      <c r="K117"/>
      <c r="L117"/>
      <c r="M117"/>
    </row>
    <row r="118" spans="11:13" x14ac:dyDescent="0.35">
      <c r="K118"/>
      <c r="L118"/>
      <c r="M118"/>
    </row>
    <row r="119" spans="11:13" x14ac:dyDescent="0.35">
      <c r="K119"/>
      <c r="L119"/>
      <c r="M119"/>
    </row>
    <row r="120" spans="11:13" x14ac:dyDescent="0.35">
      <c r="K120"/>
      <c r="L120"/>
      <c r="M120"/>
    </row>
  </sheetData>
  <protectedRanges>
    <protectedRange algorithmName="SHA-512" hashValue="qdtv/TDXtsMvpZTD46CUiylflvlJqOafLYfMK28QkTCY6UjfnJ/NNIPCQhBC2EXLjwMcdT3Lbyjj/LrMZ0Dj2g==" saltValue="3+2tHwc1s9OUC+bgJNm7uw==" spinCount="100000" sqref="A2:A25" name="Alex colunas fixas"/>
  </protectedRanges>
  <conditionalFormatting pivot="1" sqref="K32:K37">
    <cfRule type="cellIs" dxfId="19" priority="2" operator="greaterThan">
      <formula>375000</formula>
    </cfRule>
  </conditionalFormatting>
  <conditionalFormatting pivot="1" sqref="K32:K37">
    <cfRule type="cellIs" dxfId="18" priority="1" operator="between">
      <formula>0</formula>
      <formula>374999</formula>
    </cfRule>
  </conditionalFormatting>
  <pageMargins left="0.511811024" right="0.511811024" top="0.78740157499999996" bottom="0.78740157499999996" header="0.31496062000000002" footer="0.31496062000000002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99C9E1E1-3409-4528-BBC8-33A71AA0DF7F}">
            <xm:f>NOT(ISERROR(SEARCH($A$4,I32)))</xm:f>
            <xm:f>$A$4</xm:f>
            <x14:dxf>
              <font>
                <b/>
                <i val="0"/>
              </font>
              <fill>
                <patternFill patternType="darkUp">
                  <fgColor theme="5" tint="0.79998168889431442"/>
                  <bgColor auto="1"/>
                </patternFill>
              </fill>
              <border>
                <top style="dashed">
                  <color rgb="FFC00000"/>
                </top>
                <bottom style="dashed">
                  <color rgb="FFC00000"/>
                </bottom>
                <vertical/>
                <horizontal/>
              </border>
            </x14:dxf>
          </x14:cfRule>
          <xm:sqref>I32:I50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DD8F8-7868-4AB6-BA00-08590E24AB81}">
  <sheetPr codeName="Plan10">
    <tabColor theme="4" tint="0.59999389629810485"/>
  </sheetPr>
  <dimension ref="A1:M120"/>
  <sheetViews>
    <sheetView showGridLines="0" topLeftCell="A7" zoomScale="70" zoomScaleNormal="70" workbookViewId="0">
      <selection activeCell="K28" sqref="K28"/>
    </sheetView>
  </sheetViews>
  <sheetFormatPr defaultColWidth="9.1796875" defaultRowHeight="14.5" x14ac:dyDescent="0.35"/>
  <cols>
    <col min="1" max="1" width="13.1796875" style="12" customWidth="1"/>
    <col min="2" max="2" width="17.1796875" style="12" bestFit="1" customWidth="1"/>
    <col min="3" max="3" width="20.81640625" style="20" bestFit="1" customWidth="1"/>
    <col min="4" max="4" width="18.7265625" style="12" bestFit="1" customWidth="1"/>
    <col min="5" max="5" width="18.7265625" style="12" hidden="1" customWidth="1"/>
    <col min="6" max="6" width="18.7265625" style="12" customWidth="1"/>
    <col min="7" max="7" width="34.26953125" style="12" bestFit="1" customWidth="1"/>
    <col min="8" max="8" width="33.1796875" style="12" customWidth="1"/>
    <col min="9" max="9" width="19.7265625" style="12" bestFit="1" customWidth="1"/>
    <col min="10" max="10" width="16.453125" style="12" bestFit="1" customWidth="1"/>
    <col min="11" max="11" width="19.6328125" style="12" bestFit="1" customWidth="1"/>
    <col min="12" max="12" width="18.54296875" style="12" bestFit="1" customWidth="1"/>
    <col min="13" max="13" width="20.54296875" style="12" bestFit="1" customWidth="1"/>
    <col min="14" max="16384" width="9.1796875" style="12"/>
  </cols>
  <sheetData>
    <row r="1" spans="1:7" x14ac:dyDescent="0.35">
      <c r="A1" s="12" t="s">
        <v>117</v>
      </c>
      <c r="B1" s="12" t="s">
        <v>120</v>
      </c>
      <c r="C1" s="20" t="s">
        <v>118</v>
      </c>
      <c r="D1" s="12" t="s">
        <v>119</v>
      </c>
      <c r="E1" s="12" t="s">
        <v>178</v>
      </c>
      <c r="F1" s="12" t="s">
        <v>183</v>
      </c>
      <c r="G1" s="12" t="s">
        <v>369</v>
      </c>
    </row>
    <row r="2" spans="1:7" x14ac:dyDescent="0.35">
      <c r="A2" s="13">
        <v>44197</v>
      </c>
      <c r="B2" s="19" t="s">
        <v>345</v>
      </c>
      <c r="C2" s="21">
        <v>0</v>
      </c>
      <c r="D2" s="14">
        <f>IFERROR(GETPIVOTDATA("Soma de Peso bruto",$I$31,"Semana",Tabela3345678[[#This Row],[Semana]]),0)-Tabela3345678[[#This Row],[Atrasado]]</f>
        <v>0</v>
      </c>
      <c r="E2" s="15">
        <v>0</v>
      </c>
      <c r="F2" s="16">
        <v>0</v>
      </c>
      <c r="G2" s="16">
        <f t="shared" ref="G2" si="0">C2-F2</f>
        <v>0</v>
      </c>
    </row>
    <row r="3" spans="1:7" x14ac:dyDescent="0.35">
      <c r="A3" s="13">
        <v>44200</v>
      </c>
      <c r="B3" s="19" t="s">
        <v>346</v>
      </c>
      <c r="C3" s="22">
        <v>0</v>
      </c>
      <c r="D3" s="17">
        <f>IFERROR(GETPIVOTDATA("Soma de Peso bruto",$I$31,"Semana",Tabela3345678[[#This Row],[Semana]]),0)-Tabela3345678[[#This Row],[Atrasado]]</f>
        <v>0</v>
      </c>
      <c r="E3" s="17">
        <v>0</v>
      </c>
      <c r="F3" s="16">
        <v>0</v>
      </c>
      <c r="G3" s="16">
        <f>C3-F3</f>
        <v>0</v>
      </c>
    </row>
    <row r="4" spans="1:7" x14ac:dyDescent="0.35">
      <c r="A4" s="13">
        <v>44207</v>
      </c>
      <c r="B4" s="19" t="s">
        <v>347</v>
      </c>
      <c r="C4" s="22">
        <v>0</v>
      </c>
      <c r="D4" s="17">
        <f>IFERROR(GETPIVOTDATA("Soma de Peso bruto",$I$31,"Semana",Tabela3345678[[#This Row],[Semana]]),0)-Tabela3345678[[#This Row],[Atrasado]]</f>
        <v>0</v>
      </c>
      <c r="E4" s="17">
        <v>0</v>
      </c>
      <c r="F4" s="16">
        <v>0</v>
      </c>
      <c r="G4" s="16">
        <f t="shared" ref="G4:G25" si="1">C4-F4</f>
        <v>0</v>
      </c>
    </row>
    <row r="5" spans="1:7" x14ac:dyDescent="0.35">
      <c r="A5" s="13">
        <v>44214</v>
      </c>
      <c r="B5" s="19" t="s">
        <v>348</v>
      </c>
      <c r="C5" s="22">
        <v>0</v>
      </c>
      <c r="D5" s="17">
        <f>IFERROR(GETPIVOTDATA("Soma de Peso bruto",$I$31,"Semana",Tabela3345678[[#This Row],[Semana]]),0)-Tabela3345678[[#This Row],[Atrasado]]</f>
        <v>0</v>
      </c>
      <c r="E5" s="17">
        <v>0</v>
      </c>
      <c r="F5" s="16">
        <v>0</v>
      </c>
      <c r="G5" s="16">
        <f t="shared" si="1"/>
        <v>0</v>
      </c>
    </row>
    <row r="6" spans="1:7" x14ac:dyDescent="0.35">
      <c r="A6" s="13">
        <v>44221</v>
      </c>
      <c r="B6" s="19" t="s">
        <v>349</v>
      </c>
      <c r="C6" s="22">
        <v>0</v>
      </c>
      <c r="D6" s="17">
        <f>IFERROR(GETPIVOTDATA("Soma de Peso bruto",$I$31,"Semana",Tabela3345678[[#This Row],[Semana]]),0)-Tabela3345678[[#This Row],[Atrasado]]</f>
        <v>0</v>
      </c>
      <c r="E6" s="17">
        <v>0</v>
      </c>
      <c r="F6" s="16">
        <v>0</v>
      </c>
      <c r="G6" s="16">
        <f t="shared" si="1"/>
        <v>0</v>
      </c>
    </row>
    <row r="7" spans="1:7" x14ac:dyDescent="0.35">
      <c r="A7" s="13">
        <v>44228</v>
      </c>
      <c r="B7" s="19" t="s">
        <v>350</v>
      </c>
      <c r="C7" s="22">
        <v>0</v>
      </c>
      <c r="D7" s="17">
        <f>IFERROR(GETPIVOTDATA("Soma de Peso bruto",$I$31,"Semana",Tabela3345678[[#This Row],[Semana]]),0)-Tabela3345678[[#This Row],[Atrasado]]</f>
        <v>0</v>
      </c>
      <c r="E7" s="17">
        <v>0</v>
      </c>
      <c r="F7" s="16">
        <v>0</v>
      </c>
      <c r="G7" s="16">
        <f t="shared" si="1"/>
        <v>0</v>
      </c>
    </row>
    <row r="8" spans="1:7" x14ac:dyDescent="0.35">
      <c r="A8" s="13">
        <v>44235</v>
      </c>
      <c r="B8" s="19" t="s">
        <v>351</v>
      </c>
      <c r="C8" s="22">
        <v>0</v>
      </c>
      <c r="D8" s="17">
        <f>IFERROR(GETPIVOTDATA("Soma de Peso bruto",$I$31,"Semana",Tabela3345678[[#This Row],[Semana]]),0)-Tabela3345678[[#This Row],[Atrasado]]</f>
        <v>0</v>
      </c>
      <c r="E8" s="17">
        <v>0</v>
      </c>
      <c r="F8" s="16">
        <v>0</v>
      </c>
      <c r="G8" s="16">
        <f t="shared" si="1"/>
        <v>0</v>
      </c>
    </row>
    <row r="9" spans="1:7" x14ac:dyDescent="0.35">
      <c r="A9" s="13">
        <v>44242</v>
      </c>
      <c r="B9" s="19" t="s">
        <v>352</v>
      </c>
      <c r="C9" s="22">
        <v>0</v>
      </c>
      <c r="D9" s="17">
        <f>IFERROR(GETPIVOTDATA("Soma de Peso bruto",$I$31,"Semana",Tabela3345678[[#This Row],[Semana]]),0)-Tabela3345678[[#This Row],[Atrasado]]</f>
        <v>0</v>
      </c>
      <c r="E9" s="17">
        <v>0</v>
      </c>
      <c r="F9" s="16">
        <f>IF(SUM($F$2:F8)&gt;$D$27,0,IF(SUM($F$2:F8)+C9&gt;$D$27,$D$27-SUM($F$2:F8),VALUE(C9)))</f>
        <v>0</v>
      </c>
      <c r="G9" s="16">
        <f t="shared" si="1"/>
        <v>0</v>
      </c>
    </row>
    <row r="10" spans="1:7" x14ac:dyDescent="0.35">
      <c r="A10" s="13">
        <v>44249</v>
      </c>
      <c r="B10" s="19" t="s">
        <v>353</v>
      </c>
      <c r="C10" s="22">
        <v>0</v>
      </c>
      <c r="D10" s="17">
        <f>IFERROR(GETPIVOTDATA("Soma de Peso bruto",$I$31,"Semana",Tabela3345678[[#This Row],[Semana]]),0)-Tabela3345678[[#This Row],[Atrasado]]</f>
        <v>0</v>
      </c>
      <c r="E10" s="17">
        <v>0</v>
      </c>
      <c r="F10" s="16">
        <f>IF(SUM($F$2:F9)&gt;$D$27,0,IF(SUM($F$2:F9)+C10&gt;$D$27,$D$27-SUM($F$2:F9),VALUE(C10)))</f>
        <v>0</v>
      </c>
      <c r="G10" s="16">
        <f t="shared" si="1"/>
        <v>0</v>
      </c>
    </row>
    <row r="11" spans="1:7" x14ac:dyDescent="0.35">
      <c r="A11" s="13">
        <v>44256</v>
      </c>
      <c r="B11" s="19" t="s">
        <v>354</v>
      </c>
      <c r="C11" s="22">
        <f>TOTAL!C11*TOTAL!$K$31</f>
        <v>0</v>
      </c>
      <c r="D11" s="17">
        <f>IFERROR(GETPIVOTDATA("Soma de Peso bruto",$I$31,"Semana",Tabela3345678[[#This Row],[Semana]]),0)-Tabela3345678[[#This Row],[Atrasado]]</f>
        <v>0</v>
      </c>
      <c r="E11" s="17">
        <v>0</v>
      </c>
      <c r="F11" s="16">
        <v>0</v>
      </c>
      <c r="G11" s="16">
        <f t="shared" si="1"/>
        <v>0</v>
      </c>
    </row>
    <row r="12" spans="1:7" x14ac:dyDescent="0.35">
      <c r="A12" s="13">
        <v>44263</v>
      </c>
      <c r="B12" s="19" t="s">
        <v>355</v>
      </c>
      <c r="C12" s="22">
        <f>TOTAL!C12*TOTAL!$K$31</f>
        <v>0</v>
      </c>
      <c r="D12" s="17">
        <f>IFERROR(GETPIVOTDATA("Soma de Peso bruto",$I$31,"Semana",Tabela3345678[[#This Row],[Semana]]),0)-Tabela3345678[[#This Row],[Atrasado]]</f>
        <v>0</v>
      </c>
      <c r="E12" s="17">
        <v>0</v>
      </c>
      <c r="F12" s="16">
        <f>IF(SUM($F$2:F11)&gt;$D$27,0,IF(SUM($F$2:F11)+C12&gt;$D$27,$D$27-SUM($F$2:F11),VALUE(C12)))</f>
        <v>0</v>
      </c>
      <c r="G12" s="16">
        <f t="shared" si="1"/>
        <v>0</v>
      </c>
    </row>
    <row r="13" spans="1:7" x14ac:dyDescent="0.35">
      <c r="A13" s="13">
        <v>44270</v>
      </c>
      <c r="B13" s="19" t="s">
        <v>356</v>
      </c>
      <c r="C13" s="22">
        <f>TOTAL!C13*TOTAL!$K$31</f>
        <v>0</v>
      </c>
      <c r="D13" s="17">
        <f>IFERROR(GETPIVOTDATA("Soma de Peso bruto",$I$31,"Semana",Tabela3345678[[#This Row],[Semana]]),0)-Tabela3345678[[#This Row],[Atrasado]]</f>
        <v>0</v>
      </c>
      <c r="E13" s="17">
        <v>0</v>
      </c>
      <c r="F13" s="16">
        <f>IF(SUM($F$2:F12)&gt;$D$27,0,IF(SUM($F$2:F12)+C13&gt;$D$27,$D$27-SUM($F$2:F12),VALUE(C13)))</f>
        <v>0</v>
      </c>
      <c r="G13" s="16">
        <f t="shared" si="1"/>
        <v>0</v>
      </c>
    </row>
    <row r="14" spans="1:7" x14ac:dyDescent="0.35">
      <c r="A14" s="13">
        <v>44277</v>
      </c>
      <c r="B14" s="19" t="s">
        <v>357</v>
      </c>
      <c r="C14" s="22">
        <f>TOTAL!C14*TOTAL!$K$31</f>
        <v>0</v>
      </c>
      <c r="D14" s="17">
        <f>IFERROR(GETPIVOTDATA("Soma de Peso bruto",$I$31,"Semana",Tabela3345678[[#This Row],[Semana]]),0)-Tabela3345678[[#This Row],[Atrasado]]</f>
        <v>0</v>
      </c>
      <c r="E14" s="17">
        <v>0</v>
      </c>
      <c r="F14" s="16">
        <f>IF(SUM($F$2:F13)&gt;$D$27,0,IF(SUM($F$2:F13)+C14&gt;$D$27,$D$27-SUM($F$2:F13),VALUE(C14)))</f>
        <v>0</v>
      </c>
      <c r="G14" s="16">
        <f t="shared" si="1"/>
        <v>0</v>
      </c>
    </row>
    <row r="15" spans="1:7" x14ac:dyDescent="0.35">
      <c r="A15" s="13">
        <v>44284</v>
      </c>
      <c r="B15" s="19" t="s">
        <v>358</v>
      </c>
      <c r="C15" s="22">
        <f>TOTAL!C15*TOTAL!$K$31</f>
        <v>0</v>
      </c>
      <c r="D15" s="17">
        <f>IFERROR(GETPIVOTDATA("Soma de Peso bruto",$I$31,"Semana",Tabela3345678[[#This Row],[Semana]]),0)-Tabela3345678[[#This Row],[Atrasado]]</f>
        <v>0</v>
      </c>
      <c r="E15" s="17">
        <v>0</v>
      </c>
      <c r="F15" s="16">
        <f>IF(SUM($F$2:F14)&gt;$D$27,0,IF(SUM($F$2:F14)+C15&gt;$D$27,$D$27-SUM($F$2:F14),VALUE(C15)))</f>
        <v>0</v>
      </c>
      <c r="G15" s="16">
        <f t="shared" si="1"/>
        <v>0</v>
      </c>
    </row>
    <row r="16" spans="1:7" x14ac:dyDescent="0.35">
      <c r="A16" s="13">
        <v>44291</v>
      </c>
      <c r="B16" s="19" t="s">
        <v>359</v>
      </c>
      <c r="C16" s="22">
        <f>TOTAL!C16*TOTAL!$K$31</f>
        <v>0</v>
      </c>
      <c r="D16" s="17">
        <f>IFERROR(GETPIVOTDATA("Soma de Peso bruto",$I$31,"Semana",Tabela3345678[[#This Row],[Semana]]),0)-Tabela3345678[[#This Row],[Atrasado]]</f>
        <v>0</v>
      </c>
      <c r="E16" s="17">
        <v>0</v>
      </c>
      <c r="F16" s="16">
        <f>IF(SUM($F$2:F15)&gt;$D$27,0,IF(SUM($F$2:F15)+C16&gt;$D$27,$D$27-SUM($F$2:F15),VALUE(C16)))</f>
        <v>0</v>
      </c>
      <c r="G16" s="16">
        <f t="shared" si="1"/>
        <v>0</v>
      </c>
    </row>
    <row r="17" spans="1:11" x14ac:dyDescent="0.35">
      <c r="A17" s="13">
        <v>44298</v>
      </c>
      <c r="B17" s="19" t="s">
        <v>360</v>
      </c>
      <c r="C17" s="22">
        <f>TOTAL!C17*TOTAL!$K$31</f>
        <v>0</v>
      </c>
      <c r="D17" s="17">
        <f>IFERROR(GETPIVOTDATA("Soma de Peso bruto",$I$31,"Semana",Tabela3345678[[#This Row],[Semana]]),0)-Tabela3345678[[#This Row],[Atrasado]]</f>
        <v>0</v>
      </c>
      <c r="E17" s="17">
        <v>0</v>
      </c>
      <c r="F17" s="16">
        <f>IF(SUM($F$2:F16)&gt;$D$27,0,IF(SUM($F$2:F16)+C17&gt;$D$27,$D$27-SUM($F$2:F16),VALUE(C17)))</f>
        <v>0</v>
      </c>
      <c r="G17" s="16">
        <f t="shared" si="1"/>
        <v>0</v>
      </c>
    </row>
    <row r="18" spans="1:11" x14ac:dyDescent="0.35">
      <c r="A18" s="13">
        <v>44305</v>
      </c>
      <c r="B18" s="19" t="s">
        <v>361</v>
      </c>
      <c r="C18" s="22">
        <f>TOTAL!C18*TOTAL!$K$31</f>
        <v>0</v>
      </c>
      <c r="D18" s="17">
        <f>IFERROR(GETPIVOTDATA("Soma de Peso bruto",$I$31,"Semana",Tabela3345678[[#This Row],[Semana]]),0)-Tabela3345678[[#This Row],[Atrasado]]</f>
        <v>0</v>
      </c>
      <c r="E18" s="17">
        <v>0</v>
      </c>
      <c r="F18" s="16">
        <f>IF(SUM($F$2:F17)&gt;$D$27,0,IF(SUM($F$2:F17)+C18&gt;$D$27,$D$27-SUM($F$2:F17),VALUE(C18)))</f>
        <v>0</v>
      </c>
      <c r="G18" s="16">
        <f t="shared" si="1"/>
        <v>0</v>
      </c>
    </row>
    <row r="19" spans="1:11" x14ac:dyDescent="0.35">
      <c r="A19" s="13">
        <v>44312</v>
      </c>
      <c r="B19" s="19" t="s">
        <v>362</v>
      </c>
      <c r="C19" s="22">
        <f>TOTAL!C19*TOTAL!$K$31</f>
        <v>49580</v>
      </c>
      <c r="D19" s="17">
        <f>IFERROR(GETPIVOTDATA("Soma de Peso bruto",$I$31,"Semana",Tabela3345678[[#This Row],[Semana]]),0)-Tabela3345678[[#This Row],[Atrasado]]</f>
        <v>9842.66</v>
      </c>
      <c r="E19" s="17">
        <v>0</v>
      </c>
      <c r="F19" s="16">
        <f>IF(SUM($F$2:F18)&gt;$D$27,0,IF(SUM($F$2:F18)+C19&gt;$D$27,$D$27-SUM($F$2:F18),VALUE(C19)))</f>
        <v>49580</v>
      </c>
      <c r="G19" s="16">
        <f t="shared" si="1"/>
        <v>0</v>
      </c>
    </row>
    <row r="20" spans="1:11" x14ac:dyDescent="0.35">
      <c r="A20" s="13">
        <v>44319</v>
      </c>
      <c r="B20" s="19" t="s">
        <v>363</v>
      </c>
      <c r="C20" s="22">
        <f>TOTAL!C20*TOTAL!$K$31</f>
        <v>42820</v>
      </c>
      <c r="D20" s="17">
        <f>IFERROR(GETPIVOTDATA("Soma de Peso bruto",$I$31,"Semana",Tabela3345678[[#This Row],[Semana]]),0)-Tabela3345678[[#This Row],[Atrasado]]</f>
        <v>120303.56000000001</v>
      </c>
      <c r="E20" s="17">
        <v>0</v>
      </c>
      <c r="F20" s="16">
        <f>IF(SUM($F$2:F19)&gt;$D$27,0,IF(SUM($F$2:F19)+C20&gt;$D$27,$D$27-SUM($F$2:F19),VALUE(C20)))</f>
        <v>42820</v>
      </c>
      <c r="G20" s="16">
        <f t="shared" si="1"/>
        <v>0</v>
      </c>
    </row>
    <row r="21" spans="1:11" x14ac:dyDescent="0.35">
      <c r="A21" s="13">
        <v>44326</v>
      </c>
      <c r="B21" s="19" t="s">
        <v>364</v>
      </c>
      <c r="C21" s="22">
        <f>TOTAL!C21*TOTAL!$K$31</f>
        <v>52320</v>
      </c>
      <c r="D21" s="17">
        <f>IFERROR(GETPIVOTDATA("Soma de Peso bruto",$I$31,"Semana",Tabela3345678[[#This Row],[Semana]]),0)-Tabela3345678[[#This Row],[Atrasado]]</f>
        <v>1334.7800000000002</v>
      </c>
      <c r="E21" s="17">
        <v>0</v>
      </c>
      <c r="F21" s="16">
        <f>IF(SUM($F$2:F20)&gt;$D$27,0,IF(SUM($F$2:F20)+C21&gt;$D$27,$D$27-SUM($F$2:F20),VALUE(C21)))</f>
        <v>52320</v>
      </c>
      <c r="G21" s="16">
        <f t="shared" si="1"/>
        <v>0</v>
      </c>
    </row>
    <row r="22" spans="1:11" x14ac:dyDescent="0.35">
      <c r="A22" s="13">
        <v>44333</v>
      </c>
      <c r="B22" s="19" t="s">
        <v>365</v>
      </c>
      <c r="C22" s="22">
        <f>TOTAL!C22*TOTAL!$K$31</f>
        <v>51420</v>
      </c>
      <c r="D22" s="17">
        <f>IFERROR(GETPIVOTDATA("Soma de Peso bruto",$I$31,"Semana",Tabela3345678[[#This Row],[Semana]]),0)-Tabela3345678[[#This Row],[Atrasado]]</f>
        <v>1454.0900000000001</v>
      </c>
      <c r="E22" s="17">
        <v>0</v>
      </c>
      <c r="F22" s="16">
        <f>IF(SUM($F$2:F21)&gt;$D$27,0,IF(SUM($F$2:F21)+C22&gt;$D$27,$D$27-SUM($F$2:F21),VALUE(C22)))</f>
        <v>1218.0900000000256</v>
      </c>
      <c r="G22" s="16">
        <f t="shared" si="1"/>
        <v>50201.909999999974</v>
      </c>
    </row>
    <row r="23" spans="1:11" x14ac:dyDescent="0.35">
      <c r="A23" s="13">
        <v>44340</v>
      </c>
      <c r="B23" s="19" t="s">
        <v>366</v>
      </c>
      <c r="C23" s="22">
        <f>TOTAL!C23*TOTAL!$K$31</f>
        <v>48820</v>
      </c>
      <c r="D23" s="17">
        <f>IFERROR(GETPIVOTDATA("Soma de Peso bruto",$I$31,"Semana",Tabela3345678[[#This Row],[Semana]]),0)-Tabela3345678[[#This Row],[Atrasado]]</f>
        <v>0</v>
      </c>
      <c r="E23" s="17">
        <v>0</v>
      </c>
      <c r="F23" s="16">
        <f>IF(SUM($F$2:F22)&gt;$D$27,0,IF(SUM($F$2:F22)+C23&gt;$D$27,$D$27-SUM($F$2:F22),VALUE(C23)))</f>
        <v>0</v>
      </c>
      <c r="G23" s="16">
        <f t="shared" si="1"/>
        <v>48820</v>
      </c>
    </row>
    <row r="24" spans="1:11" x14ac:dyDescent="0.35">
      <c r="A24" s="13">
        <v>44347</v>
      </c>
      <c r="B24" s="19" t="s">
        <v>367</v>
      </c>
      <c r="C24" s="22">
        <f>TOTAL!C24*TOTAL!$K$31</f>
        <v>51420</v>
      </c>
      <c r="D24" s="17">
        <f>IFERROR(GETPIVOTDATA("Soma de Peso bruto",$I$31,"Semana",Tabela3345678[[#This Row],[Semana]]),0)-Tabela3345678[[#This Row],[Atrasado]]</f>
        <v>13003</v>
      </c>
      <c r="E24" s="17">
        <v>0</v>
      </c>
      <c r="F24" s="16">
        <f>IF(SUM($F$2:F23)&gt;$D$27,0,IF(SUM($F$2:F23)+C24&gt;$D$27,$D$27-SUM($F$2:F23),VALUE(C24)))</f>
        <v>0</v>
      </c>
      <c r="G24" s="16">
        <f t="shared" si="1"/>
        <v>51420</v>
      </c>
    </row>
    <row r="25" spans="1:11" x14ac:dyDescent="0.35">
      <c r="A25" s="13">
        <v>44354</v>
      </c>
      <c r="B25" s="19" t="s">
        <v>368</v>
      </c>
      <c r="C25" s="22">
        <f>TOTAL!C25*TOTAL!$K$31</f>
        <v>42520</v>
      </c>
      <c r="D25" s="17">
        <f>IFERROR(GETPIVOTDATA("Soma de Peso bruto",$I$31,"Semana",Tabela3345678[[#This Row],[Semana]]),0)-Tabela3345678[[#This Row],[Atrasado]]</f>
        <v>0</v>
      </c>
      <c r="E25" s="17">
        <v>0</v>
      </c>
      <c r="F25" s="16">
        <f>IF(SUM($F$2:F24)&gt;$D$27,0,IF(SUM($F$2:F24)+C25&gt;$D$27,$D$27-SUM($F$2:F24),VALUE(C25)))</f>
        <v>0</v>
      </c>
      <c r="G25" s="16">
        <f t="shared" si="1"/>
        <v>42520</v>
      </c>
    </row>
    <row r="26" spans="1:11" x14ac:dyDescent="0.35">
      <c r="A26" s="13"/>
      <c r="B26" s="13"/>
      <c r="C26" s="23"/>
      <c r="D26" s="13"/>
      <c r="E26" s="13"/>
      <c r="F26" s="13"/>
      <c r="G26" s="13"/>
      <c r="H26" s="13"/>
      <c r="J26" s="18"/>
    </row>
    <row r="27" spans="1:11" x14ac:dyDescent="0.35">
      <c r="A27" s="13"/>
      <c r="B27" s="13"/>
      <c r="C27" s="24">
        <f>SUBTOTAL(9,Tabela3345678[Ton limite])</f>
        <v>338900</v>
      </c>
      <c r="D27" s="16">
        <f>SUM(Tabela3345678[Programado])</f>
        <v>145938.09000000003</v>
      </c>
      <c r="F27" s="16">
        <f>SUBTOTAL(109,Tabela3345678[Balizador])</f>
        <v>145938.09000000003</v>
      </c>
      <c r="G27" s="13"/>
      <c r="H27" s="13"/>
      <c r="I27"/>
      <c r="J27"/>
    </row>
    <row r="28" spans="1:11" x14ac:dyDescent="0.35">
      <c r="I28" s="1" t="s">
        <v>2</v>
      </c>
      <c r="J28" t="s">
        <v>123</v>
      </c>
    </row>
    <row r="29" spans="1:11" x14ac:dyDescent="0.35">
      <c r="I29" s="1" t="s">
        <v>85</v>
      </c>
      <c r="J29" t="s">
        <v>260</v>
      </c>
    </row>
    <row r="30" spans="1:11" x14ac:dyDescent="0.35">
      <c r="I30" s="12">
        <v>2</v>
      </c>
    </row>
    <row r="31" spans="1:11" x14ac:dyDescent="0.35">
      <c r="I31" s="1" t="s">
        <v>82</v>
      </c>
      <c r="J31" s="4" t="s">
        <v>98</v>
      </c>
      <c r="K31" s="4" t="s">
        <v>84</v>
      </c>
    </row>
    <row r="32" spans="1:11" x14ac:dyDescent="0.35">
      <c r="I32" s="8" t="s">
        <v>364</v>
      </c>
      <c r="J32" s="2">
        <v>445069.81</v>
      </c>
      <c r="K32" s="3">
        <v>1334.7800000000002</v>
      </c>
    </row>
    <row r="33" spans="9:12" x14ac:dyDescent="0.35">
      <c r="I33" s="8" t="s">
        <v>363</v>
      </c>
      <c r="J33" s="2">
        <v>4628246.68</v>
      </c>
      <c r="K33" s="3">
        <v>120303.56000000001</v>
      </c>
    </row>
    <row r="34" spans="9:12" x14ac:dyDescent="0.35">
      <c r="I34" s="8" t="s">
        <v>362</v>
      </c>
      <c r="J34" s="2">
        <v>7412766.8000000007</v>
      </c>
      <c r="K34" s="3">
        <v>9842.66</v>
      </c>
    </row>
    <row r="35" spans="9:12" x14ac:dyDescent="0.35">
      <c r="I35" s="8" t="s">
        <v>361</v>
      </c>
      <c r="J35" s="2">
        <v>1033.8699999999999</v>
      </c>
      <c r="K35" s="3">
        <v>0</v>
      </c>
      <c r="L35" s="18"/>
    </row>
    <row r="36" spans="9:12" x14ac:dyDescent="0.35">
      <c r="I36" s="8" t="s">
        <v>367</v>
      </c>
      <c r="J36" s="2">
        <v>417078.04</v>
      </c>
      <c r="K36" s="3">
        <v>13003</v>
      </c>
      <c r="L36" s="18"/>
    </row>
    <row r="37" spans="9:12" x14ac:dyDescent="0.35">
      <c r="I37" s="8" t="s">
        <v>365</v>
      </c>
      <c r="J37" s="2">
        <v>381433.5</v>
      </c>
      <c r="K37" s="3">
        <v>1454.0900000000001</v>
      </c>
    </row>
    <row r="38" spans="9:12" x14ac:dyDescent="0.35">
      <c r="I38" s="8" t="s">
        <v>83</v>
      </c>
      <c r="J38" s="2">
        <v>13285628.699999997</v>
      </c>
      <c r="K38" s="3">
        <v>145938.09</v>
      </c>
    </row>
    <row r="39" spans="9:12" x14ac:dyDescent="0.35">
      <c r="I39"/>
      <c r="J39"/>
      <c r="K39"/>
    </row>
    <row r="40" spans="9:12" x14ac:dyDescent="0.35">
      <c r="I40"/>
      <c r="J40"/>
      <c r="K40"/>
    </row>
    <row r="41" spans="9:12" x14ac:dyDescent="0.35">
      <c r="I41"/>
      <c r="J41"/>
      <c r="K41"/>
    </row>
    <row r="42" spans="9:12" x14ac:dyDescent="0.35">
      <c r="I42"/>
      <c r="J42"/>
      <c r="K42"/>
    </row>
    <row r="43" spans="9:12" x14ac:dyDescent="0.35">
      <c r="I43"/>
      <c r="J43"/>
      <c r="K43"/>
    </row>
    <row r="44" spans="9:12" x14ac:dyDescent="0.35">
      <c r="I44"/>
      <c r="J44"/>
      <c r="K44"/>
    </row>
    <row r="45" spans="9:12" x14ac:dyDescent="0.35">
      <c r="I45"/>
      <c r="J45"/>
      <c r="K45"/>
    </row>
    <row r="46" spans="9:12" x14ac:dyDescent="0.35">
      <c r="I46"/>
      <c r="J46"/>
      <c r="K46"/>
    </row>
    <row r="47" spans="9:12" x14ac:dyDescent="0.35">
      <c r="I47"/>
      <c r="J47"/>
      <c r="K47"/>
    </row>
    <row r="48" spans="9:12" x14ac:dyDescent="0.35">
      <c r="I48"/>
      <c r="J48"/>
      <c r="K48"/>
    </row>
    <row r="49" spans="9:11" x14ac:dyDescent="0.35">
      <c r="I49"/>
      <c r="J49"/>
      <c r="K49"/>
    </row>
    <row r="50" spans="9:11" x14ac:dyDescent="0.35">
      <c r="I50"/>
      <c r="J50"/>
      <c r="K50"/>
    </row>
    <row r="51" spans="9:11" x14ac:dyDescent="0.35">
      <c r="I51"/>
      <c r="J51"/>
      <c r="K51"/>
    </row>
    <row r="52" spans="9:11" x14ac:dyDescent="0.35">
      <c r="I52"/>
      <c r="J52"/>
      <c r="K52"/>
    </row>
    <row r="53" spans="9:11" x14ac:dyDescent="0.35">
      <c r="I53"/>
      <c r="J53"/>
      <c r="K53"/>
    </row>
    <row r="54" spans="9:11" x14ac:dyDescent="0.35">
      <c r="I54"/>
      <c r="J54"/>
      <c r="K54"/>
    </row>
    <row r="55" spans="9:11" x14ac:dyDescent="0.35">
      <c r="I55"/>
      <c r="J55"/>
      <c r="K55"/>
    </row>
    <row r="67" spans="11:13" x14ac:dyDescent="0.35">
      <c r="K67"/>
      <c r="L67"/>
      <c r="M67"/>
    </row>
    <row r="68" spans="11:13" x14ac:dyDescent="0.35">
      <c r="K68"/>
      <c r="L68"/>
      <c r="M68"/>
    </row>
    <row r="69" spans="11:13" x14ac:dyDescent="0.35">
      <c r="K69"/>
      <c r="L69"/>
      <c r="M69"/>
    </row>
    <row r="70" spans="11:13" x14ac:dyDescent="0.35">
      <c r="K70"/>
      <c r="L70"/>
      <c r="M70"/>
    </row>
    <row r="71" spans="11:13" x14ac:dyDescent="0.35">
      <c r="K71"/>
      <c r="L71"/>
      <c r="M71"/>
    </row>
    <row r="72" spans="11:13" x14ac:dyDescent="0.35">
      <c r="K72"/>
      <c r="L72"/>
      <c r="M72"/>
    </row>
    <row r="73" spans="11:13" x14ac:dyDescent="0.35">
      <c r="K73"/>
      <c r="L73"/>
      <c r="M73"/>
    </row>
    <row r="74" spans="11:13" x14ac:dyDescent="0.35">
      <c r="K74"/>
      <c r="L74"/>
      <c r="M74"/>
    </row>
    <row r="75" spans="11:13" x14ac:dyDescent="0.35">
      <c r="K75"/>
      <c r="L75"/>
      <c r="M75"/>
    </row>
    <row r="76" spans="11:13" x14ac:dyDescent="0.35">
      <c r="K76"/>
      <c r="L76"/>
      <c r="M76"/>
    </row>
    <row r="77" spans="11:13" x14ac:dyDescent="0.35">
      <c r="K77"/>
      <c r="L77"/>
      <c r="M77"/>
    </row>
    <row r="78" spans="11:13" x14ac:dyDescent="0.35">
      <c r="K78"/>
      <c r="L78"/>
      <c r="M78"/>
    </row>
    <row r="79" spans="11:13" x14ac:dyDescent="0.35">
      <c r="K79"/>
      <c r="L79"/>
      <c r="M79"/>
    </row>
    <row r="80" spans="11:13" x14ac:dyDescent="0.35">
      <c r="K80"/>
      <c r="L80"/>
      <c r="M80"/>
    </row>
    <row r="81" spans="11:13" x14ac:dyDescent="0.35">
      <c r="K81"/>
      <c r="L81"/>
      <c r="M81"/>
    </row>
    <row r="82" spans="11:13" x14ac:dyDescent="0.35">
      <c r="K82"/>
      <c r="L82"/>
      <c r="M82"/>
    </row>
    <row r="83" spans="11:13" x14ac:dyDescent="0.35">
      <c r="K83"/>
      <c r="L83"/>
      <c r="M83"/>
    </row>
    <row r="84" spans="11:13" x14ac:dyDescent="0.35">
      <c r="K84"/>
      <c r="L84"/>
      <c r="M84"/>
    </row>
    <row r="85" spans="11:13" x14ac:dyDescent="0.35">
      <c r="K85"/>
      <c r="L85"/>
      <c r="M85"/>
    </row>
    <row r="86" spans="11:13" x14ac:dyDescent="0.35">
      <c r="K86"/>
      <c r="L86"/>
      <c r="M86"/>
    </row>
    <row r="87" spans="11:13" x14ac:dyDescent="0.35">
      <c r="K87"/>
      <c r="L87"/>
      <c r="M87"/>
    </row>
    <row r="88" spans="11:13" x14ac:dyDescent="0.35">
      <c r="K88"/>
      <c r="L88"/>
      <c r="M88"/>
    </row>
    <row r="89" spans="11:13" x14ac:dyDescent="0.35">
      <c r="K89"/>
      <c r="L89"/>
      <c r="M89"/>
    </row>
    <row r="90" spans="11:13" x14ac:dyDescent="0.35">
      <c r="K90"/>
      <c r="L90"/>
      <c r="M90"/>
    </row>
    <row r="91" spans="11:13" x14ac:dyDescent="0.35">
      <c r="K91"/>
      <c r="L91"/>
      <c r="M91"/>
    </row>
    <row r="92" spans="11:13" x14ac:dyDescent="0.35">
      <c r="K92"/>
      <c r="L92"/>
      <c r="M92"/>
    </row>
    <row r="93" spans="11:13" x14ac:dyDescent="0.35">
      <c r="K93"/>
      <c r="L93"/>
      <c r="M93"/>
    </row>
    <row r="94" spans="11:13" x14ac:dyDescent="0.35">
      <c r="K94"/>
      <c r="L94"/>
      <c r="M94"/>
    </row>
    <row r="95" spans="11:13" x14ac:dyDescent="0.35">
      <c r="K95"/>
      <c r="L95"/>
      <c r="M95"/>
    </row>
    <row r="96" spans="11:13" x14ac:dyDescent="0.35">
      <c r="K96"/>
      <c r="L96"/>
      <c r="M96"/>
    </row>
    <row r="97" spans="11:13" x14ac:dyDescent="0.35">
      <c r="K97"/>
      <c r="L97"/>
      <c r="M97"/>
    </row>
    <row r="98" spans="11:13" x14ac:dyDescent="0.35">
      <c r="K98"/>
      <c r="L98"/>
      <c r="M98"/>
    </row>
    <row r="99" spans="11:13" x14ac:dyDescent="0.35">
      <c r="K99"/>
      <c r="L99"/>
      <c r="M99"/>
    </row>
    <row r="100" spans="11:13" x14ac:dyDescent="0.35">
      <c r="K100"/>
      <c r="L100"/>
      <c r="M100"/>
    </row>
    <row r="101" spans="11:13" x14ac:dyDescent="0.35">
      <c r="K101"/>
      <c r="L101"/>
      <c r="M101"/>
    </row>
    <row r="102" spans="11:13" x14ac:dyDescent="0.35">
      <c r="K102"/>
      <c r="L102"/>
      <c r="M102"/>
    </row>
    <row r="103" spans="11:13" x14ac:dyDescent="0.35">
      <c r="K103"/>
      <c r="L103"/>
      <c r="M103"/>
    </row>
    <row r="104" spans="11:13" x14ac:dyDescent="0.35">
      <c r="K104"/>
      <c r="L104"/>
      <c r="M104"/>
    </row>
    <row r="105" spans="11:13" x14ac:dyDescent="0.35">
      <c r="K105"/>
      <c r="L105"/>
      <c r="M105"/>
    </row>
    <row r="106" spans="11:13" x14ac:dyDescent="0.35">
      <c r="K106"/>
      <c r="L106"/>
      <c r="M106"/>
    </row>
    <row r="107" spans="11:13" x14ac:dyDescent="0.35">
      <c r="K107"/>
      <c r="L107"/>
      <c r="M107"/>
    </row>
    <row r="108" spans="11:13" x14ac:dyDescent="0.35">
      <c r="K108"/>
      <c r="L108"/>
      <c r="M108"/>
    </row>
    <row r="109" spans="11:13" x14ac:dyDescent="0.35">
      <c r="K109"/>
      <c r="L109"/>
      <c r="M109"/>
    </row>
    <row r="110" spans="11:13" x14ac:dyDescent="0.35">
      <c r="K110"/>
      <c r="L110"/>
      <c r="M110"/>
    </row>
    <row r="111" spans="11:13" x14ac:dyDescent="0.35">
      <c r="K111"/>
      <c r="L111"/>
      <c r="M111"/>
    </row>
    <row r="112" spans="11:13" x14ac:dyDescent="0.35">
      <c r="K112"/>
      <c r="L112"/>
      <c r="M112"/>
    </row>
    <row r="113" spans="11:13" x14ac:dyDescent="0.35">
      <c r="K113"/>
      <c r="L113"/>
      <c r="M113"/>
    </row>
    <row r="114" spans="11:13" x14ac:dyDescent="0.35">
      <c r="K114"/>
      <c r="L114"/>
      <c r="M114"/>
    </row>
    <row r="115" spans="11:13" x14ac:dyDescent="0.35">
      <c r="K115"/>
      <c r="L115"/>
      <c r="M115"/>
    </row>
    <row r="116" spans="11:13" x14ac:dyDescent="0.35">
      <c r="K116"/>
      <c r="L116"/>
      <c r="M116"/>
    </row>
    <row r="117" spans="11:13" x14ac:dyDescent="0.35">
      <c r="K117"/>
      <c r="L117"/>
      <c r="M117"/>
    </row>
    <row r="118" spans="11:13" x14ac:dyDescent="0.35">
      <c r="K118"/>
      <c r="L118"/>
      <c r="M118"/>
    </row>
    <row r="119" spans="11:13" x14ac:dyDescent="0.35">
      <c r="K119"/>
      <c r="L119"/>
      <c r="M119"/>
    </row>
    <row r="120" spans="11:13" x14ac:dyDescent="0.35">
      <c r="K120"/>
      <c r="L120"/>
      <c r="M120"/>
    </row>
  </sheetData>
  <protectedRanges>
    <protectedRange algorithmName="SHA-512" hashValue="qdtv/TDXtsMvpZTD46CUiylflvlJqOafLYfMK28QkTCY6UjfnJ/NNIPCQhBC2EXLjwMcdT3Lbyjj/LrMZ0Dj2g==" saltValue="3+2tHwc1s9OUC+bgJNm7uw==" spinCount="100000" sqref="A2:A25" name="Alex colunas fixas"/>
  </protectedRanges>
  <conditionalFormatting pivot="1" sqref="K32:K38">
    <cfRule type="cellIs" dxfId="9" priority="2" operator="greaterThan">
      <formula>375000</formula>
    </cfRule>
  </conditionalFormatting>
  <conditionalFormatting pivot="1" sqref="K32:K38">
    <cfRule type="cellIs" dxfId="8" priority="1" operator="between">
      <formula>0</formula>
      <formula>374999</formula>
    </cfRule>
  </conditionalFormatting>
  <pageMargins left="0.511811024" right="0.511811024" top="0.78740157499999996" bottom="0.78740157499999996" header="0.31496062000000002" footer="0.31496062000000002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128CA645-C8F3-49A3-B01D-E6768C2EAE44}">
            <xm:f>NOT(ISERROR(SEARCH($A$4,I32)))</xm:f>
            <xm:f>$A$4</xm:f>
            <x14:dxf>
              <font>
                <b/>
                <i val="0"/>
              </font>
              <fill>
                <patternFill patternType="darkUp">
                  <fgColor theme="5" tint="0.79998168889431442"/>
                  <bgColor auto="1"/>
                </patternFill>
              </fill>
              <border>
                <top style="dashed">
                  <color rgb="FFC00000"/>
                </top>
                <bottom style="dashed">
                  <color rgb="FFC00000"/>
                </bottom>
                <vertical/>
                <horizontal/>
              </border>
            </x14:dxf>
          </x14:cfRule>
          <xm:sqref>I32:I50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A3:B3"/>
  <sheetViews>
    <sheetView workbookViewId="0">
      <selection activeCell="H19" sqref="H19"/>
    </sheetView>
  </sheetViews>
  <sheetFormatPr defaultRowHeight="14.5" x14ac:dyDescent="0.35"/>
  <cols>
    <col min="1" max="1" width="13.6328125" bestFit="1" customWidth="1"/>
    <col min="2" max="2" width="8.81640625" bestFit="1" customWidth="1"/>
    <col min="3" max="5" width="25.81640625" bestFit="1" customWidth="1"/>
    <col min="6" max="12" width="5" bestFit="1" customWidth="1"/>
    <col min="13" max="43" width="6" bestFit="1" customWidth="1"/>
    <col min="44" max="56" width="7" bestFit="1" customWidth="1"/>
    <col min="57" max="63" width="19.81640625" bestFit="1" customWidth="1"/>
  </cols>
  <sheetData>
    <row r="3" spans="1:2" x14ac:dyDescent="0.35">
      <c r="A3" s="1" t="s">
        <v>2</v>
      </c>
      <c r="B3" t="s">
        <v>123</v>
      </c>
    </row>
  </sheetData>
  <pageMargins left="0.511811024" right="0.511811024" top="0.78740157499999996" bottom="0.78740157499999996" header="0.31496062000000002" footer="0.31496062000000002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D1A173-E360-4482-BCDA-068C0DDAE0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840</vt:i4>
      </vt:variant>
    </vt:vector>
  </HeadingPairs>
  <TitlesOfParts>
    <vt:vector size="852" baseType="lpstr">
      <vt:lpstr>Resumo da Carteira</vt:lpstr>
      <vt:lpstr>Plan1</vt:lpstr>
      <vt:lpstr>Fluxo de Atravessamento BSA</vt:lpstr>
      <vt:lpstr>Saldo a Produzir</vt:lpstr>
      <vt:lpstr>TOTAL</vt:lpstr>
      <vt:lpstr>OUTROS</vt:lpstr>
      <vt:lpstr>PP1+PP2</vt:lpstr>
      <vt:lpstr>PP3</vt:lpstr>
      <vt:lpstr>DRI</vt:lpstr>
      <vt:lpstr>FLOW RACK</vt:lpstr>
      <vt:lpstr>DIN + PUSH</vt:lpstr>
      <vt:lpstr>Experiência</vt:lpstr>
      <vt:lpstr>'DIN + PUSH'!Atrasado_1</vt:lpstr>
      <vt:lpstr>DRI!Atrasado_1</vt:lpstr>
      <vt:lpstr>'FLOW RACK'!Atrasado_1</vt:lpstr>
      <vt:lpstr>OUTROS!Atrasado_1</vt:lpstr>
      <vt:lpstr>'PP1+PP2'!Atrasado_1</vt:lpstr>
      <vt:lpstr>'PP3'!Atrasado_1</vt:lpstr>
      <vt:lpstr>TOTAL!Atrasado_1</vt:lpstr>
      <vt:lpstr>'DIN + PUSH'!Atrasado_10</vt:lpstr>
      <vt:lpstr>DRI!Atrasado_10</vt:lpstr>
      <vt:lpstr>'FLOW RACK'!Atrasado_10</vt:lpstr>
      <vt:lpstr>OUTROS!Atrasado_10</vt:lpstr>
      <vt:lpstr>'PP1+PP2'!Atrasado_10</vt:lpstr>
      <vt:lpstr>'PP3'!Atrasado_10</vt:lpstr>
      <vt:lpstr>TOTAL!Atrasado_10</vt:lpstr>
      <vt:lpstr>'DIN + PUSH'!Atrasado_11</vt:lpstr>
      <vt:lpstr>DRI!Atrasado_11</vt:lpstr>
      <vt:lpstr>'FLOW RACK'!Atrasado_11</vt:lpstr>
      <vt:lpstr>OUTROS!Atrasado_11</vt:lpstr>
      <vt:lpstr>'PP1+PP2'!Atrasado_11</vt:lpstr>
      <vt:lpstr>'PP3'!Atrasado_11</vt:lpstr>
      <vt:lpstr>TOTAL!Atrasado_11</vt:lpstr>
      <vt:lpstr>'DIN + PUSH'!Atrasado_12</vt:lpstr>
      <vt:lpstr>DRI!Atrasado_12</vt:lpstr>
      <vt:lpstr>'FLOW RACK'!Atrasado_12</vt:lpstr>
      <vt:lpstr>OUTROS!Atrasado_12</vt:lpstr>
      <vt:lpstr>'PP1+PP2'!Atrasado_12</vt:lpstr>
      <vt:lpstr>'PP3'!Atrasado_12</vt:lpstr>
      <vt:lpstr>TOTAL!Atrasado_12</vt:lpstr>
      <vt:lpstr>'DIN + PUSH'!Atrasado_13</vt:lpstr>
      <vt:lpstr>DRI!Atrasado_13</vt:lpstr>
      <vt:lpstr>'FLOW RACK'!Atrasado_13</vt:lpstr>
      <vt:lpstr>OUTROS!Atrasado_13</vt:lpstr>
      <vt:lpstr>'PP1+PP2'!Atrasado_13</vt:lpstr>
      <vt:lpstr>'PP3'!Atrasado_13</vt:lpstr>
      <vt:lpstr>TOTAL!Atrasado_13</vt:lpstr>
      <vt:lpstr>'DIN + PUSH'!Atrasado_14</vt:lpstr>
      <vt:lpstr>DRI!Atrasado_14</vt:lpstr>
      <vt:lpstr>'FLOW RACK'!Atrasado_14</vt:lpstr>
      <vt:lpstr>OUTROS!Atrasado_14</vt:lpstr>
      <vt:lpstr>'PP1+PP2'!Atrasado_14</vt:lpstr>
      <vt:lpstr>'PP3'!Atrasado_14</vt:lpstr>
      <vt:lpstr>TOTAL!Atrasado_14</vt:lpstr>
      <vt:lpstr>'DIN + PUSH'!Atrasado_15</vt:lpstr>
      <vt:lpstr>DRI!Atrasado_15</vt:lpstr>
      <vt:lpstr>'FLOW RACK'!Atrasado_15</vt:lpstr>
      <vt:lpstr>OUTROS!Atrasado_15</vt:lpstr>
      <vt:lpstr>'PP1+PP2'!Atrasado_15</vt:lpstr>
      <vt:lpstr>'PP3'!Atrasado_15</vt:lpstr>
      <vt:lpstr>TOTAL!Atrasado_15</vt:lpstr>
      <vt:lpstr>'DIN + PUSH'!Atrasado_16</vt:lpstr>
      <vt:lpstr>DRI!Atrasado_16</vt:lpstr>
      <vt:lpstr>'FLOW RACK'!Atrasado_16</vt:lpstr>
      <vt:lpstr>OUTROS!Atrasado_16</vt:lpstr>
      <vt:lpstr>'PP1+PP2'!Atrasado_16</vt:lpstr>
      <vt:lpstr>'PP3'!Atrasado_16</vt:lpstr>
      <vt:lpstr>TOTAL!Atrasado_16</vt:lpstr>
      <vt:lpstr>'DIN + PUSH'!Atrasado_17</vt:lpstr>
      <vt:lpstr>DRI!Atrasado_17</vt:lpstr>
      <vt:lpstr>'FLOW RACK'!Atrasado_17</vt:lpstr>
      <vt:lpstr>OUTROS!Atrasado_17</vt:lpstr>
      <vt:lpstr>'PP1+PP2'!Atrasado_17</vt:lpstr>
      <vt:lpstr>'PP3'!Atrasado_17</vt:lpstr>
      <vt:lpstr>TOTAL!Atrasado_17</vt:lpstr>
      <vt:lpstr>'DIN + PUSH'!Atrasado_18</vt:lpstr>
      <vt:lpstr>DRI!Atrasado_18</vt:lpstr>
      <vt:lpstr>'FLOW RACK'!Atrasado_18</vt:lpstr>
      <vt:lpstr>OUTROS!Atrasado_18</vt:lpstr>
      <vt:lpstr>'PP1+PP2'!Atrasado_18</vt:lpstr>
      <vt:lpstr>'PP3'!Atrasado_18</vt:lpstr>
      <vt:lpstr>TOTAL!Atrasado_18</vt:lpstr>
      <vt:lpstr>'DIN + PUSH'!Atrasado_19</vt:lpstr>
      <vt:lpstr>DRI!Atrasado_19</vt:lpstr>
      <vt:lpstr>'FLOW RACK'!Atrasado_19</vt:lpstr>
      <vt:lpstr>OUTROS!Atrasado_19</vt:lpstr>
      <vt:lpstr>'PP1+PP2'!Atrasado_19</vt:lpstr>
      <vt:lpstr>'PP3'!Atrasado_19</vt:lpstr>
      <vt:lpstr>TOTAL!Atrasado_19</vt:lpstr>
      <vt:lpstr>'DIN + PUSH'!Atrasado_2</vt:lpstr>
      <vt:lpstr>DRI!Atrasado_2</vt:lpstr>
      <vt:lpstr>'FLOW RACK'!Atrasado_2</vt:lpstr>
      <vt:lpstr>OUTROS!Atrasado_2</vt:lpstr>
      <vt:lpstr>'PP1+PP2'!Atrasado_2</vt:lpstr>
      <vt:lpstr>'PP3'!Atrasado_2</vt:lpstr>
      <vt:lpstr>TOTAL!Atrasado_2</vt:lpstr>
      <vt:lpstr>'DIN + PUSH'!Atrasado_20</vt:lpstr>
      <vt:lpstr>DRI!Atrasado_20</vt:lpstr>
      <vt:lpstr>'FLOW RACK'!Atrasado_20</vt:lpstr>
      <vt:lpstr>OUTROS!Atrasado_20</vt:lpstr>
      <vt:lpstr>'PP1+PP2'!Atrasado_20</vt:lpstr>
      <vt:lpstr>'PP3'!Atrasado_20</vt:lpstr>
      <vt:lpstr>TOTAL!Atrasado_20</vt:lpstr>
      <vt:lpstr>'DIN + PUSH'!Atrasado_21</vt:lpstr>
      <vt:lpstr>DRI!Atrasado_21</vt:lpstr>
      <vt:lpstr>'FLOW RACK'!Atrasado_21</vt:lpstr>
      <vt:lpstr>OUTROS!Atrasado_21</vt:lpstr>
      <vt:lpstr>'PP1+PP2'!Atrasado_21</vt:lpstr>
      <vt:lpstr>'PP3'!Atrasado_21</vt:lpstr>
      <vt:lpstr>TOTAL!Atrasado_21</vt:lpstr>
      <vt:lpstr>'DIN + PUSH'!Atrasado_22</vt:lpstr>
      <vt:lpstr>DRI!Atrasado_22</vt:lpstr>
      <vt:lpstr>'FLOW RACK'!Atrasado_22</vt:lpstr>
      <vt:lpstr>OUTROS!Atrasado_22</vt:lpstr>
      <vt:lpstr>'PP1+PP2'!Atrasado_22</vt:lpstr>
      <vt:lpstr>'PP3'!Atrasado_22</vt:lpstr>
      <vt:lpstr>TOTAL!Atrasado_22</vt:lpstr>
      <vt:lpstr>'DIN + PUSH'!Atrasado_23</vt:lpstr>
      <vt:lpstr>DRI!Atrasado_23</vt:lpstr>
      <vt:lpstr>'FLOW RACK'!Atrasado_23</vt:lpstr>
      <vt:lpstr>OUTROS!Atrasado_23</vt:lpstr>
      <vt:lpstr>'PP1+PP2'!Atrasado_23</vt:lpstr>
      <vt:lpstr>'PP3'!Atrasado_23</vt:lpstr>
      <vt:lpstr>TOTAL!Atrasado_23</vt:lpstr>
      <vt:lpstr>'DIN + PUSH'!Atrasado_24</vt:lpstr>
      <vt:lpstr>DRI!Atrasado_24</vt:lpstr>
      <vt:lpstr>'FLOW RACK'!Atrasado_24</vt:lpstr>
      <vt:lpstr>OUTROS!Atrasado_24</vt:lpstr>
      <vt:lpstr>'PP1+PP2'!Atrasado_24</vt:lpstr>
      <vt:lpstr>'PP3'!Atrasado_24</vt:lpstr>
      <vt:lpstr>TOTAL!Atrasado_24</vt:lpstr>
      <vt:lpstr>'DIN + PUSH'!Atrasado_3</vt:lpstr>
      <vt:lpstr>DRI!Atrasado_3</vt:lpstr>
      <vt:lpstr>'FLOW RACK'!Atrasado_3</vt:lpstr>
      <vt:lpstr>OUTROS!Atrasado_3</vt:lpstr>
      <vt:lpstr>'PP1+PP2'!Atrasado_3</vt:lpstr>
      <vt:lpstr>'PP3'!Atrasado_3</vt:lpstr>
      <vt:lpstr>TOTAL!Atrasado_3</vt:lpstr>
      <vt:lpstr>'DIN + PUSH'!Atrasado_4</vt:lpstr>
      <vt:lpstr>DRI!Atrasado_4</vt:lpstr>
      <vt:lpstr>'FLOW RACK'!Atrasado_4</vt:lpstr>
      <vt:lpstr>OUTROS!Atrasado_4</vt:lpstr>
      <vt:lpstr>'PP1+PP2'!Atrasado_4</vt:lpstr>
      <vt:lpstr>'PP3'!Atrasado_4</vt:lpstr>
      <vt:lpstr>TOTAL!Atrasado_4</vt:lpstr>
      <vt:lpstr>'DIN + PUSH'!Atrasado_5</vt:lpstr>
      <vt:lpstr>DRI!Atrasado_5</vt:lpstr>
      <vt:lpstr>'FLOW RACK'!Atrasado_5</vt:lpstr>
      <vt:lpstr>OUTROS!Atrasado_5</vt:lpstr>
      <vt:lpstr>'PP1+PP2'!Atrasado_5</vt:lpstr>
      <vt:lpstr>'PP3'!Atrasado_5</vt:lpstr>
      <vt:lpstr>TOTAL!Atrasado_5</vt:lpstr>
      <vt:lpstr>'DIN + PUSH'!Atrasado_6</vt:lpstr>
      <vt:lpstr>DRI!Atrasado_6</vt:lpstr>
      <vt:lpstr>'FLOW RACK'!Atrasado_6</vt:lpstr>
      <vt:lpstr>OUTROS!Atrasado_6</vt:lpstr>
      <vt:lpstr>'PP1+PP2'!Atrasado_6</vt:lpstr>
      <vt:lpstr>'PP3'!Atrasado_6</vt:lpstr>
      <vt:lpstr>TOTAL!Atrasado_6</vt:lpstr>
      <vt:lpstr>'DIN + PUSH'!Atrasado_7</vt:lpstr>
      <vt:lpstr>DRI!Atrasado_7</vt:lpstr>
      <vt:lpstr>'FLOW RACK'!Atrasado_7</vt:lpstr>
      <vt:lpstr>OUTROS!Atrasado_7</vt:lpstr>
      <vt:lpstr>'PP1+PP2'!Atrasado_7</vt:lpstr>
      <vt:lpstr>'PP3'!Atrasado_7</vt:lpstr>
      <vt:lpstr>TOTAL!Atrasado_7</vt:lpstr>
      <vt:lpstr>'DIN + PUSH'!Atrasado_8</vt:lpstr>
      <vt:lpstr>DRI!Atrasado_8</vt:lpstr>
      <vt:lpstr>'FLOW RACK'!Atrasado_8</vt:lpstr>
      <vt:lpstr>OUTROS!Atrasado_8</vt:lpstr>
      <vt:lpstr>'PP1+PP2'!Atrasado_8</vt:lpstr>
      <vt:lpstr>'PP3'!Atrasado_8</vt:lpstr>
      <vt:lpstr>TOTAL!Atrasado_8</vt:lpstr>
      <vt:lpstr>'DIN + PUSH'!Atrasado_9</vt:lpstr>
      <vt:lpstr>DRI!Atrasado_9</vt:lpstr>
      <vt:lpstr>'FLOW RACK'!Atrasado_9</vt:lpstr>
      <vt:lpstr>OUTROS!Atrasado_9</vt:lpstr>
      <vt:lpstr>'PP1+PP2'!Atrasado_9</vt:lpstr>
      <vt:lpstr>'PP3'!Atrasado_9</vt:lpstr>
      <vt:lpstr>TOTAL!Atrasado_9</vt:lpstr>
      <vt:lpstr>'DIN + PUSH'!DiadaSemana_1</vt:lpstr>
      <vt:lpstr>DRI!DiadaSemana_1</vt:lpstr>
      <vt:lpstr>'FLOW RACK'!DiadaSemana_1</vt:lpstr>
      <vt:lpstr>OUTROS!DiadaSemana_1</vt:lpstr>
      <vt:lpstr>'PP1+PP2'!DiadaSemana_1</vt:lpstr>
      <vt:lpstr>'PP3'!DiadaSemana_1</vt:lpstr>
      <vt:lpstr>TOTAL!DiadaSemana_1</vt:lpstr>
      <vt:lpstr>'DIN + PUSH'!DiadaSemana_10</vt:lpstr>
      <vt:lpstr>DRI!DiadaSemana_10</vt:lpstr>
      <vt:lpstr>'FLOW RACK'!DiadaSemana_10</vt:lpstr>
      <vt:lpstr>OUTROS!DiadaSemana_10</vt:lpstr>
      <vt:lpstr>'PP1+PP2'!DiadaSemana_10</vt:lpstr>
      <vt:lpstr>'PP3'!DiadaSemana_10</vt:lpstr>
      <vt:lpstr>TOTAL!DiadaSemana_10</vt:lpstr>
      <vt:lpstr>'DIN + PUSH'!DiadaSemana_11</vt:lpstr>
      <vt:lpstr>DRI!DiadaSemana_11</vt:lpstr>
      <vt:lpstr>'FLOW RACK'!DiadaSemana_11</vt:lpstr>
      <vt:lpstr>OUTROS!DiadaSemana_11</vt:lpstr>
      <vt:lpstr>'PP1+PP2'!DiadaSemana_11</vt:lpstr>
      <vt:lpstr>'PP3'!DiadaSemana_11</vt:lpstr>
      <vt:lpstr>TOTAL!DiadaSemana_11</vt:lpstr>
      <vt:lpstr>'DIN + PUSH'!DiadaSemana_12</vt:lpstr>
      <vt:lpstr>DRI!DiadaSemana_12</vt:lpstr>
      <vt:lpstr>'FLOW RACK'!DiadaSemana_12</vt:lpstr>
      <vt:lpstr>OUTROS!DiadaSemana_12</vt:lpstr>
      <vt:lpstr>'PP1+PP2'!DiadaSemana_12</vt:lpstr>
      <vt:lpstr>'PP3'!DiadaSemana_12</vt:lpstr>
      <vt:lpstr>TOTAL!DiadaSemana_12</vt:lpstr>
      <vt:lpstr>'DIN + PUSH'!DiadaSemana_13</vt:lpstr>
      <vt:lpstr>DRI!DiadaSemana_13</vt:lpstr>
      <vt:lpstr>'FLOW RACK'!DiadaSemana_13</vt:lpstr>
      <vt:lpstr>OUTROS!DiadaSemana_13</vt:lpstr>
      <vt:lpstr>'PP1+PP2'!DiadaSemana_13</vt:lpstr>
      <vt:lpstr>'PP3'!DiadaSemana_13</vt:lpstr>
      <vt:lpstr>TOTAL!DiadaSemana_13</vt:lpstr>
      <vt:lpstr>'DIN + PUSH'!DiadaSemana_14</vt:lpstr>
      <vt:lpstr>DRI!DiadaSemana_14</vt:lpstr>
      <vt:lpstr>'FLOW RACK'!DiadaSemana_14</vt:lpstr>
      <vt:lpstr>OUTROS!DiadaSemana_14</vt:lpstr>
      <vt:lpstr>'PP1+PP2'!DiadaSemana_14</vt:lpstr>
      <vt:lpstr>'PP3'!DiadaSemana_14</vt:lpstr>
      <vt:lpstr>TOTAL!DiadaSemana_14</vt:lpstr>
      <vt:lpstr>'DIN + PUSH'!DiadaSemana_15</vt:lpstr>
      <vt:lpstr>DRI!DiadaSemana_15</vt:lpstr>
      <vt:lpstr>'FLOW RACK'!DiadaSemana_15</vt:lpstr>
      <vt:lpstr>OUTROS!DiadaSemana_15</vt:lpstr>
      <vt:lpstr>'PP1+PP2'!DiadaSemana_15</vt:lpstr>
      <vt:lpstr>'PP3'!DiadaSemana_15</vt:lpstr>
      <vt:lpstr>TOTAL!DiadaSemana_15</vt:lpstr>
      <vt:lpstr>'DIN + PUSH'!DiadaSemana_16</vt:lpstr>
      <vt:lpstr>DRI!DiadaSemana_16</vt:lpstr>
      <vt:lpstr>'FLOW RACK'!DiadaSemana_16</vt:lpstr>
      <vt:lpstr>OUTROS!DiadaSemana_16</vt:lpstr>
      <vt:lpstr>'PP1+PP2'!DiadaSemana_16</vt:lpstr>
      <vt:lpstr>'PP3'!DiadaSemana_16</vt:lpstr>
      <vt:lpstr>TOTAL!DiadaSemana_16</vt:lpstr>
      <vt:lpstr>'DIN + PUSH'!DiadaSemana_17</vt:lpstr>
      <vt:lpstr>DRI!DiadaSemana_17</vt:lpstr>
      <vt:lpstr>'FLOW RACK'!DiadaSemana_17</vt:lpstr>
      <vt:lpstr>OUTROS!DiadaSemana_17</vt:lpstr>
      <vt:lpstr>'PP1+PP2'!DiadaSemana_17</vt:lpstr>
      <vt:lpstr>'PP3'!DiadaSemana_17</vt:lpstr>
      <vt:lpstr>TOTAL!DiadaSemana_17</vt:lpstr>
      <vt:lpstr>'DIN + PUSH'!DiadaSemana_18</vt:lpstr>
      <vt:lpstr>DRI!DiadaSemana_18</vt:lpstr>
      <vt:lpstr>'FLOW RACK'!DiadaSemana_18</vt:lpstr>
      <vt:lpstr>OUTROS!DiadaSemana_18</vt:lpstr>
      <vt:lpstr>'PP1+PP2'!DiadaSemana_18</vt:lpstr>
      <vt:lpstr>'PP3'!DiadaSemana_18</vt:lpstr>
      <vt:lpstr>TOTAL!DiadaSemana_18</vt:lpstr>
      <vt:lpstr>'DIN + PUSH'!DiadaSemana_19</vt:lpstr>
      <vt:lpstr>DRI!DiadaSemana_19</vt:lpstr>
      <vt:lpstr>'FLOW RACK'!DiadaSemana_19</vt:lpstr>
      <vt:lpstr>OUTROS!DiadaSemana_19</vt:lpstr>
      <vt:lpstr>'PP1+PP2'!DiadaSemana_19</vt:lpstr>
      <vt:lpstr>'PP3'!DiadaSemana_19</vt:lpstr>
      <vt:lpstr>TOTAL!DiadaSemana_19</vt:lpstr>
      <vt:lpstr>'DIN + PUSH'!DiadaSemana_2</vt:lpstr>
      <vt:lpstr>DRI!DiadaSemana_2</vt:lpstr>
      <vt:lpstr>'FLOW RACK'!DiadaSemana_2</vt:lpstr>
      <vt:lpstr>OUTROS!DiadaSemana_2</vt:lpstr>
      <vt:lpstr>'PP1+PP2'!DiadaSemana_2</vt:lpstr>
      <vt:lpstr>'PP3'!DiadaSemana_2</vt:lpstr>
      <vt:lpstr>TOTAL!DiadaSemana_2</vt:lpstr>
      <vt:lpstr>'DIN + PUSH'!DiadaSemana_20</vt:lpstr>
      <vt:lpstr>DRI!DiadaSemana_20</vt:lpstr>
      <vt:lpstr>'FLOW RACK'!DiadaSemana_20</vt:lpstr>
      <vt:lpstr>OUTROS!DiadaSemana_20</vt:lpstr>
      <vt:lpstr>'PP1+PP2'!DiadaSemana_20</vt:lpstr>
      <vt:lpstr>'PP3'!DiadaSemana_20</vt:lpstr>
      <vt:lpstr>TOTAL!DiadaSemana_20</vt:lpstr>
      <vt:lpstr>'DIN + PUSH'!DiadaSemana_21</vt:lpstr>
      <vt:lpstr>DRI!DiadaSemana_21</vt:lpstr>
      <vt:lpstr>'FLOW RACK'!DiadaSemana_21</vt:lpstr>
      <vt:lpstr>OUTROS!DiadaSemana_21</vt:lpstr>
      <vt:lpstr>'PP1+PP2'!DiadaSemana_21</vt:lpstr>
      <vt:lpstr>'PP3'!DiadaSemana_21</vt:lpstr>
      <vt:lpstr>TOTAL!DiadaSemana_21</vt:lpstr>
      <vt:lpstr>'DIN + PUSH'!DiadaSemana_22</vt:lpstr>
      <vt:lpstr>DRI!DiadaSemana_22</vt:lpstr>
      <vt:lpstr>'FLOW RACK'!DiadaSemana_22</vt:lpstr>
      <vt:lpstr>OUTROS!DiadaSemana_22</vt:lpstr>
      <vt:lpstr>'PP1+PP2'!DiadaSemana_22</vt:lpstr>
      <vt:lpstr>'PP3'!DiadaSemana_22</vt:lpstr>
      <vt:lpstr>TOTAL!DiadaSemana_22</vt:lpstr>
      <vt:lpstr>'DIN + PUSH'!DiadaSemana_23</vt:lpstr>
      <vt:lpstr>DRI!DiadaSemana_23</vt:lpstr>
      <vt:lpstr>'FLOW RACK'!DiadaSemana_23</vt:lpstr>
      <vt:lpstr>OUTROS!DiadaSemana_23</vt:lpstr>
      <vt:lpstr>'PP1+PP2'!DiadaSemana_23</vt:lpstr>
      <vt:lpstr>'PP3'!DiadaSemana_23</vt:lpstr>
      <vt:lpstr>TOTAL!DiadaSemana_23</vt:lpstr>
      <vt:lpstr>'DIN + PUSH'!DiadaSemana_24</vt:lpstr>
      <vt:lpstr>DRI!DiadaSemana_24</vt:lpstr>
      <vt:lpstr>'FLOW RACK'!DiadaSemana_24</vt:lpstr>
      <vt:lpstr>OUTROS!DiadaSemana_24</vt:lpstr>
      <vt:lpstr>'PP1+PP2'!DiadaSemana_24</vt:lpstr>
      <vt:lpstr>'PP3'!DiadaSemana_24</vt:lpstr>
      <vt:lpstr>TOTAL!DiadaSemana_24</vt:lpstr>
      <vt:lpstr>'DIN + PUSH'!DiadaSemana_3</vt:lpstr>
      <vt:lpstr>DRI!DiadaSemana_3</vt:lpstr>
      <vt:lpstr>'FLOW RACK'!DiadaSemana_3</vt:lpstr>
      <vt:lpstr>OUTROS!DiadaSemana_3</vt:lpstr>
      <vt:lpstr>'PP1+PP2'!DiadaSemana_3</vt:lpstr>
      <vt:lpstr>'PP3'!DiadaSemana_3</vt:lpstr>
      <vt:lpstr>TOTAL!DiadaSemana_3</vt:lpstr>
      <vt:lpstr>'DIN + PUSH'!DiadaSemana_4</vt:lpstr>
      <vt:lpstr>DRI!DiadaSemana_4</vt:lpstr>
      <vt:lpstr>'FLOW RACK'!DiadaSemana_4</vt:lpstr>
      <vt:lpstr>OUTROS!DiadaSemana_4</vt:lpstr>
      <vt:lpstr>'PP1+PP2'!DiadaSemana_4</vt:lpstr>
      <vt:lpstr>'PP3'!DiadaSemana_4</vt:lpstr>
      <vt:lpstr>TOTAL!DiadaSemana_4</vt:lpstr>
      <vt:lpstr>'DIN + PUSH'!DiadaSemana_5</vt:lpstr>
      <vt:lpstr>DRI!DiadaSemana_5</vt:lpstr>
      <vt:lpstr>'FLOW RACK'!DiadaSemana_5</vt:lpstr>
      <vt:lpstr>OUTROS!DiadaSemana_5</vt:lpstr>
      <vt:lpstr>'PP1+PP2'!DiadaSemana_5</vt:lpstr>
      <vt:lpstr>'PP3'!DiadaSemana_5</vt:lpstr>
      <vt:lpstr>TOTAL!DiadaSemana_5</vt:lpstr>
      <vt:lpstr>'DIN + PUSH'!DiadaSemana_6</vt:lpstr>
      <vt:lpstr>DRI!DiadaSemana_6</vt:lpstr>
      <vt:lpstr>'FLOW RACK'!DiadaSemana_6</vt:lpstr>
      <vt:lpstr>OUTROS!DiadaSemana_6</vt:lpstr>
      <vt:lpstr>'PP1+PP2'!DiadaSemana_6</vt:lpstr>
      <vt:lpstr>'PP3'!DiadaSemana_6</vt:lpstr>
      <vt:lpstr>TOTAL!DiadaSemana_6</vt:lpstr>
      <vt:lpstr>'DIN + PUSH'!DiadaSemana_7</vt:lpstr>
      <vt:lpstr>DRI!DiadaSemana_7</vt:lpstr>
      <vt:lpstr>'FLOW RACK'!DiadaSemana_7</vt:lpstr>
      <vt:lpstr>OUTROS!DiadaSemana_7</vt:lpstr>
      <vt:lpstr>'PP1+PP2'!DiadaSemana_7</vt:lpstr>
      <vt:lpstr>'PP3'!DiadaSemana_7</vt:lpstr>
      <vt:lpstr>TOTAL!DiadaSemana_7</vt:lpstr>
      <vt:lpstr>'DIN + PUSH'!DiadaSemana_8</vt:lpstr>
      <vt:lpstr>DRI!DiadaSemana_8</vt:lpstr>
      <vt:lpstr>'FLOW RACK'!DiadaSemana_8</vt:lpstr>
      <vt:lpstr>OUTROS!DiadaSemana_8</vt:lpstr>
      <vt:lpstr>'PP1+PP2'!DiadaSemana_8</vt:lpstr>
      <vt:lpstr>'PP3'!DiadaSemana_8</vt:lpstr>
      <vt:lpstr>TOTAL!DiadaSemana_8</vt:lpstr>
      <vt:lpstr>'DIN + PUSH'!DiadaSemana_9</vt:lpstr>
      <vt:lpstr>DRI!DiadaSemana_9</vt:lpstr>
      <vt:lpstr>'FLOW RACK'!DiadaSemana_9</vt:lpstr>
      <vt:lpstr>OUTROS!DiadaSemana_9</vt:lpstr>
      <vt:lpstr>'PP1+PP2'!DiadaSemana_9</vt:lpstr>
      <vt:lpstr>'PP3'!DiadaSemana_9</vt:lpstr>
      <vt:lpstr>TOTAL!DiadaSemana_9</vt:lpstr>
      <vt:lpstr>'DIN + PUSH'!Programado_1</vt:lpstr>
      <vt:lpstr>DRI!Programado_1</vt:lpstr>
      <vt:lpstr>'FLOW RACK'!Programado_1</vt:lpstr>
      <vt:lpstr>OUTROS!Programado_1</vt:lpstr>
      <vt:lpstr>'PP1+PP2'!Programado_1</vt:lpstr>
      <vt:lpstr>'PP3'!Programado_1</vt:lpstr>
      <vt:lpstr>TOTAL!Programado_1</vt:lpstr>
      <vt:lpstr>'DIN + PUSH'!Programado_10</vt:lpstr>
      <vt:lpstr>DRI!Programado_10</vt:lpstr>
      <vt:lpstr>'FLOW RACK'!Programado_10</vt:lpstr>
      <vt:lpstr>OUTROS!Programado_10</vt:lpstr>
      <vt:lpstr>'PP1+PP2'!Programado_10</vt:lpstr>
      <vt:lpstr>'PP3'!Programado_10</vt:lpstr>
      <vt:lpstr>TOTAL!Programado_10</vt:lpstr>
      <vt:lpstr>'DIN + PUSH'!Programado_11</vt:lpstr>
      <vt:lpstr>DRI!Programado_11</vt:lpstr>
      <vt:lpstr>'FLOW RACK'!Programado_11</vt:lpstr>
      <vt:lpstr>OUTROS!Programado_11</vt:lpstr>
      <vt:lpstr>'PP1+PP2'!Programado_11</vt:lpstr>
      <vt:lpstr>'PP3'!Programado_11</vt:lpstr>
      <vt:lpstr>TOTAL!Programado_11</vt:lpstr>
      <vt:lpstr>'DIN + PUSH'!Programado_12</vt:lpstr>
      <vt:lpstr>DRI!Programado_12</vt:lpstr>
      <vt:lpstr>'FLOW RACK'!Programado_12</vt:lpstr>
      <vt:lpstr>OUTROS!Programado_12</vt:lpstr>
      <vt:lpstr>'PP1+PP2'!Programado_12</vt:lpstr>
      <vt:lpstr>'PP3'!Programado_12</vt:lpstr>
      <vt:lpstr>TOTAL!Programado_12</vt:lpstr>
      <vt:lpstr>'DIN + PUSH'!Programado_13</vt:lpstr>
      <vt:lpstr>DRI!Programado_13</vt:lpstr>
      <vt:lpstr>'FLOW RACK'!Programado_13</vt:lpstr>
      <vt:lpstr>OUTROS!Programado_13</vt:lpstr>
      <vt:lpstr>'PP1+PP2'!Programado_13</vt:lpstr>
      <vt:lpstr>'PP3'!Programado_13</vt:lpstr>
      <vt:lpstr>TOTAL!Programado_13</vt:lpstr>
      <vt:lpstr>'DIN + PUSH'!Programado_14</vt:lpstr>
      <vt:lpstr>DRI!Programado_14</vt:lpstr>
      <vt:lpstr>'FLOW RACK'!Programado_14</vt:lpstr>
      <vt:lpstr>OUTROS!Programado_14</vt:lpstr>
      <vt:lpstr>'PP1+PP2'!Programado_14</vt:lpstr>
      <vt:lpstr>'PP3'!Programado_14</vt:lpstr>
      <vt:lpstr>TOTAL!Programado_14</vt:lpstr>
      <vt:lpstr>'DIN + PUSH'!Programado_15</vt:lpstr>
      <vt:lpstr>DRI!Programado_15</vt:lpstr>
      <vt:lpstr>'FLOW RACK'!Programado_15</vt:lpstr>
      <vt:lpstr>OUTROS!Programado_15</vt:lpstr>
      <vt:lpstr>'PP1+PP2'!Programado_15</vt:lpstr>
      <vt:lpstr>'PP3'!Programado_15</vt:lpstr>
      <vt:lpstr>TOTAL!Programado_15</vt:lpstr>
      <vt:lpstr>'DIN + PUSH'!Programado_16</vt:lpstr>
      <vt:lpstr>DRI!Programado_16</vt:lpstr>
      <vt:lpstr>'FLOW RACK'!Programado_16</vt:lpstr>
      <vt:lpstr>OUTROS!Programado_16</vt:lpstr>
      <vt:lpstr>'PP1+PP2'!Programado_16</vt:lpstr>
      <vt:lpstr>'PP3'!Programado_16</vt:lpstr>
      <vt:lpstr>TOTAL!Programado_16</vt:lpstr>
      <vt:lpstr>'DIN + PUSH'!Programado_17</vt:lpstr>
      <vt:lpstr>DRI!Programado_17</vt:lpstr>
      <vt:lpstr>'FLOW RACK'!Programado_17</vt:lpstr>
      <vt:lpstr>OUTROS!Programado_17</vt:lpstr>
      <vt:lpstr>'PP1+PP2'!Programado_17</vt:lpstr>
      <vt:lpstr>'PP3'!Programado_17</vt:lpstr>
      <vt:lpstr>TOTAL!Programado_17</vt:lpstr>
      <vt:lpstr>'DIN + PUSH'!Programado_18</vt:lpstr>
      <vt:lpstr>DRI!Programado_18</vt:lpstr>
      <vt:lpstr>'FLOW RACK'!Programado_18</vt:lpstr>
      <vt:lpstr>OUTROS!Programado_18</vt:lpstr>
      <vt:lpstr>'PP1+PP2'!Programado_18</vt:lpstr>
      <vt:lpstr>'PP3'!Programado_18</vt:lpstr>
      <vt:lpstr>TOTAL!Programado_18</vt:lpstr>
      <vt:lpstr>'DIN + PUSH'!Programado_19</vt:lpstr>
      <vt:lpstr>DRI!Programado_19</vt:lpstr>
      <vt:lpstr>'FLOW RACK'!Programado_19</vt:lpstr>
      <vt:lpstr>OUTROS!Programado_19</vt:lpstr>
      <vt:lpstr>'PP1+PP2'!Programado_19</vt:lpstr>
      <vt:lpstr>'PP3'!Programado_19</vt:lpstr>
      <vt:lpstr>TOTAL!Programado_19</vt:lpstr>
      <vt:lpstr>'DIN + PUSH'!Programado_2</vt:lpstr>
      <vt:lpstr>DRI!Programado_2</vt:lpstr>
      <vt:lpstr>'FLOW RACK'!Programado_2</vt:lpstr>
      <vt:lpstr>OUTROS!Programado_2</vt:lpstr>
      <vt:lpstr>'PP1+PP2'!Programado_2</vt:lpstr>
      <vt:lpstr>'PP3'!Programado_2</vt:lpstr>
      <vt:lpstr>TOTAL!Programado_2</vt:lpstr>
      <vt:lpstr>'DIN + PUSH'!Programado_20</vt:lpstr>
      <vt:lpstr>DRI!Programado_20</vt:lpstr>
      <vt:lpstr>'FLOW RACK'!Programado_20</vt:lpstr>
      <vt:lpstr>OUTROS!Programado_20</vt:lpstr>
      <vt:lpstr>'PP1+PP2'!Programado_20</vt:lpstr>
      <vt:lpstr>'PP3'!Programado_20</vt:lpstr>
      <vt:lpstr>TOTAL!Programado_20</vt:lpstr>
      <vt:lpstr>'DIN + PUSH'!Programado_21</vt:lpstr>
      <vt:lpstr>DRI!Programado_21</vt:lpstr>
      <vt:lpstr>'FLOW RACK'!Programado_21</vt:lpstr>
      <vt:lpstr>OUTROS!Programado_21</vt:lpstr>
      <vt:lpstr>'PP1+PP2'!Programado_21</vt:lpstr>
      <vt:lpstr>'PP3'!Programado_21</vt:lpstr>
      <vt:lpstr>TOTAL!Programado_21</vt:lpstr>
      <vt:lpstr>'DIN + PUSH'!Programado_22</vt:lpstr>
      <vt:lpstr>DRI!Programado_22</vt:lpstr>
      <vt:lpstr>'FLOW RACK'!Programado_22</vt:lpstr>
      <vt:lpstr>OUTROS!Programado_22</vt:lpstr>
      <vt:lpstr>'PP1+PP2'!Programado_22</vt:lpstr>
      <vt:lpstr>'PP3'!Programado_22</vt:lpstr>
      <vt:lpstr>TOTAL!Programado_22</vt:lpstr>
      <vt:lpstr>'DIN + PUSH'!Programado_23</vt:lpstr>
      <vt:lpstr>DRI!Programado_23</vt:lpstr>
      <vt:lpstr>'FLOW RACK'!Programado_23</vt:lpstr>
      <vt:lpstr>OUTROS!Programado_23</vt:lpstr>
      <vt:lpstr>'PP1+PP2'!Programado_23</vt:lpstr>
      <vt:lpstr>'PP3'!Programado_23</vt:lpstr>
      <vt:lpstr>TOTAL!Programado_23</vt:lpstr>
      <vt:lpstr>'DIN + PUSH'!Programado_24</vt:lpstr>
      <vt:lpstr>DRI!Programado_24</vt:lpstr>
      <vt:lpstr>'FLOW RACK'!Programado_24</vt:lpstr>
      <vt:lpstr>OUTROS!Programado_24</vt:lpstr>
      <vt:lpstr>'PP1+PP2'!Programado_24</vt:lpstr>
      <vt:lpstr>'PP3'!Programado_24</vt:lpstr>
      <vt:lpstr>TOTAL!Programado_24</vt:lpstr>
      <vt:lpstr>'DIN + PUSH'!Programado_3</vt:lpstr>
      <vt:lpstr>DRI!Programado_3</vt:lpstr>
      <vt:lpstr>'FLOW RACK'!Programado_3</vt:lpstr>
      <vt:lpstr>OUTROS!Programado_3</vt:lpstr>
      <vt:lpstr>'PP1+PP2'!Programado_3</vt:lpstr>
      <vt:lpstr>'PP3'!Programado_3</vt:lpstr>
      <vt:lpstr>TOTAL!Programado_3</vt:lpstr>
      <vt:lpstr>'DIN + PUSH'!Programado_4</vt:lpstr>
      <vt:lpstr>DRI!Programado_4</vt:lpstr>
      <vt:lpstr>'FLOW RACK'!Programado_4</vt:lpstr>
      <vt:lpstr>OUTROS!Programado_4</vt:lpstr>
      <vt:lpstr>'PP1+PP2'!Programado_4</vt:lpstr>
      <vt:lpstr>'PP3'!Programado_4</vt:lpstr>
      <vt:lpstr>TOTAL!Programado_4</vt:lpstr>
      <vt:lpstr>'DIN + PUSH'!Programado_5</vt:lpstr>
      <vt:lpstr>DRI!Programado_5</vt:lpstr>
      <vt:lpstr>'FLOW RACK'!Programado_5</vt:lpstr>
      <vt:lpstr>OUTROS!Programado_5</vt:lpstr>
      <vt:lpstr>'PP1+PP2'!Programado_5</vt:lpstr>
      <vt:lpstr>'PP3'!Programado_5</vt:lpstr>
      <vt:lpstr>TOTAL!Programado_5</vt:lpstr>
      <vt:lpstr>'DIN + PUSH'!Programado_6</vt:lpstr>
      <vt:lpstr>DRI!Programado_6</vt:lpstr>
      <vt:lpstr>'FLOW RACK'!Programado_6</vt:lpstr>
      <vt:lpstr>OUTROS!Programado_6</vt:lpstr>
      <vt:lpstr>'PP1+PP2'!Programado_6</vt:lpstr>
      <vt:lpstr>'PP3'!Programado_6</vt:lpstr>
      <vt:lpstr>TOTAL!Programado_6</vt:lpstr>
      <vt:lpstr>'DIN + PUSH'!Programado_7</vt:lpstr>
      <vt:lpstr>DRI!Programado_7</vt:lpstr>
      <vt:lpstr>'FLOW RACK'!Programado_7</vt:lpstr>
      <vt:lpstr>OUTROS!Programado_7</vt:lpstr>
      <vt:lpstr>'PP1+PP2'!Programado_7</vt:lpstr>
      <vt:lpstr>'PP3'!Programado_7</vt:lpstr>
      <vt:lpstr>TOTAL!Programado_7</vt:lpstr>
      <vt:lpstr>'DIN + PUSH'!Programado_8</vt:lpstr>
      <vt:lpstr>DRI!Programado_8</vt:lpstr>
      <vt:lpstr>'FLOW RACK'!Programado_8</vt:lpstr>
      <vt:lpstr>OUTROS!Programado_8</vt:lpstr>
      <vt:lpstr>'PP1+PP2'!Programado_8</vt:lpstr>
      <vt:lpstr>'PP3'!Programado_8</vt:lpstr>
      <vt:lpstr>TOTAL!Programado_8</vt:lpstr>
      <vt:lpstr>'DIN + PUSH'!Programado_9</vt:lpstr>
      <vt:lpstr>DRI!Programado_9</vt:lpstr>
      <vt:lpstr>'FLOW RACK'!Programado_9</vt:lpstr>
      <vt:lpstr>OUTROS!Programado_9</vt:lpstr>
      <vt:lpstr>'PP1+PP2'!Programado_9</vt:lpstr>
      <vt:lpstr>'PP3'!Programado_9</vt:lpstr>
      <vt:lpstr>TOTAL!Programado_9</vt:lpstr>
      <vt:lpstr>'DIN + PUSH'!Semana_1</vt:lpstr>
      <vt:lpstr>DRI!Semana_1</vt:lpstr>
      <vt:lpstr>'FLOW RACK'!Semana_1</vt:lpstr>
      <vt:lpstr>OUTROS!Semana_1</vt:lpstr>
      <vt:lpstr>'PP1+PP2'!Semana_1</vt:lpstr>
      <vt:lpstr>'PP3'!Semana_1</vt:lpstr>
      <vt:lpstr>TOTAL!Semana_1</vt:lpstr>
      <vt:lpstr>'DIN + PUSH'!Semana_10</vt:lpstr>
      <vt:lpstr>DRI!Semana_10</vt:lpstr>
      <vt:lpstr>'FLOW RACK'!Semana_10</vt:lpstr>
      <vt:lpstr>OUTROS!Semana_10</vt:lpstr>
      <vt:lpstr>'PP1+PP2'!Semana_10</vt:lpstr>
      <vt:lpstr>'PP3'!Semana_10</vt:lpstr>
      <vt:lpstr>TOTAL!Semana_10</vt:lpstr>
      <vt:lpstr>'DIN + PUSH'!Semana_11</vt:lpstr>
      <vt:lpstr>DRI!Semana_11</vt:lpstr>
      <vt:lpstr>'FLOW RACK'!Semana_11</vt:lpstr>
      <vt:lpstr>OUTROS!Semana_11</vt:lpstr>
      <vt:lpstr>'PP1+PP2'!Semana_11</vt:lpstr>
      <vt:lpstr>'PP3'!Semana_11</vt:lpstr>
      <vt:lpstr>TOTAL!Semana_11</vt:lpstr>
      <vt:lpstr>'DIN + PUSH'!Semana_12</vt:lpstr>
      <vt:lpstr>DRI!Semana_12</vt:lpstr>
      <vt:lpstr>'FLOW RACK'!Semana_12</vt:lpstr>
      <vt:lpstr>OUTROS!Semana_12</vt:lpstr>
      <vt:lpstr>'PP1+PP2'!Semana_12</vt:lpstr>
      <vt:lpstr>'PP3'!Semana_12</vt:lpstr>
      <vt:lpstr>TOTAL!Semana_12</vt:lpstr>
      <vt:lpstr>'DIN + PUSH'!Semana_13</vt:lpstr>
      <vt:lpstr>DRI!Semana_13</vt:lpstr>
      <vt:lpstr>'FLOW RACK'!Semana_13</vt:lpstr>
      <vt:lpstr>OUTROS!Semana_13</vt:lpstr>
      <vt:lpstr>'PP1+PP2'!Semana_13</vt:lpstr>
      <vt:lpstr>'PP3'!Semana_13</vt:lpstr>
      <vt:lpstr>TOTAL!Semana_13</vt:lpstr>
      <vt:lpstr>'DIN + PUSH'!Semana_14</vt:lpstr>
      <vt:lpstr>DRI!Semana_14</vt:lpstr>
      <vt:lpstr>'FLOW RACK'!Semana_14</vt:lpstr>
      <vt:lpstr>OUTROS!Semana_14</vt:lpstr>
      <vt:lpstr>'PP1+PP2'!Semana_14</vt:lpstr>
      <vt:lpstr>'PP3'!Semana_14</vt:lpstr>
      <vt:lpstr>TOTAL!Semana_14</vt:lpstr>
      <vt:lpstr>'DIN + PUSH'!Semana_15</vt:lpstr>
      <vt:lpstr>DRI!Semana_15</vt:lpstr>
      <vt:lpstr>'FLOW RACK'!Semana_15</vt:lpstr>
      <vt:lpstr>OUTROS!Semana_15</vt:lpstr>
      <vt:lpstr>'PP1+PP2'!Semana_15</vt:lpstr>
      <vt:lpstr>'PP3'!Semana_15</vt:lpstr>
      <vt:lpstr>TOTAL!Semana_15</vt:lpstr>
      <vt:lpstr>'DIN + PUSH'!Semana_16</vt:lpstr>
      <vt:lpstr>DRI!Semana_16</vt:lpstr>
      <vt:lpstr>'FLOW RACK'!Semana_16</vt:lpstr>
      <vt:lpstr>OUTROS!Semana_16</vt:lpstr>
      <vt:lpstr>'PP1+PP2'!Semana_16</vt:lpstr>
      <vt:lpstr>'PP3'!Semana_16</vt:lpstr>
      <vt:lpstr>TOTAL!Semana_16</vt:lpstr>
      <vt:lpstr>'DIN + PUSH'!Semana_17</vt:lpstr>
      <vt:lpstr>DRI!Semana_17</vt:lpstr>
      <vt:lpstr>'FLOW RACK'!Semana_17</vt:lpstr>
      <vt:lpstr>OUTROS!Semana_17</vt:lpstr>
      <vt:lpstr>'PP1+PP2'!Semana_17</vt:lpstr>
      <vt:lpstr>'PP3'!Semana_17</vt:lpstr>
      <vt:lpstr>TOTAL!Semana_17</vt:lpstr>
      <vt:lpstr>'DIN + PUSH'!Semana_18</vt:lpstr>
      <vt:lpstr>DRI!Semana_18</vt:lpstr>
      <vt:lpstr>'FLOW RACK'!Semana_18</vt:lpstr>
      <vt:lpstr>OUTROS!Semana_18</vt:lpstr>
      <vt:lpstr>'PP1+PP2'!Semana_18</vt:lpstr>
      <vt:lpstr>'PP3'!Semana_18</vt:lpstr>
      <vt:lpstr>TOTAL!Semana_18</vt:lpstr>
      <vt:lpstr>'DIN + PUSH'!Semana_19</vt:lpstr>
      <vt:lpstr>DRI!Semana_19</vt:lpstr>
      <vt:lpstr>'FLOW RACK'!Semana_19</vt:lpstr>
      <vt:lpstr>OUTROS!Semana_19</vt:lpstr>
      <vt:lpstr>'PP1+PP2'!Semana_19</vt:lpstr>
      <vt:lpstr>'PP3'!Semana_19</vt:lpstr>
      <vt:lpstr>TOTAL!Semana_19</vt:lpstr>
      <vt:lpstr>'DIN + PUSH'!Semana_2</vt:lpstr>
      <vt:lpstr>DRI!Semana_2</vt:lpstr>
      <vt:lpstr>'FLOW RACK'!Semana_2</vt:lpstr>
      <vt:lpstr>OUTROS!Semana_2</vt:lpstr>
      <vt:lpstr>'PP1+PP2'!Semana_2</vt:lpstr>
      <vt:lpstr>'PP3'!Semana_2</vt:lpstr>
      <vt:lpstr>TOTAL!Semana_2</vt:lpstr>
      <vt:lpstr>'DIN + PUSH'!Semana_20</vt:lpstr>
      <vt:lpstr>DRI!Semana_20</vt:lpstr>
      <vt:lpstr>'FLOW RACK'!Semana_20</vt:lpstr>
      <vt:lpstr>OUTROS!Semana_20</vt:lpstr>
      <vt:lpstr>'PP1+PP2'!Semana_20</vt:lpstr>
      <vt:lpstr>'PP3'!Semana_20</vt:lpstr>
      <vt:lpstr>TOTAL!Semana_20</vt:lpstr>
      <vt:lpstr>'DIN + PUSH'!Semana_21</vt:lpstr>
      <vt:lpstr>DRI!Semana_21</vt:lpstr>
      <vt:lpstr>'FLOW RACK'!Semana_21</vt:lpstr>
      <vt:lpstr>OUTROS!Semana_21</vt:lpstr>
      <vt:lpstr>'PP1+PP2'!Semana_21</vt:lpstr>
      <vt:lpstr>'PP3'!Semana_21</vt:lpstr>
      <vt:lpstr>TOTAL!Semana_21</vt:lpstr>
      <vt:lpstr>'DIN + PUSH'!Semana_22</vt:lpstr>
      <vt:lpstr>DRI!Semana_22</vt:lpstr>
      <vt:lpstr>'FLOW RACK'!Semana_22</vt:lpstr>
      <vt:lpstr>OUTROS!Semana_22</vt:lpstr>
      <vt:lpstr>'PP1+PP2'!Semana_22</vt:lpstr>
      <vt:lpstr>'PP3'!Semana_22</vt:lpstr>
      <vt:lpstr>TOTAL!Semana_22</vt:lpstr>
      <vt:lpstr>'DIN + PUSH'!Semana_23</vt:lpstr>
      <vt:lpstr>DRI!Semana_23</vt:lpstr>
      <vt:lpstr>'FLOW RACK'!Semana_23</vt:lpstr>
      <vt:lpstr>OUTROS!Semana_23</vt:lpstr>
      <vt:lpstr>'PP1+PP2'!Semana_23</vt:lpstr>
      <vt:lpstr>'PP3'!Semana_23</vt:lpstr>
      <vt:lpstr>TOTAL!Semana_23</vt:lpstr>
      <vt:lpstr>'DIN + PUSH'!Semana_24</vt:lpstr>
      <vt:lpstr>DRI!Semana_24</vt:lpstr>
      <vt:lpstr>'FLOW RACK'!Semana_24</vt:lpstr>
      <vt:lpstr>OUTROS!Semana_24</vt:lpstr>
      <vt:lpstr>'PP1+PP2'!Semana_24</vt:lpstr>
      <vt:lpstr>'PP3'!Semana_24</vt:lpstr>
      <vt:lpstr>TOTAL!Semana_24</vt:lpstr>
      <vt:lpstr>'DIN + PUSH'!Semana_3</vt:lpstr>
      <vt:lpstr>DRI!Semana_3</vt:lpstr>
      <vt:lpstr>'FLOW RACK'!Semana_3</vt:lpstr>
      <vt:lpstr>OUTROS!Semana_3</vt:lpstr>
      <vt:lpstr>'PP1+PP2'!Semana_3</vt:lpstr>
      <vt:lpstr>'PP3'!Semana_3</vt:lpstr>
      <vt:lpstr>TOTAL!Semana_3</vt:lpstr>
      <vt:lpstr>'DIN + PUSH'!Semana_4</vt:lpstr>
      <vt:lpstr>DRI!Semana_4</vt:lpstr>
      <vt:lpstr>'FLOW RACK'!Semana_4</vt:lpstr>
      <vt:lpstr>OUTROS!Semana_4</vt:lpstr>
      <vt:lpstr>'PP1+PP2'!Semana_4</vt:lpstr>
      <vt:lpstr>'PP3'!Semana_4</vt:lpstr>
      <vt:lpstr>TOTAL!Semana_4</vt:lpstr>
      <vt:lpstr>'DIN + PUSH'!Semana_5</vt:lpstr>
      <vt:lpstr>DRI!Semana_5</vt:lpstr>
      <vt:lpstr>'FLOW RACK'!Semana_5</vt:lpstr>
      <vt:lpstr>OUTROS!Semana_5</vt:lpstr>
      <vt:lpstr>'PP1+PP2'!Semana_5</vt:lpstr>
      <vt:lpstr>'PP3'!Semana_5</vt:lpstr>
      <vt:lpstr>TOTAL!Semana_5</vt:lpstr>
      <vt:lpstr>'DIN + PUSH'!Semana_6</vt:lpstr>
      <vt:lpstr>DRI!Semana_6</vt:lpstr>
      <vt:lpstr>'FLOW RACK'!Semana_6</vt:lpstr>
      <vt:lpstr>OUTROS!Semana_6</vt:lpstr>
      <vt:lpstr>'PP1+PP2'!Semana_6</vt:lpstr>
      <vt:lpstr>'PP3'!Semana_6</vt:lpstr>
      <vt:lpstr>TOTAL!Semana_6</vt:lpstr>
      <vt:lpstr>'DIN + PUSH'!Semana_7</vt:lpstr>
      <vt:lpstr>DRI!Semana_7</vt:lpstr>
      <vt:lpstr>'FLOW RACK'!Semana_7</vt:lpstr>
      <vt:lpstr>OUTROS!Semana_7</vt:lpstr>
      <vt:lpstr>'PP1+PP2'!Semana_7</vt:lpstr>
      <vt:lpstr>'PP3'!Semana_7</vt:lpstr>
      <vt:lpstr>TOTAL!Semana_7</vt:lpstr>
      <vt:lpstr>'DIN + PUSH'!Semana_8</vt:lpstr>
      <vt:lpstr>DRI!Semana_8</vt:lpstr>
      <vt:lpstr>'FLOW RACK'!Semana_8</vt:lpstr>
      <vt:lpstr>OUTROS!Semana_8</vt:lpstr>
      <vt:lpstr>'PP1+PP2'!Semana_8</vt:lpstr>
      <vt:lpstr>'PP3'!Semana_8</vt:lpstr>
      <vt:lpstr>TOTAL!Semana_8</vt:lpstr>
      <vt:lpstr>'DIN + PUSH'!Semana_9</vt:lpstr>
      <vt:lpstr>DRI!Semana_9</vt:lpstr>
      <vt:lpstr>'FLOW RACK'!Semana_9</vt:lpstr>
      <vt:lpstr>OUTROS!Semana_9</vt:lpstr>
      <vt:lpstr>'PP1+PP2'!Semana_9</vt:lpstr>
      <vt:lpstr>'PP3'!Semana_9</vt:lpstr>
      <vt:lpstr>TOTAL!Semana_9</vt:lpstr>
      <vt:lpstr>'DIN + PUSH'!Tonelagemlimite_1</vt:lpstr>
      <vt:lpstr>DRI!Tonelagemlimite_1</vt:lpstr>
      <vt:lpstr>'FLOW RACK'!Tonelagemlimite_1</vt:lpstr>
      <vt:lpstr>OUTROS!Tonelagemlimite_1</vt:lpstr>
      <vt:lpstr>'PP1+PP2'!Tonelagemlimite_1</vt:lpstr>
      <vt:lpstr>'PP3'!Tonelagemlimite_1</vt:lpstr>
      <vt:lpstr>TOTAL!Tonelagemlimite_1</vt:lpstr>
      <vt:lpstr>'DIN + PUSH'!Tonelagemlimite_10</vt:lpstr>
      <vt:lpstr>DRI!Tonelagemlimite_10</vt:lpstr>
      <vt:lpstr>'FLOW RACK'!Tonelagemlimite_10</vt:lpstr>
      <vt:lpstr>OUTROS!Tonelagemlimite_10</vt:lpstr>
      <vt:lpstr>'PP1+PP2'!Tonelagemlimite_10</vt:lpstr>
      <vt:lpstr>'PP3'!Tonelagemlimite_10</vt:lpstr>
      <vt:lpstr>TOTAL!Tonelagemlimite_10</vt:lpstr>
      <vt:lpstr>'DIN + PUSH'!Tonelagemlimite_11</vt:lpstr>
      <vt:lpstr>DRI!Tonelagemlimite_11</vt:lpstr>
      <vt:lpstr>'FLOW RACK'!Tonelagemlimite_11</vt:lpstr>
      <vt:lpstr>OUTROS!Tonelagemlimite_11</vt:lpstr>
      <vt:lpstr>'PP1+PP2'!Tonelagemlimite_11</vt:lpstr>
      <vt:lpstr>'PP3'!Tonelagemlimite_11</vt:lpstr>
      <vt:lpstr>TOTAL!Tonelagemlimite_11</vt:lpstr>
      <vt:lpstr>'DIN + PUSH'!Tonelagemlimite_12</vt:lpstr>
      <vt:lpstr>DRI!Tonelagemlimite_12</vt:lpstr>
      <vt:lpstr>'FLOW RACK'!Tonelagemlimite_12</vt:lpstr>
      <vt:lpstr>OUTROS!Tonelagemlimite_12</vt:lpstr>
      <vt:lpstr>'PP1+PP2'!Tonelagemlimite_12</vt:lpstr>
      <vt:lpstr>'PP3'!Tonelagemlimite_12</vt:lpstr>
      <vt:lpstr>TOTAL!Tonelagemlimite_12</vt:lpstr>
      <vt:lpstr>'DIN + PUSH'!Tonelagemlimite_13</vt:lpstr>
      <vt:lpstr>DRI!Tonelagemlimite_13</vt:lpstr>
      <vt:lpstr>'FLOW RACK'!Tonelagemlimite_13</vt:lpstr>
      <vt:lpstr>OUTROS!Tonelagemlimite_13</vt:lpstr>
      <vt:lpstr>'PP1+PP2'!Tonelagemlimite_13</vt:lpstr>
      <vt:lpstr>'PP3'!Tonelagemlimite_13</vt:lpstr>
      <vt:lpstr>TOTAL!Tonelagemlimite_13</vt:lpstr>
      <vt:lpstr>'DIN + PUSH'!Tonelagemlimite_14</vt:lpstr>
      <vt:lpstr>DRI!Tonelagemlimite_14</vt:lpstr>
      <vt:lpstr>'FLOW RACK'!Tonelagemlimite_14</vt:lpstr>
      <vt:lpstr>OUTROS!Tonelagemlimite_14</vt:lpstr>
      <vt:lpstr>'PP1+PP2'!Tonelagemlimite_14</vt:lpstr>
      <vt:lpstr>'PP3'!Tonelagemlimite_14</vt:lpstr>
      <vt:lpstr>TOTAL!Tonelagemlimite_14</vt:lpstr>
      <vt:lpstr>'DIN + PUSH'!Tonelagemlimite_15</vt:lpstr>
      <vt:lpstr>DRI!Tonelagemlimite_15</vt:lpstr>
      <vt:lpstr>'FLOW RACK'!Tonelagemlimite_15</vt:lpstr>
      <vt:lpstr>OUTROS!Tonelagemlimite_15</vt:lpstr>
      <vt:lpstr>'PP1+PP2'!Tonelagemlimite_15</vt:lpstr>
      <vt:lpstr>'PP3'!Tonelagemlimite_15</vt:lpstr>
      <vt:lpstr>TOTAL!Tonelagemlimite_15</vt:lpstr>
      <vt:lpstr>'DIN + PUSH'!Tonelagemlimite_16</vt:lpstr>
      <vt:lpstr>DRI!Tonelagemlimite_16</vt:lpstr>
      <vt:lpstr>'FLOW RACK'!Tonelagemlimite_16</vt:lpstr>
      <vt:lpstr>OUTROS!Tonelagemlimite_16</vt:lpstr>
      <vt:lpstr>'PP1+PP2'!Tonelagemlimite_16</vt:lpstr>
      <vt:lpstr>'PP3'!Tonelagemlimite_16</vt:lpstr>
      <vt:lpstr>TOTAL!Tonelagemlimite_16</vt:lpstr>
      <vt:lpstr>'DIN + PUSH'!Tonelagemlimite_17</vt:lpstr>
      <vt:lpstr>DRI!Tonelagemlimite_17</vt:lpstr>
      <vt:lpstr>'FLOW RACK'!Tonelagemlimite_17</vt:lpstr>
      <vt:lpstr>OUTROS!Tonelagemlimite_17</vt:lpstr>
      <vt:lpstr>'PP1+PP2'!Tonelagemlimite_17</vt:lpstr>
      <vt:lpstr>'PP3'!Tonelagemlimite_17</vt:lpstr>
      <vt:lpstr>TOTAL!Tonelagemlimite_17</vt:lpstr>
      <vt:lpstr>'DIN + PUSH'!Tonelagemlimite_18</vt:lpstr>
      <vt:lpstr>DRI!Tonelagemlimite_18</vt:lpstr>
      <vt:lpstr>'FLOW RACK'!Tonelagemlimite_18</vt:lpstr>
      <vt:lpstr>OUTROS!Tonelagemlimite_18</vt:lpstr>
      <vt:lpstr>'PP1+PP2'!Tonelagemlimite_18</vt:lpstr>
      <vt:lpstr>'PP3'!Tonelagemlimite_18</vt:lpstr>
      <vt:lpstr>TOTAL!Tonelagemlimite_18</vt:lpstr>
      <vt:lpstr>'DIN + PUSH'!Tonelagemlimite_19</vt:lpstr>
      <vt:lpstr>DRI!Tonelagemlimite_19</vt:lpstr>
      <vt:lpstr>'FLOW RACK'!Tonelagemlimite_19</vt:lpstr>
      <vt:lpstr>OUTROS!Tonelagemlimite_19</vt:lpstr>
      <vt:lpstr>'PP1+PP2'!Tonelagemlimite_19</vt:lpstr>
      <vt:lpstr>'PP3'!Tonelagemlimite_19</vt:lpstr>
      <vt:lpstr>TOTAL!Tonelagemlimite_19</vt:lpstr>
      <vt:lpstr>'DIN + PUSH'!Tonelagemlimite_2</vt:lpstr>
      <vt:lpstr>DRI!Tonelagemlimite_2</vt:lpstr>
      <vt:lpstr>'FLOW RACK'!Tonelagemlimite_2</vt:lpstr>
      <vt:lpstr>OUTROS!Tonelagemlimite_2</vt:lpstr>
      <vt:lpstr>'PP1+PP2'!Tonelagemlimite_2</vt:lpstr>
      <vt:lpstr>'PP3'!Tonelagemlimite_2</vt:lpstr>
      <vt:lpstr>TOTAL!Tonelagemlimite_2</vt:lpstr>
      <vt:lpstr>'DIN + PUSH'!Tonelagemlimite_20</vt:lpstr>
      <vt:lpstr>DRI!Tonelagemlimite_20</vt:lpstr>
      <vt:lpstr>'FLOW RACK'!Tonelagemlimite_20</vt:lpstr>
      <vt:lpstr>OUTROS!Tonelagemlimite_20</vt:lpstr>
      <vt:lpstr>'PP1+PP2'!Tonelagemlimite_20</vt:lpstr>
      <vt:lpstr>'PP3'!Tonelagemlimite_20</vt:lpstr>
      <vt:lpstr>TOTAL!Tonelagemlimite_20</vt:lpstr>
      <vt:lpstr>'DIN + PUSH'!Tonelagemlimite_21</vt:lpstr>
      <vt:lpstr>DRI!Tonelagemlimite_21</vt:lpstr>
      <vt:lpstr>'FLOW RACK'!Tonelagemlimite_21</vt:lpstr>
      <vt:lpstr>OUTROS!Tonelagemlimite_21</vt:lpstr>
      <vt:lpstr>'PP1+PP2'!Tonelagemlimite_21</vt:lpstr>
      <vt:lpstr>'PP3'!Tonelagemlimite_21</vt:lpstr>
      <vt:lpstr>TOTAL!Tonelagemlimite_21</vt:lpstr>
      <vt:lpstr>'DIN + PUSH'!Tonelagemlimite_22</vt:lpstr>
      <vt:lpstr>DRI!Tonelagemlimite_22</vt:lpstr>
      <vt:lpstr>'FLOW RACK'!Tonelagemlimite_22</vt:lpstr>
      <vt:lpstr>OUTROS!Tonelagemlimite_22</vt:lpstr>
      <vt:lpstr>'PP1+PP2'!Tonelagemlimite_22</vt:lpstr>
      <vt:lpstr>'PP3'!Tonelagemlimite_22</vt:lpstr>
      <vt:lpstr>TOTAL!Tonelagemlimite_22</vt:lpstr>
      <vt:lpstr>'DIN + PUSH'!Tonelagemlimite_23</vt:lpstr>
      <vt:lpstr>DRI!Tonelagemlimite_23</vt:lpstr>
      <vt:lpstr>'FLOW RACK'!Tonelagemlimite_23</vt:lpstr>
      <vt:lpstr>OUTROS!Tonelagemlimite_23</vt:lpstr>
      <vt:lpstr>'PP1+PP2'!Tonelagemlimite_23</vt:lpstr>
      <vt:lpstr>'PP3'!Tonelagemlimite_23</vt:lpstr>
      <vt:lpstr>TOTAL!Tonelagemlimite_23</vt:lpstr>
      <vt:lpstr>'DIN + PUSH'!Tonelagemlimite_24</vt:lpstr>
      <vt:lpstr>DRI!Tonelagemlimite_24</vt:lpstr>
      <vt:lpstr>'FLOW RACK'!Tonelagemlimite_24</vt:lpstr>
      <vt:lpstr>OUTROS!Tonelagemlimite_24</vt:lpstr>
      <vt:lpstr>'PP1+PP2'!Tonelagemlimite_24</vt:lpstr>
      <vt:lpstr>'PP3'!Tonelagemlimite_24</vt:lpstr>
      <vt:lpstr>TOTAL!Tonelagemlimite_24</vt:lpstr>
      <vt:lpstr>'DIN + PUSH'!Tonelagemlimite_3</vt:lpstr>
      <vt:lpstr>DRI!Tonelagemlimite_3</vt:lpstr>
      <vt:lpstr>'FLOW RACK'!Tonelagemlimite_3</vt:lpstr>
      <vt:lpstr>OUTROS!Tonelagemlimite_3</vt:lpstr>
      <vt:lpstr>'PP1+PP2'!Tonelagemlimite_3</vt:lpstr>
      <vt:lpstr>'PP3'!Tonelagemlimite_3</vt:lpstr>
      <vt:lpstr>TOTAL!Tonelagemlimite_3</vt:lpstr>
      <vt:lpstr>'DIN + PUSH'!Tonelagemlimite_4</vt:lpstr>
      <vt:lpstr>DRI!Tonelagemlimite_4</vt:lpstr>
      <vt:lpstr>'FLOW RACK'!Tonelagemlimite_4</vt:lpstr>
      <vt:lpstr>OUTROS!Tonelagemlimite_4</vt:lpstr>
      <vt:lpstr>'PP1+PP2'!Tonelagemlimite_4</vt:lpstr>
      <vt:lpstr>'PP3'!Tonelagemlimite_4</vt:lpstr>
      <vt:lpstr>TOTAL!Tonelagemlimite_4</vt:lpstr>
      <vt:lpstr>'DIN + PUSH'!Tonelagemlimite_5</vt:lpstr>
      <vt:lpstr>DRI!Tonelagemlimite_5</vt:lpstr>
      <vt:lpstr>'FLOW RACK'!Tonelagemlimite_5</vt:lpstr>
      <vt:lpstr>OUTROS!Tonelagemlimite_5</vt:lpstr>
      <vt:lpstr>'PP1+PP2'!Tonelagemlimite_5</vt:lpstr>
      <vt:lpstr>'PP3'!Tonelagemlimite_5</vt:lpstr>
      <vt:lpstr>TOTAL!Tonelagemlimite_5</vt:lpstr>
      <vt:lpstr>'DIN + PUSH'!Tonelagemlimite_6</vt:lpstr>
      <vt:lpstr>DRI!Tonelagemlimite_6</vt:lpstr>
      <vt:lpstr>'FLOW RACK'!Tonelagemlimite_6</vt:lpstr>
      <vt:lpstr>OUTROS!Tonelagemlimite_6</vt:lpstr>
      <vt:lpstr>'PP1+PP2'!Tonelagemlimite_6</vt:lpstr>
      <vt:lpstr>'PP3'!Tonelagemlimite_6</vt:lpstr>
      <vt:lpstr>TOTAL!Tonelagemlimite_6</vt:lpstr>
      <vt:lpstr>'DIN + PUSH'!Tonelagemlimite_7</vt:lpstr>
      <vt:lpstr>DRI!Tonelagemlimite_7</vt:lpstr>
      <vt:lpstr>'FLOW RACK'!Tonelagemlimite_7</vt:lpstr>
      <vt:lpstr>OUTROS!Tonelagemlimite_7</vt:lpstr>
      <vt:lpstr>'PP1+PP2'!Tonelagemlimite_7</vt:lpstr>
      <vt:lpstr>'PP3'!Tonelagemlimite_7</vt:lpstr>
      <vt:lpstr>TOTAL!Tonelagemlimite_7</vt:lpstr>
      <vt:lpstr>'DIN + PUSH'!Tonelagemlimite_8</vt:lpstr>
      <vt:lpstr>DRI!Tonelagemlimite_8</vt:lpstr>
      <vt:lpstr>'FLOW RACK'!Tonelagemlimite_8</vt:lpstr>
      <vt:lpstr>OUTROS!Tonelagemlimite_8</vt:lpstr>
      <vt:lpstr>'PP1+PP2'!Tonelagemlimite_8</vt:lpstr>
      <vt:lpstr>'PP3'!Tonelagemlimite_8</vt:lpstr>
      <vt:lpstr>TOTAL!Tonelagemlimite_8</vt:lpstr>
      <vt:lpstr>'DIN + PUSH'!Tonelagemlimite_9</vt:lpstr>
      <vt:lpstr>DRI!Tonelagemlimite_9</vt:lpstr>
      <vt:lpstr>'FLOW RACK'!Tonelagemlimite_9</vt:lpstr>
      <vt:lpstr>OUTROS!Tonelagemlimite_9</vt:lpstr>
      <vt:lpstr>'PP1+PP2'!Tonelagemlimite_9</vt:lpstr>
      <vt:lpstr>'PP3'!Tonelagemlimite_9</vt:lpstr>
      <vt:lpstr>TOTAL!Tonelagemlimite_9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Tedesco</dc:creator>
  <cp:lastModifiedBy>Nicolas de Oliveira Matos Borges</cp:lastModifiedBy>
  <cp:lastPrinted>2020-06-10T13:58:08Z</cp:lastPrinted>
  <dcterms:created xsi:type="dcterms:W3CDTF">2015-01-11T20:15:25Z</dcterms:created>
  <dcterms:modified xsi:type="dcterms:W3CDTF">2022-06-21T15:19:01Z</dcterms:modified>
</cp:coreProperties>
</file>